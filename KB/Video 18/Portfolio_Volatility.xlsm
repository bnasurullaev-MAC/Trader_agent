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defaultThemeVersion="166925"/>
  <mc:AlternateContent xmlns:mc="http://schemas.openxmlformats.org/markup-compatibility/2006">
    <mc:Choice Requires="x15">
      <x15ac:absPath xmlns:x15ac="http://schemas.microsoft.com/office/spreadsheetml/2010/11/ac" url="H:\My Drive\MRV\Financial\Investing\Trading\Institute of Trading and Portfolio Management (ITPM)\2021 Trading Masterclass\Professional Trading Masterclass (PTM 2.0)\Documents\Video 18\"/>
    </mc:Choice>
  </mc:AlternateContent>
  <xr:revisionPtr revIDLastSave="0" documentId="13_ncr:1_{FDF237C7-3580-4FD6-A24C-249BE3241859}" xr6:coauthVersionLast="47" xr6:coauthVersionMax="47" xr10:uidLastSave="{00000000-0000-0000-0000-000000000000}"/>
  <bookViews>
    <workbookView xWindow="38280" yWindow="-120" windowWidth="38640" windowHeight="21120" tabRatio="799" activeTab="4" xr2:uid="{807E08B4-D388-46A9-A58B-24BECF84380D}"/>
  </bookViews>
  <sheets>
    <sheet name="Asset Volatility Summary" sheetId="3" r:id="rId1"/>
    <sheet name="Std Dev Calc" sheetId="11" r:id="rId2"/>
    <sheet name="Portfolio DoR" sheetId="10" r:id="rId3"/>
    <sheet name="Portfolio Volatility Theory" sheetId="8" r:id="rId4"/>
    <sheet name="Portfolio Volatility Practice" sheetId="2" r:id="rId5"/>
    <sheet name="Asset Returns" sheetId="6" r:id="rId6"/>
    <sheet name="Asset Prices" sheetId="5" r:id="rId7"/>
  </sheets>
  <externalReferences>
    <externalReference r:id="rId8"/>
    <externalReference r:id="rId9"/>
  </externalReferences>
  <definedNames>
    <definedName name="_d">'[1]Implied Vol-Binomial (discrete)'!$S$6</definedName>
    <definedName name="_div">'[1]Implied Vol-Binomial (discrete)'!$C$15</definedName>
    <definedName name="_dt">'[1]Implied Vol-Binomial (discrete)'!$S$4</definedName>
    <definedName name="_emrdt">'[1]Implied Vol-Binomial (discrete)'!$S$8</definedName>
    <definedName name="_exdiv">'[1]Implied Vol-Binomial (discrete)'!$C$17</definedName>
    <definedName name="_xlnm._FilterDatabase" localSheetId="0" hidden="1">'Asset Volatility Summary'!$B$3:$R$3</definedName>
    <definedName name="_K">'[1]Implied Vol-Binomial (discrete)'!$C$9</definedName>
    <definedName name="_n">'[1]Implied Vol-Binomial (discrete)'!$C$14</definedName>
    <definedName name="_OptType">'[1]Implied Vol-Binomial (discrete)'!$C$7</definedName>
    <definedName name="_p">'[1]Implied Vol-Binomial (discrete)'!$S$7</definedName>
    <definedName name="_rr">'[1]Implied Vol-Binomial (discrete)'!$C$10</definedName>
    <definedName name="_S">'[1]Implied Vol-Binomial (discrete)'!$C$8</definedName>
    <definedName name="_T">'[1]Implied Vol-Binomial (discrete)'!$C$13</definedName>
    <definedName name="_u">'[1]Implied Vol-Binomial (discrete)'!$S$5</definedName>
    <definedName name="d">'[2]Implied Vol-Binomial (discrete)'!$S$6</definedName>
    <definedName name="div">'[2]Implied Vol-Binomial (discrete)'!$C$15</definedName>
    <definedName name="dt">'[2]Implied Vol-Binomial (discrete)'!$S$4</definedName>
    <definedName name="emrdt">'[2]Implied Vol-Binomial (discrete)'!$S$8</definedName>
    <definedName name="exdiv">'[2]Implied Vol-Binomial (discrete)'!$C$17</definedName>
    <definedName name="K">'[2]Implied Vol-Binomial (discrete)'!$C$9</definedName>
    <definedName name="n">'[2]Implied Vol-Binomial (discrete)'!$C$14</definedName>
    <definedName name="OptType">'[2]Implied Vol-Binomial (discrete)'!$C$7</definedName>
    <definedName name="p">'[2]Implied Vol-Binomial (discrete)'!$S$7</definedName>
    <definedName name="q">#REF!</definedName>
    <definedName name="rr">'[2]Implied Vol-Binomial (discrete)'!$C$10</definedName>
    <definedName name="S">'[2]Implied Vol-Binomial (discrete)'!$C$8</definedName>
    <definedName name="solver_adj" localSheetId="4" hidden="1">'Portfolio Volatility Practice'!$AB$9:$AB$13</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'Portfolio Volatility Practice'!$AB$34</definedName>
    <definedName name="solver_lhs2" localSheetId="4" hidden="1">'Portfolio Volatility Practice'!#REF!</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2</definedName>
    <definedName name="solver_nod" localSheetId="4" hidden="1">2147483647</definedName>
    <definedName name="solver_num" localSheetId="4" hidden="1">1</definedName>
    <definedName name="solver_nwt" localSheetId="4" hidden="1">1</definedName>
    <definedName name="solver_opt" localSheetId="4" hidden="1">'Portfolio Volatility Practice'!$B$43</definedName>
    <definedName name="solver_pre" localSheetId="4" hidden="1">0.000001</definedName>
    <definedName name="solver_rbv" localSheetId="4" hidden="1">1</definedName>
    <definedName name="solver_rel1" localSheetId="4" hidden="1">2</definedName>
    <definedName name="solver_rel2" localSheetId="4" hidden="1">2</definedName>
    <definedName name="solver_rhs1" localSheetId="4" hidden="1">5000</definedName>
    <definedName name="solver_rhs2" localSheetId="4" hidden="1">60000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definedName>
    <definedName name="solver_ver" localSheetId="4" hidden="1">3</definedName>
    <definedName name="T">'[2]Implied Vol-Binomial (discrete)'!$C$13</definedName>
    <definedName name="u">'[2]Implied Vol-Binomial (discrete)'!$S$5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 i="8" l="1"/>
  <c r="D4" i="10"/>
  <c r="E4" i="10"/>
  <c r="D5" i="10"/>
  <c r="E5" i="10"/>
  <c r="D6" i="10"/>
  <c r="E6" i="10"/>
  <c r="D7" i="10"/>
  <c r="E7" i="10"/>
  <c r="D8" i="10"/>
  <c r="E8" i="10"/>
  <c r="D9" i="10"/>
  <c r="E9" i="10"/>
  <c r="D10" i="10"/>
  <c r="E10" i="10"/>
  <c r="D11" i="10"/>
  <c r="E11" i="10"/>
  <c r="D12" i="10"/>
  <c r="E12" i="10"/>
  <c r="D13" i="10"/>
  <c r="E13" i="10"/>
  <c r="D14" i="10"/>
  <c r="E14" i="10"/>
  <c r="D15" i="10"/>
  <c r="E15" i="10"/>
  <c r="D16" i="10"/>
  <c r="E16" i="10"/>
  <c r="D17" i="10"/>
  <c r="E17" i="10"/>
  <c r="D18" i="10"/>
  <c r="E18" i="10"/>
  <c r="D19" i="10"/>
  <c r="E19" i="10"/>
  <c r="D20" i="10"/>
  <c r="E20" i="10"/>
  <c r="D21" i="10"/>
  <c r="E21" i="10"/>
  <c r="D22" i="10"/>
  <c r="E22" i="10"/>
  <c r="D23" i="10"/>
  <c r="E23" i="10"/>
  <c r="D24" i="10"/>
  <c r="E24" i="10"/>
  <c r="D25" i="10"/>
  <c r="E25" i="10"/>
  <c r="D26" i="10"/>
  <c r="E26" i="10"/>
  <c r="D27" i="10"/>
  <c r="E27" i="10"/>
  <c r="D28" i="10"/>
  <c r="E28" i="10"/>
  <c r="D29" i="10"/>
  <c r="E29" i="10"/>
  <c r="D30" i="10"/>
  <c r="E30" i="10"/>
  <c r="D31" i="10"/>
  <c r="E31" i="10"/>
  <c r="D32" i="10"/>
  <c r="E32" i="10"/>
  <c r="D33" i="10"/>
  <c r="E33" i="10"/>
  <c r="D34" i="10"/>
  <c r="E34" i="10"/>
  <c r="D35" i="10"/>
  <c r="E35" i="10"/>
  <c r="D36" i="10"/>
  <c r="E36" i="10"/>
  <c r="D37" i="10"/>
  <c r="E37" i="10"/>
  <c r="D38" i="10"/>
  <c r="E38" i="10"/>
  <c r="D39" i="10"/>
  <c r="E39" i="10"/>
  <c r="D40" i="10"/>
  <c r="E40" i="10"/>
  <c r="D41" i="10"/>
  <c r="E41" i="10"/>
  <c r="D42" i="10"/>
  <c r="E42" i="10"/>
  <c r="D43" i="10"/>
  <c r="E43" i="10"/>
  <c r="D44" i="10"/>
  <c r="E44" i="10"/>
  <c r="D45" i="10"/>
  <c r="E45" i="10"/>
  <c r="D46" i="10"/>
  <c r="E46" i="10"/>
  <c r="D47" i="10"/>
  <c r="E47" i="10"/>
  <c r="D48" i="10"/>
  <c r="E48" i="10"/>
  <c r="D49" i="10"/>
  <c r="E49" i="10"/>
  <c r="D50" i="10"/>
  <c r="E50" i="10"/>
  <c r="D51" i="10"/>
  <c r="E51" i="10"/>
  <c r="D52" i="10"/>
  <c r="E52" i="10"/>
  <c r="D53" i="10"/>
  <c r="E53" i="10"/>
  <c r="D54" i="10"/>
  <c r="E54" i="10"/>
  <c r="D55" i="10"/>
  <c r="E55" i="10"/>
  <c r="D56" i="10"/>
  <c r="E56" i="10"/>
  <c r="D57" i="10"/>
  <c r="E57" i="10"/>
  <c r="D58" i="10"/>
  <c r="E58" i="10"/>
  <c r="D59" i="10"/>
  <c r="E59" i="10"/>
  <c r="D60" i="10"/>
  <c r="E60" i="10"/>
  <c r="D61" i="10"/>
  <c r="E61" i="10"/>
  <c r="D62" i="10"/>
  <c r="E62" i="10"/>
  <c r="D63" i="10"/>
  <c r="E63" i="10"/>
  <c r="D64" i="10"/>
  <c r="E64" i="10"/>
  <c r="D65" i="10"/>
  <c r="E65" i="10"/>
  <c r="D66" i="10"/>
  <c r="E66" i="10"/>
  <c r="D67" i="10"/>
  <c r="E67" i="10"/>
  <c r="D68" i="10"/>
  <c r="E68" i="10"/>
  <c r="D69" i="10"/>
  <c r="E69" i="10"/>
  <c r="D70" i="10"/>
  <c r="E70" i="10"/>
  <c r="D71" i="10"/>
  <c r="E71" i="10"/>
  <c r="D72" i="10"/>
  <c r="E72" i="10"/>
  <c r="D73" i="10"/>
  <c r="E73" i="10"/>
  <c r="D74" i="10"/>
  <c r="E74" i="10"/>
  <c r="D75" i="10"/>
  <c r="E75" i="10"/>
  <c r="D76" i="10"/>
  <c r="E76" i="10"/>
  <c r="D77" i="10"/>
  <c r="E77" i="10"/>
  <c r="D78" i="10"/>
  <c r="E78" i="10"/>
  <c r="D79" i="10"/>
  <c r="E79" i="10"/>
  <c r="D80" i="10"/>
  <c r="E80" i="10"/>
  <c r="D81" i="10"/>
  <c r="E81" i="10"/>
  <c r="D82" i="10"/>
  <c r="E82" i="10"/>
  <c r="D83" i="10"/>
  <c r="E83" i="10"/>
  <c r="D84" i="10"/>
  <c r="E84" i="10"/>
  <c r="D85" i="10"/>
  <c r="E85" i="10"/>
  <c r="D86" i="10"/>
  <c r="E86" i="10"/>
  <c r="D87" i="10"/>
  <c r="E87" i="10"/>
  <c r="D88" i="10"/>
  <c r="E88" i="10"/>
  <c r="D89" i="10"/>
  <c r="E89" i="10"/>
  <c r="D90" i="10"/>
  <c r="E90" i="10"/>
  <c r="D91" i="10"/>
  <c r="E91" i="10"/>
  <c r="D92" i="10"/>
  <c r="E92" i="10"/>
  <c r="D93" i="10"/>
  <c r="E93" i="10"/>
  <c r="D94" i="10"/>
  <c r="E94" i="10"/>
  <c r="D95" i="10"/>
  <c r="E95" i="10"/>
  <c r="D96" i="10"/>
  <c r="E96" i="10"/>
  <c r="D97" i="10"/>
  <c r="E97" i="10"/>
  <c r="D98" i="10"/>
  <c r="E98" i="10"/>
  <c r="D99" i="10"/>
  <c r="E99" i="10"/>
  <c r="D100" i="10"/>
  <c r="E100" i="10"/>
  <c r="D101" i="10"/>
  <c r="E101" i="10"/>
  <c r="D102" i="10"/>
  <c r="E102" i="10"/>
  <c r="D103" i="10"/>
  <c r="E103" i="10"/>
  <c r="D104" i="10"/>
  <c r="E104" i="10"/>
  <c r="D105" i="10"/>
  <c r="E105" i="10"/>
  <c r="D106" i="10"/>
  <c r="E106" i="10"/>
  <c r="D107" i="10"/>
  <c r="E107" i="10"/>
  <c r="D108" i="10"/>
  <c r="E108" i="10"/>
  <c r="E3" i="10"/>
  <c r="D3" i="10"/>
  <c r="K2" i="11"/>
  <c r="H2" i="11"/>
  <c r="E9" i="11" s="1"/>
  <c r="F9" i="11" s="1"/>
  <c r="M21" i="10" l="1"/>
  <c r="H12" i="10"/>
  <c r="H21" i="10"/>
  <c r="H20" i="10"/>
  <c r="H19" i="10"/>
  <c r="H17" i="10"/>
  <c r="H16" i="10"/>
  <c r="H15" i="10"/>
  <c r="H14" i="10"/>
  <c r="H13" i="10"/>
  <c r="M20" i="10"/>
  <c r="M19" i="10"/>
  <c r="M17" i="10"/>
  <c r="M16" i="10"/>
  <c r="M15" i="10"/>
  <c r="M14" i="10"/>
  <c r="M13" i="10"/>
  <c r="M12" i="10"/>
  <c r="E4" i="11"/>
  <c r="F4" i="11" s="1"/>
  <c r="E5" i="11"/>
  <c r="F5" i="11" s="1"/>
  <c r="E2" i="11"/>
  <c r="F2" i="11" s="1"/>
  <c r="E6" i="11"/>
  <c r="F6" i="11" s="1"/>
  <c r="E7" i="11"/>
  <c r="F7" i="11" s="1"/>
  <c r="E8" i="11"/>
  <c r="F8" i="11" s="1"/>
  <c r="E3" i="11"/>
  <c r="F3" i="11" s="1"/>
  <c r="M18" i="10" l="1"/>
  <c r="H18" i="10"/>
  <c r="G26" i="10"/>
  <c r="G33" i="10"/>
  <c r="G27" i="10"/>
  <c r="G25" i="10"/>
  <c r="G35" i="10"/>
  <c r="G31" i="10"/>
  <c r="G28" i="10"/>
  <c r="G24" i="10"/>
  <c r="G30" i="10"/>
  <c r="G34" i="10"/>
  <c r="G32" i="10"/>
  <c r="G29" i="10"/>
  <c r="G36" i="10"/>
  <c r="L26" i="10"/>
  <c r="L30" i="10"/>
  <c r="L28" i="10"/>
  <c r="L25" i="10"/>
  <c r="L24" i="10"/>
  <c r="L36" i="10"/>
  <c r="L35" i="10"/>
  <c r="L34" i="10"/>
  <c r="L32" i="10"/>
  <c r="L29" i="10"/>
  <c r="L31" i="10"/>
  <c r="L33" i="10"/>
  <c r="L27" i="10"/>
  <c r="I2" i="11"/>
  <c r="J2" i="11" s="1"/>
  <c r="H37" i="10" l="1"/>
  <c r="J37" i="10" s="1"/>
  <c r="I37" i="10"/>
  <c r="I30" i="10"/>
  <c r="H30" i="10"/>
  <c r="J30" i="10" s="1"/>
  <c r="H29" i="10"/>
  <c r="J29" i="10" s="1"/>
  <c r="I29" i="10"/>
  <c r="N32" i="10"/>
  <c r="M32" i="10"/>
  <c r="O32" i="10" s="1"/>
  <c r="N29" i="10"/>
  <c r="M29" i="10"/>
  <c r="O29" i="10" s="1"/>
  <c r="I34" i="10"/>
  <c r="H34" i="10"/>
  <c r="J34" i="10" s="1"/>
  <c r="N33" i="10"/>
  <c r="M33" i="10"/>
  <c r="O33" i="10" s="1"/>
  <c r="M37" i="10"/>
  <c r="O37" i="10" s="1"/>
  <c r="N37" i="10"/>
  <c r="I24" i="10"/>
  <c r="H24" i="10"/>
  <c r="J24" i="10" s="1"/>
  <c r="K24" i="10" s="1"/>
  <c r="I25" i="10"/>
  <c r="N25" i="10"/>
  <c r="M26" i="10"/>
  <c r="O26" i="10" s="1"/>
  <c r="N26" i="10"/>
  <c r="I32" i="10"/>
  <c r="H32" i="10"/>
  <c r="J32" i="10" s="1"/>
  <c r="M35" i="10"/>
  <c r="O35" i="10" s="1"/>
  <c r="N35" i="10"/>
  <c r="I31" i="10"/>
  <c r="H31" i="10"/>
  <c r="J31" i="10" s="1"/>
  <c r="M24" i="10"/>
  <c r="O24" i="10" s="1"/>
  <c r="P24" i="10" s="1"/>
  <c r="N24" i="10"/>
  <c r="M25" i="10"/>
  <c r="M30" i="10"/>
  <c r="O30" i="10" s="1"/>
  <c r="N30" i="10"/>
  <c r="N27" i="10"/>
  <c r="M27" i="10"/>
  <c r="O27" i="10" s="1"/>
  <c r="N34" i="10"/>
  <c r="M34" i="10"/>
  <c r="O34" i="10" s="1"/>
  <c r="I33" i="10"/>
  <c r="H33" i="10"/>
  <c r="J33" i="10" s="1"/>
  <c r="H35" i="10"/>
  <c r="J35" i="10" s="1"/>
  <c r="I35" i="10"/>
  <c r="H25" i="10"/>
  <c r="J25" i="10" s="1"/>
  <c r="H26" i="10"/>
  <c r="J26" i="10" s="1"/>
  <c r="I26" i="10"/>
  <c r="M31" i="10"/>
  <c r="O31" i="10" s="1"/>
  <c r="N31" i="10"/>
  <c r="I28" i="10"/>
  <c r="H28" i="10"/>
  <c r="J28" i="10" s="1"/>
  <c r="M36" i="10"/>
  <c r="O36" i="10" s="1"/>
  <c r="N36" i="10"/>
  <c r="M28" i="10"/>
  <c r="O28" i="10" s="1"/>
  <c r="N28" i="10"/>
  <c r="H36" i="10"/>
  <c r="J36" i="10" s="1"/>
  <c r="I36" i="10"/>
  <c r="H27" i="10"/>
  <c r="J27" i="10" s="1"/>
  <c r="I27" i="10"/>
  <c r="AL3" i="6"/>
  <c r="AM3" i="6"/>
  <c r="AN3" i="6"/>
  <c r="AO3" i="6"/>
  <c r="AP3" i="6"/>
  <c r="AQ3" i="6"/>
  <c r="AR3" i="6"/>
  <c r="AS3" i="6"/>
  <c r="AT3" i="6"/>
  <c r="AU3" i="6"/>
  <c r="AV3" i="6"/>
  <c r="AW3" i="6"/>
  <c r="AX3" i="6"/>
  <c r="AY3" i="6"/>
  <c r="AZ3" i="6"/>
  <c r="BA3" i="6"/>
  <c r="BB3" i="6"/>
  <c r="BC3" i="6"/>
  <c r="BD3" i="6"/>
  <c r="AL4" i="6"/>
  <c r="AM4" i="6"/>
  <c r="AN4" i="6"/>
  <c r="AO4" i="6"/>
  <c r="AP4" i="6"/>
  <c r="AQ4" i="6"/>
  <c r="AR4" i="6"/>
  <c r="AS4" i="6"/>
  <c r="AT4" i="6"/>
  <c r="AU4" i="6"/>
  <c r="AV4" i="6"/>
  <c r="AW4" i="6"/>
  <c r="AX4" i="6"/>
  <c r="AY4" i="6"/>
  <c r="AZ4" i="6"/>
  <c r="BA4" i="6"/>
  <c r="BB4" i="6"/>
  <c r="BC4" i="6"/>
  <c r="BD4" i="6"/>
  <c r="AL5" i="6"/>
  <c r="AM5" i="6"/>
  <c r="AN5" i="6"/>
  <c r="AO5" i="6"/>
  <c r="AP5" i="6"/>
  <c r="AQ5" i="6"/>
  <c r="AR5" i="6"/>
  <c r="AS5" i="6"/>
  <c r="AT5" i="6"/>
  <c r="AU5" i="6"/>
  <c r="AV5" i="6"/>
  <c r="AW5" i="6"/>
  <c r="AX5" i="6"/>
  <c r="AY5" i="6"/>
  <c r="AZ5" i="6"/>
  <c r="BA5" i="6"/>
  <c r="BB5" i="6"/>
  <c r="BC5" i="6"/>
  <c r="BD5" i="6"/>
  <c r="AL6" i="6"/>
  <c r="AM6" i="6"/>
  <c r="AN6" i="6"/>
  <c r="AO6" i="6"/>
  <c r="AP6" i="6"/>
  <c r="AQ6" i="6"/>
  <c r="AR6" i="6"/>
  <c r="AS6" i="6"/>
  <c r="AT6" i="6"/>
  <c r="AU6" i="6"/>
  <c r="AV6" i="6"/>
  <c r="AW6" i="6"/>
  <c r="AX6" i="6"/>
  <c r="AY6" i="6"/>
  <c r="AZ6" i="6"/>
  <c r="BA6" i="6"/>
  <c r="BB6" i="6"/>
  <c r="BC6" i="6"/>
  <c r="BD6" i="6"/>
  <c r="AL7" i="6"/>
  <c r="AM7" i="6"/>
  <c r="AN7" i="6"/>
  <c r="AO7" i="6"/>
  <c r="AP7" i="6"/>
  <c r="AQ7" i="6"/>
  <c r="AR7" i="6"/>
  <c r="AS7" i="6"/>
  <c r="AT7" i="6"/>
  <c r="AU7" i="6"/>
  <c r="AV7" i="6"/>
  <c r="AW7" i="6"/>
  <c r="AX7" i="6"/>
  <c r="AY7" i="6"/>
  <c r="AZ7" i="6"/>
  <c r="BA7" i="6"/>
  <c r="BB7" i="6"/>
  <c r="BC7" i="6"/>
  <c r="BD7" i="6"/>
  <c r="AL8" i="6"/>
  <c r="AM8" i="6"/>
  <c r="AN8" i="6"/>
  <c r="AO8" i="6"/>
  <c r="AP8" i="6"/>
  <c r="AQ8" i="6"/>
  <c r="AR8" i="6"/>
  <c r="AS8" i="6"/>
  <c r="AT8" i="6"/>
  <c r="AU8" i="6"/>
  <c r="AV8" i="6"/>
  <c r="AW8" i="6"/>
  <c r="AX8" i="6"/>
  <c r="AY8" i="6"/>
  <c r="AZ8" i="6"/>
  <c r="BA8" i="6"/>
  <c r="BB8" i="6"/>
  <c r="BC8" i="6"/>
  <c r="BD8" i="6"/>
  <c r="AL9" i="6"/>
  <c r="AM9" i="6"/>
  <c r="AN9" i="6"/>
  <c r="AO9" i="6"/>
  <c r="AP9" i="6"/>
  <c r="AQ9" i="6"/>
  <c r="AR9" i="6"/>
  <c r="AS9" i="6"/>
  <c r="AT9" i="6"/>
  <c r="AU9" i="6"/>
  <c r="AV9" i="6"/>
  <c r="AW9" i="6"/>
  <c r="AX9" i="6"/>
  <c r="AY9" i="6"/>
  <c r="AZ9" i="6"/>
  <c r="BA9" i="6"/>
  <c r="BB9" i="6"/>
  <c r="BC9" i="6"/>
  <c r="BD9" i="6"/>
  <c r="AL10" i="6"/>
  <c r="AM10" i="6"/>
  <c r="AN10" i="6"/>
  <c r="AO10" i="6"/>
  <c r="AP10" i="6"/>
  <c r="AQ10" i="6"/>
  <c r="AR10" i="6"/>
  <c r="AS10" i="6"/>
  <c r="AT10" i="6"/>
  <c r="AU10" i="6"/>
  <c r="AV10" i="6"/>
  <c r="AW10" i="6"/>
  <c r="AX10" i="6"/>
  <c r="AY10" i="6"/>
  <c r="AZ10" i="6"/>
  <c r="BA10" i="6"/>
  <c r="BB10" i="6"/>
  <c r="BC10" i="6"/>
  <c r="BD10" i="6"/>
  <c r="AL11" i="6"/>
  <c r="AM11" i="6"/>
  <c r="AN11" i="6"/>
  <c r="AO11" i="6"/>
  <c r="AP11" i="6"/>
  <c r="AQ11" i="6"/>
  <c r="AR11" i="6"/>
  <c r="AS11" i="6"/>
  <c r="AT11" i="6"/>
  <c r="AU11" i="6"/>
  <c r="AV11" i="6"/>
  <c r="AW11" i="6"/>
  <c r="AX11" i="6"/>
  <c r="AY11" i="6"/>
  <c r="AZ11" i="6"/>
  <c r="BA11" i="6"/>
  <c r="BB11" i="6"/>
  <c r="BC11" i="6"/>
  <c r="BD11" i="6"/>
  <c r="AL12" i="6"/>
  <c r="AM12" i="6"/>
  <c r="AN12" i="6"/>
  <c r="AO12" i="6"/>
  <c r="AP12" i="6"/>
  <c r="AQ12" i="6"/>
  <c r="AR12" i="6"/>
  <c r="AS12" i="6"/>
  <c r="AT12" i="6"/>
  <c r="AU12" i="6"/>
  <c r="AV12" i="6"/>
  <c r="AW12" i="6"/>
  <c r="AX12" i="6"/>
  <c r="AY12" i="6"/>
  <c r="AZ12" i="6"/>
  <c r="BA12" i="6"/>
  <c r="BB12" i="6"/>
  <c r="BC12" i="6"/>
  <c r="BD12" i="6"/>
  <c r="AL13" i="6"/>
  <c r="AM13" i="6"/>
  <c r="AN13" i="6"/>
  <c r="AO13" i="6"/>
  <c r="AP13" i="6"/>
  <c r="AQ13" i="6"/>
  <c r="AR13" i="6"/>
  <c r="AS13" i="6"/>
  <c r="AT13" i="6"/>
  <c r="AU13" i="6"/>
  <c r="AV13" i="6"/>
  <c r="AW13" i="6"/>
  <c r="AX13" i="6"/>
  <c r="AY13" i="6"/>
  <c r="AZ13" i="6"/>
  <c r="BA13" i="6"/>
  <c r="BB13" i="6"/>
  <c r="BC13" i="6"/>
  <c r="BD13" i="6"/>
  <c r="AL14" i="6"/>
  <c r="AM14" i="6"/>
  <c r="AN14" i="6"/>
  <c r="AO14" i="6"/>
  <c r="AP14" i="6"/>
  <c r="AQ14" i="6"/>
  <c r="AR14" i="6"/>
  <c r="AS14" i="6"/>
  <c r="AT14" i="6"/>
  <c r="AU14" i="6"/>
  <c r="AV14" i="6"/>
  <c r="AW14" i="6"/>
  <c r="AX14" i="6"/>
  <c r="AY14" i="6"/>
  <c r="AZ14" i="6"/>
  <c r="BA14" i="6"/>
  <c r="BB14" i="6"/>
  <c r="BC14" i="6"/>
  <c r="BD14" i="6"/>
  <c r="AL15" i="6"/>
  <c r="AM15" i="6"/>
  <c r="AN15" i="6"/>
  <c r="AO15" i="6"/>
  <c r="AP15" i="6"/>
  <c r="AQ15" i="6"/>
  <c r="AR15" i="6"/>
  <c r="AS15" i="6"/>
  <c r="AT15" i="6"/>
  <c r="AU15" i="6"/>
  <c r="AV15" i="6"/>
  <c r="AW15" i="6"/>
  <c r="AX15" i="6"/>
  <c r="AY15" i="6"/>
  <c r="AZ15" i="6"/>
  <c r="BA15" i="6"/>
  <c r="BB15" i="6"/>
  <c r="BC15" i="6"/>
  <c r="BD15" i="6"/>
  <c r="AL16" i="6"/>
  <c r="AM16" i="6"/>
  <c r="AN16" i="6"/>
  <c r="AO16" i="6"/>
  <c r="AP16" i="6"/>
  <c r="AQ16" i="6"/>
  <c r="AR16" i="6"/>
  <c r="AS16" i="6"/>
  <c r="AT16" i="6"/>
  <c r="AU16" i="6"/>
  <c r="AV16" i="6"/>
  <c r="AW16" i="6"/>
  <c r="AX16" i="6"/>
  <c r="AY16" i="6"/>
  <c r="AZ16" i="6"/>
  <c r="BA16" i="6"/>
  <c r="BB16" i="6"/>
  <c r="BC16" i="6"/>
  <c r="BD16" i="6"/>
  <c r="AL17" i="6"/>
  <c r="AM17" i="6"/>
  <c r="AN17" i="6"/>
  <c r="AO17" i="6"/>
  <c r="AP17" i="6"/>
  <c r="AQ17" i="6"/>
  <c r="AR17" i="6"/>
  <c r="AS17" i="6"/>
  <c r="AT17" i="6"/>
  <c r="AU17" i="6"/>
  <c r="AV17" i="6"/>
  <c r="AW17" i="6"/>
  <c r="AX17" i="6"/>
  <c r="AY17" i="6"/>
  <c r="AZ17" i="6"/>
  <c r="BA17" i="6"/>
  <c r="BB17" i="6"/>
  <c r="BC17" i="6"/>
  <c r="BD17" i="6"/>
  <c r="AL18" i="6"/>
  <c r="AM18" i="6"/>
  <c r="AN18" i="6"/>
  <c r="AO18" i="6"/>
  <c r="AP18" i="6"/>
  <c r="AQ18" i="6"/>
  <c r="AR18" i="6"/>
  <c r="AS18" i="6"/>
  <c r="AT18" i="6"/>
  <c r="AU18" i="6"/>
  <c r="AV18" i="6"/>
  <c r="AW18" i="6"/>
  <c r="AX18" i="6"/>
  <c r="AY18" i="6"/>
  <c r="AZ18" i="6"/>
  <c r="BA18" i="6"/>
  <c r="BB18" i="6"/>
  <c r="BC18" i="6"/>
  <c r="BD18" i="6"/>
  <c r="AL19" i="6"/>
  <c r="AM19" i="6"/>
  <c r="AN19" i="6"/>
  <c r="AO19" i="6"/>
  <c r="AP19" i="6"/>
  <c r="AQ19" i="6"/>
  <c r="AR19" i="6"/>
  <c r="AS19" i="6"/>
  <c r="AT19" i="6"/>
  <c r="AU19" i="6"/>
  <c r="AV19" i="6"/>
  <c r="AW19" i="6"/>
  <c r="AX19" i="6"/>
  <c r="AY19" i="6"/>
  <c r="AZ19" i="6"/>
  <c r="BA19" i="6"/>
  <c r="BB19" i="6"/>
  <c r="BC19" i="6"/>
  <c r="BD19" i="6"/>
  <c r="AL20" i="6"/>
  <c r="AM20" i="6"/>
  <c r="AN20" i="6"/>
  <c r="AO20" i="6"/>
  <c r="AP20" i="6"/>
  <c r="AQ20" i="6"/>
  <c r="AR20" i="6"/>
  <c r="AS20" i="6"/>
  <c r="AT20" i="6"/>
  <c r="AU20" i="6"/>
  <c r="AV20" i="6"/>
  <c r="AW20" i="6"/>
  <c r="AX20" i="6"/>
  <c r="AY20" i="6"/>
  <c r="AZ20" i="6"/>
  <c r="BA20" i="6"/>
  <c r="BB20" i="6"/>
  <c r="BC20" i="6"/>
  <c r="BD20" i="6"/>
  <c r="AL21" i="6"/>
  <c r="AM21" i="6"/>
  <c r="AN21" i="6"/>
  <c r="AO21" i="6"/>
  <c r="AP21" i="6"/>
  <c r="AQ21" i="6"/>
  <c r="AR21" i="6"/>
  <c r="AS21" i="6"/>
  <c r="AT21" i="6"/>
  <c r="AU21" i="6"/>
  <c r="AV21" i="6"/>
  <c r="AW21" i="6"/>
  <c r="AX21" i="6"/>
  <c r="AY21" i="6"/>
  <c r="AZ21" i="6"/>
  <c r="BA21" i="6"/>
  <c r="BB21" i="6"/>
  <c r="BC21" i="6"/>
  <c r="BD21" i="6"/>
  <c r="AL22" i="6"/>
  <c r="AM22" i="6"/>
  <c r="AN22" i="6"/>
  <c r="AO22" i="6"/>
  <c r="AP22" i="6"/>
  <c r="AQ22" i="6"/>
  <c r="AR22" i="6"/>
  <c r="AS22" i="6"/>
  <c r="AT22" i="6"/>
  <c r="AU22" i="6"/>
  <c r="AV22" i="6"/>
  <c r="AW22" i="6"/>
  <c r="AX22" i="6"/>
  <c r="AY22" i="6"/>
  <c r="AZ22" i="6"/>
  <c r="BA22" i="6"/>
  <c r="BB22" i="6"/>
  <c r="BC22" i="6"/>
  <c r="BD22" i="6"/>
  <c r="AL23" i="6"/>
  <c r="AM23" i="6"/>
  <c r="AN23" i="6"/>
  <c r="AO23" i="6"/>
  <c r="AP23" i="6"/>
  <c r="AQ23" i="6"/>
  <c r="AR23" i="6"/>
  <c r="AS23" i="6"/>
  <c r="AT23" i="6"/>
  <c r="AU23" i="6"/>
  <c r="AV23" i="6"/>
  <c r="AW23" i="6"/>
  <c r="AX23" i="6"/>
  <c r="AY23" i="6"/>
  <c r="AZ23" i="6"/>
  <c r="BA23" i="6"/>
  <c r="BB23" i="6"/>
  <c r="BC23" i="6"/>
  <c r="BD23" i="6"/>
  <c r="AL24" i="6"/>
  <c r="AM24" i="6"/>
  <c r="AN24" i="6"/>
  <c r="AO24" i="6"/>
  <c r="AP24" i="6"/>
  <c r="AQ24" i="6"/>
  <c r="AR24" i="6"/>
  <c r="AS24" i="6"/>
  <c r="AT24" i="6"/>
  <c r="AU24" i="6"/>
  <c r="AV24" i="6"/>
  <c r="AW24" i="6"/>
  <c r="AX24" i="6"/>
  <c r="AY24" i="6"/>
  <c r="AZ24" i="6"/>
  <c r="BA24" i="6"/>
  <c r="BB24" i="6"/>
  <c r="BC24" i="6"/>
  <c r="BD24" i="6"/>
  <c r="AL25" i="6"/>
  <c r="AM25" i="6"/>
  <c r="AN25" i="6"/>
  <c r="AO25" i="6"/>
  <c r="AP25" i="6"/>
  <c r="AQ25" i="6"/>
  <c r="AR25" i="6"/>
  <c r="AS25" i="6"/>
  <c r="AT25" i="6"/>
  <c r="AU25" i="6"/>
  <c r="AV25" i="6"/>
  <c r="AW25" i="6"/>
  <c r="AX25" i="6"/>
  <c r="AY25" i="6"/>
  <c r="AZ25" i="6"/>
  <c r="BA25" i="6"/>
  <c r="BB25" i="6"/>
  <c r="BC25" i="6"/>
  <c r="BD25" i="6"/>
  <c r="AL26" i="6"/>
  <c r="AM26" i="6"/>
  <c r="AN26" i="6"/>
  <c r="AO26" i="6"/>
  <c r="AP26" i="6"/>
  <c r="AQ26" i="6"/>
  <c r="AR26" i="6"/>
  <c r="AS26" i="6"/>
  <c r="AT26" i="6"/>
  <c r="AU26" i="6"/>
  <c r="AV26" i="6"/>
  <c r="AW26" i="6"/>
  <c r="AX26" i="6"/>
  <c r="AY26" i="6"/>
  <c r="AZ26" i="6"/>
  <c r="BA26" i="6"/>
  <c r="BB26" i="6"/>
  <c r="BC26" i="6"/>
  <c r="BD26" i="6"/>
  <c r="AL27" i="6"/>
  <c r="AM27" i="6"/>
  <c r="AN27" i="6"/>
  <c r="AO27" i="6"/>
  <c r="AP27" i="6"/>
  <c r="AQ27" i="6"/>
  <c r="AR27" i="6"/>
  <c r="AS27" i="6"/>
  <c r="AT27" i="6"/>
  <c r="AU27" i="6"/>
  <c r="AV27" i="6"/>
  <c r="AW27" i="6"/>
  <c r="AX27" i="6"/>
  <c r="AY27" i="6"/>
  <c r="AZ27" i="6"/>
  <c r="BA27" i="6"/>
  <c r="BB27" i="6"/>
  <c r="BC27" i="6"/>
  <c r="BD27" i="6"/>
  <c r="AL28" i="6"/>
  <c r="AM28" i="6"/>
  <c r="AN28" i="6"/>
  <c r="AO28" i="6"/>
  <c r="AP28" i="6"/>
  <c r="AQ28" i="6"/>
  <c r="AR28" i="6"/>
  <c r="AS28" i="6"/>
  <c r="AT28" i="6"/>
  <c r="AU28" i="6"/>
  <c r="AV28" i="6"/>
  <c r="AW28" i="6"/>
  <c r="AX28" i="6"/>
  <c r="AY28" i="6"/>
  <c r="AZ28" i="6"/>
  <c r="BA28" i="6"/>
  <c r="BB28" i="6"/>
  <c r="BC28" i="6"/>
  <c r="BD28" i="6"/>
  <c r="AL29" i="6"/>
  <c r="AM29" i="6"/>
  <c r="AN29" i="6"/>
  <c r="AO29" i="6"/>
  <c r="AP29" i="6"/>
  <c r="AQ29" i="6"/>
  <c r="AR29" i="6"/>
  <c r="AS29" i="6"/>
  <c r="AT29" i="6"/>
  <c r="AU29" i="6"/>
  <c r="AV29" i="6"/>
  <c r="AW29" i="6"/>
  <c r="AX29" i="6"/>
  <c r="AY29" i="6"/>
  <c r="AZ29" i="6"/>
  <c r="BA29" i="6"/>
  <c r="BB29" i="6"/>
  <c r="BC29" i="6"/>
  <c r="BD29" i="6"/>
  <c r="AL30" i="6"/>
  <c r="AM30" i="6"/>
  <c r="AN30" i="6"/>
  <c r="AO30" i="6"/>
  <c r="AP30" i="6"/>
  <c r="AQ30" i="6"/>
  <c r="AR30" i="6"/>
  <c r="AS30" i="6"/>
  <c r="AT30" i="6"/>
  <c r="AU30" i="6"/>
  <c r="AV30" i="6"/>
  <c r="AW30" i="6"/>
  <c r="AX30" i="6"/>
  <c r="AY30" i="6"/>
  <c r="AZ30" i="6"/>
  <c r="BA30" i="6"/>
  <c r="BB30" i="6"/>
  <c r="BC30" i="6"/>
  <c r="BD30" i="6"/>
  <c r="AL31" i="6"/>
  <c r="AM31" i="6"/>
  <c r="AN31" i="6"/>
  <c r="AO31" i="6"/>
  <c r="AP31" i="6"/>
  <c r="AQ31" i="6"/>
  <c r="AR31" i="6"/>
  <c r="AS31" i="6"/>
  <c r="AT31" i="6"/>
  <c r="AU31" i="6"/>
  <c r="AV31" i="6"/>
  <c r="AW31" i="6"/>
  <c r="AX31" i="6"/>
  <c r="AY31" i="6"/>
  <c r="AZ31" i="6"/>
  <c r="BA31" i="6"/>
  <c r="BB31" i="6"/>
  <c r="BC31" i="6"/>
  <c r="BD31" i="6"/>
  <c r="AL32" i="6"/>
  <c r="AM32" i="6"/>
  <c r="AN32" i="6"/>
  <c r="AO32" i="6"/>
  <c r="AP32" i="6"/>
  <c r="AQ32" i="6"/>
  <c r="AR32" i="6"/>
  <c r="AS32" i="6"/>
  <c r="AT32" i="6"/>
  <c r="AU32" i="6"/>
  <c r="AV32" i="6"/>
  <c r="AW32" i="6"/>
  <c r="AX32" i="6"/>
  <c r="AY32" i="6"/>
  <c r="AZ32" i="6"/>
  <c r="BA32" i="6"/>
  <c r="BB32" i="6"/>
  <c r="BC32" i="6"/>
  <c r="BD32" i="6"/>
  <c r="AL33" i="6"/>
  <c r="AM33" i="6"/>
  <c r="AN33" i="6"/>
  <c r="AO33" i="6"/>
  <c r="AP33" i="6"/>
  <c r="AQ33" i="6"/>
  <c r="AR33" i="6"/>
  <c r="AS33" i="6"/>
  <c r="AT33" i="6"/>
  <c r="AU33" i="6"/>
  <c r="AV33" i="6"/>
  <c r="AW33" i="6"/>
  <c r="AX33" i="6"/>
  <c r="AY33" i="6"/>
  <c r="AZ33" i="6"/>
  <c r="BA33" i="6"/>
  <c r="BB33" i="6"/>
  <c r="BC33" i="6"/>
  <c r="BD33" i="6"/>
  <c r="AL34" i="6"/>
  <c r="AM34" i="6"/>
  <c r="AN34" i="6"/>
  <c r="AO34" i="6"/>
  <c r="AP34" i="6"/>
  <c r="AQ34" i="6"/>
  <c r="AR34" i="6"/>
  <c r="AS34" i="6"/>
  <c r="AT34" i="6"/>
  <c r="AU34" i="6"/>
  <c r="AV34" i="6"/>
  <c r="AW34" i="6"/>
  <c r="AX34" i="6"/>
  <c r="AY34" i="6"/>
  <c r="AZ34" i="6"/>
  <c r="BA34" i="6"/>
  <c r="BB34" i="6"/>
  <c r="BC34" i="6"/>
  <c r="BD34" i="6"/>
  <c r="AL35" i="6"/>
  <c r="AM35" i="6"/>
  <c r="AN35" i="6"/>
  <c r="AO35" i="6"/>
  <c r="AP35" i="6"/>
  <c r="AQ35" i="6"/>
  <c r="AR35" i="6"/>
  <c r="AS35" i="6"/>
  <c r="AT35" i="6"/>
  <c r="AU35" i="6"/>
  <c r="AV35" i="6"/>
  <c r="AW35" i="6"/>
  <c r="AX35" i="6"/>
  <c r="AY35" i="6"/>
  <c r="AZ35" i="6"/>
  <c r="BA35" i="6"/>
  <c r="BB35" i="6"/>
  <c r="BC35" i="6"/>
  <c r="BD35" i="6"/>
  <c r="AL36" i="6"/>
  <c r="AM36" i="6"/>
  <c r="AN36" i="6"/>
  <c r="AO36" i="6"/>
  <c r="AP36" i="6"/>
  <c r="AQ36" i="6"/>
  <c r="AR36" i="6"/>
  <c r="AS36" i="6"/>
  <c r="AT36" i="6"/>
  <c r="AU36" i="6"/>
  <c r="AV36" i="6"/>
  <c r="AW36" i="6"/>
  <c r="AX36" i="6"/>
  <c r="AY36" i="6"/>
  <c r="AZ36" i="6"/>
  <c r="BA36" i="6"/>
  <c r="BB36" i="6"/>
  <c r="BC36" i="6"/>
  <c r="BD36" i="6"/>
  <c r="AL37" i="6"/>
  <c r="AM37" i="6"/>
  <c r="AN37" i="6"/>
  <c r="AO37" i="6"/>
  <c r="AP37" i="6"/>
  <c r="AQ37" i="6"/>
  <c r="AR37" i="6"/>
  <c r="AS37" i="6"/>
  <c r="AT37" i="6"/>
  <c r="AU37" i="6"/>
  <c r="AV37" i="6"/>
  <c r="AW37" i="6"/>
  <c r="AX37" i="6"/>
  <c r="AY37" i="6"/>
  <c r="AZ37" i="6"/>
  <c r="BA37" i="6"/>
  <c r="BB37" i="6"/>
  <c r="BC37" i="6"/>
  <c r="BD37" i="6"/>
  <c r="AL38" i="6"/>
  <c r="AM38" i="6"/>
  <c r="AN38" i="6"/>
  <c r="AO38" i="6"/>
  <c r="AP38" i="6"/>
  <c r="AQ38" i="6"/>
  <c r="AR38" i="6"/>
  <c r="AS38" i="6"/>
  <c r="AT38" i="6"/>
  <c r="AU38" i="6"/>
  <c r="AV38" i="6"/>
  <c r="AW38" i="6"/>
  <c r="AX38" i="6"/>
  <c r="AY38" i="6"/>
  <c r="AZ38" i="6"/>
  <c r="BA38" i="6"/>
  <c r="BB38" i="6"/>
  <c r="BC38" i="6"/>
  <c r="BD38" i="6"/>
  <c r="AL39" i="6"/>
  <c r="AM39" i="6"/>
  <c r="AN39" i="6"/>
  <c r="AO39" i="6"/>
  <c r="AP39" i="6"/>
  <c r="AQ39" i="6"/>
  <c r="AR39" i="6"/>
  <c r="AS39" i="6"/>
  <c r="AT39" i="6"/>
  <c r="AU39" i="6"/>
  <c r="AV39" i="6"/>
  <c r="AW39" i="6"/>
  <c r="AX39" i="6"/>
  <c r="AY39" i="6"/>
  <c r="AZ39" i="6"/>
  <c r="BA39" i="6"/>
  <c r="BB39" i="6"/>
  <c r="BC39" i="6"/>
  <c r="BD39" i="6"/>
  <c r="AL40" i="6"/>
  <c r="AM40" i="6"/>
  <c r="AN40" i="6"/>
  <c r="AO40" i="6"/>
  <c r="AP40" i="6"/>
  <c r="AQ40" i="6"/>
  <c r="AR40" i="6"/>
  <c r="AS40" i="6"/>
  <c r="AT40" i="6"/>
  <c r="AU40" i="6"/>
  <c r="AV40" i="6"/>
  <c r="AW40" i="6"/>
  <c r="AX40" i="6"/>
  <c r="AY40" i="6"/>
  <c r="AZ40" i="6"/>
  <c r="BA40" i="6"/>
  <c r="BB40" i="6"/>
  <c r="BC40" i="6"/>
  <c r="BD40" i="6"/>
  <c r="AL41" i="6"/>
  <c r="AM41" i="6"/>
  <c r="AN41" i="6"/>
  <c r="AO41" i="6"/>
  <c r="AP41" i="6"/>
  <c r="AQ41" i="6"/>
  <c r="AR41" i="6"/>
  <c r="AS41" i="6"/>
  <c r="AT41" i="6"/>
  <c r="AU41" i="6"/>
  <c r="AV41" i="6"/>
  <c r="AW41" i="6"/>
  <c r="AX41" i="6"/>
  <c r="AY41" i="6"/>
  <c r="AZ41" i="6"/>
  <c r="BA41" i="6"/>
  <c r="BB41" i="6"/>
  <c r="BC41" i="6"/>
  <c r="BD41" i="6"/>
  <c r="AL42" i="6"/>
  <c r="AM42" i="6"/>
  <c r="AN42" i="6"/>
  <c r="AO42" i="6"/>
  <c r="AP42" i="6"/>
  <c r="AQ42" i="6"/>
  <c r="AR42" i="6"/>
  <c r="AS42" i="6"/>
  <c r="AT42" i="6"/>
  <c r="AU42" i="6"/>
  <c r="AV42" i="6"/>
  <c r="AW42" i="6"/>
  <c r="AX42" i="6"/>
  <c r="AY42" i="6"/>
  <c r="AZ42" i="6"/>
  <c r="BA42" i="6"/>
  <c r="BB42" i="6"/>
  <c r="BC42" i="6"/>
  <c r="BD42" i="6"/>
  <c r="AL43" i="6"/>
  <c r="AM43" i="6"/>
  <c r="AN43" i="6"/>
  <c r="AO43" i="6"/>
  <c r="AP43" i="6"/>
  <c r="AQ43" i="6"/>
  <c r="AR43" i="6"/>
  <c r="AS43" i="6"/>
  <c r="AT43" i="6"/>
  <c r="AU43" i="6"/>
  <c r="AV43" i="6"/>
  <c r="AW43" i="6"/>
  <c r="AX43" i="6"/>
  <c r="AY43" i="6"/>
  <c r="AZ43" i="6"/>
  <c r="BA43" i="6"/>
  <c r="BB43" i="6"/>
  <c r="BC43" i="6"/>
  <c r="BD43" i="6"/>
  <c r="AL44" i="6"/>
  <c r="AM44" i="6"/>
  <c r="AN44" i="6"/>
  <c r="AO44" i="6"/>
  <c r="AP44" i="6"/>
  <c r="AQ44" i="6"/>
  <c r="AR44" i="6"/>
  <c r="AS44" i="6"/>
  <c r="AT44" i="6"/>
  <c r="AU44" i="6"/>
  <c r="AV44" i="6"/>
  <c r="AW44" i="6"/>
  <c r="AX44" i="6"/>
  <c r="AY44" i="6"/>
  <c r="AZ44" i="6"/>
  <c r="BA44" i="6"/>
  <c r="BB44" i="6"/>
  <c r="BC44" i="6"/>
  <c r="BD44" i="6"/>
  <c r="AL45" i="6"/>
  <c r="AM45" i="6"/>
  <c r="AN45" i="6"/>
  <c r="AO45" i="6"/>
  <c r="AP45" i="6"/>
  <c r="AQ45" i="6"/>
  <c r="AR45" i="6"/>
  <c r="AS45" i="6"/>
  <c r="AT45" i="6"/>
  <c r="AU45" i="6"/>
  <c r="AV45" i="6"/>
  <c r="AW45" i="6"/>
  <c r="AX45" i="6"/>
  <c r="AY45" i="6"/>
  <c r="AZ45" i="6"/>
  <c r="BA45" i="6"/>
  <c r="BB45" i="6"/>
  <c r="BC45" i="6"/>
  <c r="BD45" i="6"/>
  <c r="AL46" i="6"/>
  <c r="AM46" i="6"/>
  <c r="AN46" i="6"/>
  <c r="AO46" i="6"/>
  <c r="AP46" i="6"/>
  <c r="AQ46" i="6"/>
  <c r="AR46" i="6"/>
  <c r="AS46" i="6"/>
  <c r="AT46" i="6"/>
  <c r="AU46" i="6"/>
  <c r="AV46" i="6"/>
  <c r="AW46" i="6"/>
  <c r="AX46" i="6"/>
  <c r="AY46" i="6"/>
  <c r="AZ46" i="6"/>
  <c r="BA46" i="6"/>
  <c r="BB46" i="6"/>
  <c r="BC46" i="6"/>
  <c r="BD46" i="6"/>
  <c r="AL47" i="6"/>
  <c r="AM47" i="6"/>
  <c r="AN47" i="6"/>
  <c r="AO47" i="6"/>
  <c r="AP47" i="6"/>
  <c r="AQ47" i="6"/>
  <c r="AR47" i="6"/>
  <c r="AS47" i="6"/>
  <c r="AT47" i="6"/>
  <c r="AU47" i="6"/>
  <c r="AV47" i="6"/>
  <c r="AW47" i="6"/>
  <c r="AX47" i="6"/>
  <c r="AY47" i="6"/>
  <c r="AZ47" i="6"/>
  <c r="BA47" i="6"/>
  <c r="BB47" i="6"/>
  <c r="BC47" i="6"/>
  <c r="BD47" i="6"/>
  <c r="AL48" i="6"/>
  <c r="AM48" i="6"/>
  <c r="AN48" i="6"/>
  <c r="AO48" i="6"/>
  <c r="AP48" i="6"/>
  <c r="AQ48" i="6"/>
  <c r="AR48" i="6"/>
  <c r="AS48" i="6"/>
  <c r="AT48" i="6"/>
  <c r="AU48" i="6"/>
  <c r="AV48" i="6"/>
  <c r="AW48" i="6"/>
  <c r="AX48" i="6"/>
  <c r="AY48" i="6"/>
  <c r="AZ48" i="6"/>
  <c r="BA48" i="6"/>
  <c r="BB48" i="6"/>
  <c r="BC48" i="6"/>
  <c r="BD48" i="6"/>
  <c r="AL49" i="6"/>
  <c r="AM49" i="6"/>
  <c r="AN49" i="6"/>
  <c r="AO49" i="6"/>
  <c r="AP49" i="6"/>
  <c r="AQ49" i="6"/>
  <c r="AR49" i="6"/>
  <c r="AS49" i="6"/>
  <c r="AT49" i="6"/>
  <c r="AU49" i="6"/>
  <c r="AV49" i="6"/>
  <c r="AW49" i="6"/>
  <c r="AX49" i="6"/>
  <c r="AY49" i="6"/>
  <c r="AZ49" i="6"/>
  <c r="BA49" i="6"/>
  <c r="BB49" i="6"/>
  <c r="BC49" i="6"/>
  <c r="BD49" i="6"/>
  <c r="AL50" i="6"/>
  <c r="AM50" i="6"/>
  <c r="AN50" i="6"/>
  <c r="AO50" i="6"/>
  <c r="AP50" i="6"/>
  <c r="AQ50" i="6"/>
  <c r="AR50" i="6"/>
  <c r="AS50" i="6"/>
  <c r="AT50" i="6"/>
  <c r="AU50" i="6"/>
  <c r="AV50" i="6"/>
  <c r="AW50" i="6"/>
  <c r="AX50" i="6"/>
  <c r="AY50" i="6"/>
  <c r="AZ50" i="6"/>
  <c r="BA50" i="6"/>
  <c r="BB50" i="6"/>
  <c r="BC50" i="6"/>
  <c r="BD50" i="6"/>
  <c r="AL51" i="6"/>
  <c r="AM51" i="6"/>
  <c r="AN51" i="6"/>
  <c r="AO51" i="6"/>
  <c r="AP51" i="6"/>
  <c r="AQ51" i="6"/>
  <c r="AR51" i="6"/>
  <c r="AS51" i="6"/>
  <c r="AT51" i="6"/>
  <c r="AU51" i="6"/>
  <c r="AV51" i="6"/>
  <c r="AW51" i="6"/>
  <c r="AX51" i="6"/>
  <c r="AY51" i="6"/>
  <c r="AZ51" i="6"/>
  <c r="BA51" i="6"/>
  <c r="BB51" i="6"/>
  <c r="BC51" i="6"/>
  <c r="BD51" i="6"/>
  <c r="AL52" i="6"/>
  <c r="AM52" i="6"/>
  <c r="AN52" i="6"/>
  <c r="AO52" i="6"/>
  <c r="AP52" i="6"/>
  <c r="AQ52" i="6"/>
  <c r="AR52" i="6"/>
  <c r="AS52" i="6"/>
  <c r="AT52" i="6"/>
  <c r="AU52" i="6"/>
  <c r="AV52" i="6"/>
  <c r="AW52" i="6"/>
  <c r="AX52" i="6"/>
  <c r="AY52" i="6"/>
  <c r="AZ52" i="6"/>
  <c r="BA52" i="6"/>
  <c r="BB52" i="6"/>
  <c r="BC52" i="6"/>
  <c r="BD52" i="6"/>
  <c r="AL53" i="6"/>
  <c r="AM53" i="6"/>
  <c r="AN53" i="6"/>
  <c r="AO53" i="6"/>
  <c r="AP53" i="6"/>
  <c r="AQ53" i="6"/>
  <c r="AR53" i="6"/>
  <c r="AS53" i="6"/>
  <c r="AT53" i="6"/>
  <c r="AU53" i="6"/>
  <c r="AV53" i="6"/>
  <c r="AW53" i="6"/>
  <c r="AX53" i="6"/>
  <c r="AY53" i="6"/>
  <c r="AZ53" i="6"/>
  <c r="BA53" i="6"/>
  <c r="BB53" i="6"/>
  <c r="BC53" i="6"/>
  <c r="BD53" i="6"/>
  <c r="AL54" i="6"/>
  <c r="AM54" i="6"/>
  <c r="AN54" i="6"/>
  <c r="AO54" i="6"/>
  <c r="AP54" i="6"/>
  <c r="AQ54" i="6"/>
  <c r="AR54" i="6"/>
  <c r="AS54" i="6"/>
  <c r="AT54" i="6"/>
  <c r="AU54" i="6"/>
  <c r="AV54" i="6"/>
  <c r="AW54" i="6"/>
  <c r="AX54" i="6"/>
  <c r="AY54" i="6"/>
  <c r="AZ54" i="6"/>
  <c r="BA54" i="6"/>
  <c r="BB54" i="6"/>
  <c r="BC54" i="6"/>
  <c r="BD54" i="6"/>
  <c r="AL55" i="6"/>
  <c r="AM55" i="6"/>
  <c r="AN55" i="6"/>
  <c r="AO55" i="6"/>
  <c r="AP55" i="6"/>
  <c r="AQ55" i="6"/>
  <c r="AR55" i="6"/>
  <c r="AS55" i="6"/>
  <c r="AT55" i="6"/>
  <c r="AU55" i="6"/>
  <c r="AV55" i="6"/>
  <c r="AW55" i="6"/>
  <c r="AX55" i="6"/>
  <c r="AY55" i="6"/>
  <c r="AZ55" i="6"/>
  <c r="BA55" i="6"/>
  <c r="BB55" i="6"/>
  <c r="BC55" i="6"/>
  <c r="BD55" i="6"/>
  <c r="AL56" i="6"/>
  <c r="AM56" i="6"/>
  <c r="AN56" i="6"/>
  <c r="AO56" i="6"/>
  <c r="AP56" i="6"/>
  <c r="AQ56" i="6"/>
  <c r="AR56" i="6"/>
  <c r="AS56" i="6"/>
  <c r="AT56" i="6"/>
  <c r="AU56" i="6"/>
  <c r="AV56" i="6"/>
  <c r="AW56" i="6"/>
  <c r="AX56" i="6"/>
  <c r="AY56" i="6"/>
  <c r="AZ56" i="6"/>
  <c r="BA56" i="6"/>
  <c r="BB56" i="6"/>
  <c r="BC56" i="6"/>
  <c r="BD56" i="6"/>
  <c r="AL57" i="6"/>
  <c r="AM57" i="6"/>
  <c r="AN57" i="6"/>
  <c r="AO57" i="6"/>
  <c r="AP57" i="6"/>
  <c r="AQ57" i="6"/>
  <c r="AR57" i="6"/>
  <c r="AS57" i="6"/>
  <c r="AT57" i="6"/>
  <c r="AU57" i="6"/>
  <c r="AV57" i="6"/>
  <c r="AW57" i="6"/>
  <c r="AX57" i="6"/>
  <c r="AY57" i="6"/>
  <c r="AZ57" i="6"/>
  <c r="BA57" i="6"/>
  <c r="BB57" i="6"/>
  <c r="BC57" i="6"/>
  <c r="BD57" i="6"/>
  <c r="AL58" i="6"/>
  <c r="AM58" i="6"/>
  <c r="AN58" i="6"/>
  <c r="AO58" i="6"/>
  <c r="AP58" i="6"/>
  <c r="AQ58" i="6"/>
  <c r="AR58" i="6"/>
  <c r="AS58" i="6"/>
  <c r="AT58" i="6"/>
  <c r="AU58" i="6"/>
  <c r="AV58" i="6"/>
  <c r="AW58" i="6"/>
  <c r="AX58" i="6"/>
  <c r="AY58" i="6"/>
  <c r="AZ58" i="6"/>
  <c r="BA58" i="6"/>
  <c r="BB58" i="6"/>
  <c r="BC58" i="6"/>
  <c r="BD58" i="6"/>
  <c r="AL59" i="6"/>
  <c r="AM59" i="6"/>
  <c r="AN59" i="6"/>
  <c r="AO59" i="6"/>
  <c r="AP59" i="6"/>
  <c r="AQ59" i="6"/>
  <c r="AR59" i="6"/>
  <c r="AS59" i="6"/>
  <c r="AT59" i="6"/>
  <c r="AU59" i="6"/>
  <c r="AV59" i="6"/>
  <c r="AW59" i="6"/>
  <c r="AX59" i="6"/>
  <c r="AY59" i="6"/>
  <c r="AZ59" i="6"/>
  <c r="BA59" i="6"/>
  <c r="BB59" i="6"/>
  <c r="BC59" i="6"/>
  <c r="BD59" i="6"/>
  <c r="AL60" i="6"/>
  <c r="AM60" i="6"/>
  <c r="AN60" i="6"/>
  <c r="AO60" i="6"/>
  <c r="AP60" i="6"/>
  <c r="AQ60" i="6"/>
  <c r="AR60" i="6"/>
  <c r="AS60" i="6"/>
  <c r="AT60" i="6"/>
  <c r="AU60" i="6"/>
  <c r="AV60" i="6"/>
  <c r="AW60" i="6"/>
  <c r="AX60" i="6"/>
  <c r="AY60" i="6"/>
  <c r="AZ60" i="6"/>
  <c r="BA60" i="6"/>
  <c r="BB60" i="6"/>
  <c r="BC60" i="6"/>
  <c r="BD60" i="6"/>
  <c r="AL61" i="6"/>
  <c r="AM61" i="6"/>
  <c r="AN61" i="6"/>
  <c r="AO61" i="6"/>
  <c r="AP61" i="6"/>
  <c r="AQ61" i="6"/>
  <c r="AR61" i="6"/>
  <c r="AS61" i="6"/>
  <c r="AT61" i="6"/>
  <c r="AU61" i="6"/>
  <c r="AV61" i="6"/>
  <c r="AW61" i="6"/>
  <c r="AX61" i="6"/>
  <c r="AY61" i="6"/>
  <c r="AZ61" i="6"/>
  <c r="BA61" i="6"/>
  <c r="BB61" i="6"/>
  <c r="BC61" i="6"/>
  <c r="BD61" i="6"/>
  <c r="AL62" i="6"/>
  <c r="AM62" i="6"/>
  <c r="AN62" i="6"/>
  <c r="AO62" i="6"/>
  <c r="AP62" i="6"/>
  <c r="AQ62" i="6"/>
  <c r="AR62" i="6"/>
  <c r="AS62" i="6"/>
  <c r="AT62" i="6"/>
  <c r="AU62" i="6"/>
  <c r="AV62" i="6"/>
  <c r="AW62" i="6"/>
  <c r="AX62" i="6"/>
  <c r="AY62" i="6"/>
  <c r="AZ62" i="6"/>
  <c r="BA62" i="6"/>
  <c r="BB62" i="6"/>
  <c r="BC62" i="6"/>
  <c r="BD62" i="6"/>
  <c r="AL63" i="6"/>
  <c r="AM63" i="6"/>
  <c r="AN63" i="6"/>
  <c r="AO63" i="6"/>
  <c r="AP63" i="6"/>
  <c r="AQ63" i="6"/>
  <c r="AR63" i="6"/>
  <c r="AS63" i="6"/>
  <c r="AT63" i="6"/>
  <c r="AU63" i="6"/>
  <c r="AV63" i="6"/>
  <c r="AW63" i="6"/>
  <c r="AX63" i="6"/>
  <c r="AY63" i="6"/>
  <c r="AZ63" i="6"/>
  <c r="BA63" i="6"/>
  <c r="BB63" i="6"/>
  <c r="BC63" i="6"/>
  <c r="BD63" i="6"/>
  <c r="AL64" i="6"/>
  <c r="AM64" i="6"/>
  <c r="AN64" i="6"/>
  <c r="AO64" i="6"/>
  <c r="AP64" i="6"/>
  <c r="AQ64" i="6"/>
  <c r="AR64" i="6"/>
  <c r="AS64" i="6"/>
  <c r="AT64" i="6"/>
  <c r="AU64" i="6"/>
  <c r="AV64" i="6"/>
  <c r="AW64" i="6"/>
  <c r="AX64" i="6"/>
  <c r="AY64" i="6"/>
  <c r="AZ64" i="6"/>
  <c r="BA64" i="6"/>
  <c r="BB64" i="6"/>
  <c r="BC64" i="6"/>
  <c r="BD64" i="6"/>
  <c r="AL65" i="6"/>
  <c r="AM65" i="6"/>
  <c r="AN65" i="6"/>
  <c r="AO65" i="6"/>
  <c r="AP65" i="6"/>
  <c r="AQ65" i="6"/>
  <c r="AR65" i="6"/>
  <c r="AS65" i="6"/>
  <c r="AT65" i="6"/>
  <c r="AU65" i="6"/>
  <c r="AV65" i="6"/>
  <c r="AW65" i="6"/>
  <c r="AX65" i="6"/>
  <c r="AY65" i="6"/>
  <c r="AZ65" i="6"/>
  <c r="BA65" i="6"/>
  <c r="BB65" i="6"/>
  <c r="BC65" i="6"/>
  <c r="BD65" i="6"/>
  <c r="AL66" i="6"/>
  <c r="AM66" i="6"/>
  <c r="AN66" i="6"/>
  <c r="AO66" i="6"/>
  <c r="AP66" i="6"/>
  <c r="AQ66" i="6"/>
  <c r="AR66" i="6"/>
  <c r="AS66" i="6"/>
  <c r="AT66" i="6"/>
  <c r="AU66" i="6"/>
  <c r="AV66" i="6"/>
  <c r="AW66" i="6"/>
  <c r="AX66" i="6"/>
  <c r="AY66" i="6"/>
  <c r="AZ66" i="6"/>
  <c r="BA66" i="6"/>
  <c r="BB66" i="6"/>
  <c r="BC66" i="6"/>
  <c r="BD66" i="6"/>
  <c r="AL67" i="6"/>
  <c r="AM67" i="6"/>
  <c r="AN67" i="6"/>
  <c r="AO67" i="6"/>
  <c r="AP67" i="6"/>
  <c r="AQ67" i="6"/>
  <c r="AR67" i="6"/>
  <c r="AS67" i="6"/>
  <c r="AT67" i="6"/>
  <c r="AU67" i="6"/>
  <c r="AV67" i="6"/>
  <c r="AW67" i="6"/>
  <c r="AX67" i="6"/>
  <c r="AY67" i="6"/>
  <c r="AZ67" i="6"/>
  <c r="BA67" i="6"/>
  <c r="BB67" i="6"/>
  <c r="BC67" i="6"/>
  <c r="BD67" i="6"/>
  <c r="AL68" i="6"/>
  <c r="AM68" i="6"/>
  <c r="AN68" i="6"/>
  <c r="AO68" i="6"/>
  <c r="AP68" i="6"/>
  <c r="AQ68" i="6"/>
  <c r="AR68" i="6"/>
  <c r="AS68" i="6"/>
  <c r="AT68" i="6"/>
  <c r="AU68" i="6"/>
  <c r="AV68" i="6"/>
  <c r="AW68" i="6"/>
  <c r="AX68" i="6"/>
  <c r="AY68" i="6"/>
  <c r="AZ68" i="6"/>
  <c r="BA68" i="6"/>
  <c r="BB68" i="6"/>
  <c r="BC68" i="6"/>
  <c r="BD68" i="6"/>
  <c r="AL69" i="6"/>
  <c r="AM69" i="6"/>
  <c r="AN69" i="6"/>
  <c r="AO69" i="6"/>
  <c r="AP69" i="6"/>
  <c r="AQ69" i="6"/>
  <c r="AR69" i="6"/>
  <c r="AS69" i="6"/>
  <c r="AT69" i="6"/>
  <c r="AU69" i="6"/>
  <c r="AV69" i="6"/>
  <c r="AW69" i="6"/>
  <c r="AX69" i="6"/>
  <c r="AY69" i="6"/>
  <c r="AZ69" i="6"/>
  <c r="BA69" i="6"/>
  <c r="BB69" i="6"/>
  <c r="BC69" i="6"/>
  <c r="BD69" i="6"/>
  <c r="AL70" i="6"/>
  <c r="AM70" i="6"/>
  <c r="AN70" i="6"/>
  <c r="AO70" i="6"/>
  <c r="AP70" i="6"/>
  <c r="AQ70" i="6"/>
  <c r="AR70" i="6"/>
  <c r="AS70" i="6"/>
  <c r="AT70" i="6"/>
  <c r="AU70" i="6"/>
  <c r="AV70" i="6"/>
  <c r="AW70" i="6"/>
  <c r="AX70" i="6"/>
  <c r="AY70" i="6"/>
  <c r="AZ70" i="6"/>
  <c r="BA70" i="6"/>
  <c r="BB70" i="6"/>
  <c r="BC70" i="6"/>
  <c r="BD70" i="6"/>
  <c r="AL71" i="6"/>
  <c r="AM71" i="6"/>
  <c r="AN71" i="6"/>
  <c r="AO71" i="6"/>
  <c r="AP71" i="6"/>
  <c r="AQ71" i="6"/>
  <c r="AR71" i="6"/>
  <c r="AS71" i="6"/>
  <c r="AT71" i="6"/>
  <c r="AU71" i="6"/>
  <c r="AV71" i="6"/>
  <c r="AW71" i="6"/>
  <c r="AX71" i="6"/>
  <c r="AY71" i="6"/>
  <c r="AZ71" i="6"/>
  <c r="BA71" i="6"/>
  <c r="BB71" i="6"/>
  <c r="BC71" i="6"/>
  <c r="BD71" i="6"/>
  <c r="AL72" i="6"/>
  <c r="AM72" i="6"/>
  <c r="AN72" i="6"/>
  <c r="AO72" i="6"/>
  <c r="AP72" i="6"/>
  <c r="AQ72" i="6"/>
  <c r="AR72" i="6"/>
  <c r="AS72" i="6"/>
  <c r="AT72" i="6"/>
  <c r="AU72" i="6"/>
  <c r="AV72" i="6"/>
  <c r="AW72" i="6"/>
  <c r="AX72" i="6"/>
  <c r="AY72" i="6"/>
  <c r="AZ72" i="6"/>
  <c r="BA72" i="6"/>
  <c r="BB72" i="6"/>
  <c r="BC72" i="6"/>
  <c r="BD72" i="6"/>
  <c r="AL73" i="6"/>
  <c r="AM73" i="6"/>
  <c r="AN73" i="6"/>
  <c r="AO73" i="6"/>
  <c r="AP73" i="6"/>
  <c r="AQ73" i="6"/>
  <c r="AR73" i="6"/>
  <c r="AS73" i="6"/>
  <c r="AT73" i="6"/>
  <c r="AU73" i="6"/>
  <c r="AV73" i="6"/>
  <c r="AW73" i="6"/>
  <c r="AX73" i="6"/>
  <c r="AY73" i="6"/>
  <c r="AZ73" i="6"/>
  <c r="BA73" i="6"/>
  <c r="BB73" i="6"/>
  <c r="BC73" i="6"/>
  <c r="BD73" i="6"/>
  <c r="AL74" i="6"/>
  <c r="AM74" i="6"/>
  <c r="AN74" i="6"/>
  <c r="AO74" i="6"/>
  <c r="AP74" i="6"/>
  <c r="AQ74" i="6"/>
  <c r="AR74" i="6"/>
  <c r="AS74" i="6"/>
  <c r="AT74" i="6"/>
  <c r="AU74" i="6"/>
  <c r="AV74" i="6"/>
  <c r="AW74" i="6"/>
  <c r="AX74" i="6"/>
  <c r="AY74" i="6"/>
  <c r="AZ74" i="6"/>
  <c r="BA74" i="6"/>
  <c r="BB74" i="6"/>
  <c r="BC74" i="6"/>
  <c r="BD74" i="6"/>
  <c r="AL75" i="6"/>
  <c r="AM75" i="6"/>
  <c r="AN75" i="6"/>
  <c r="AO75" i="6"/>
  <c r="AP75" i="6"/>
  <c r="AQ75" i="6"/>
  <c r="AR75" i="6"/>
  <c r="AS75" i="6"/>
  <c r="AT75" i="6"/>
  <c r="AU75" i="6"/>
  <c r="AV75" i="6"/>
  <c r="AW75" i="6"/>
  <c r="AX75" i="6"/>
  <c r="AY75" i="6"/>
  <c r="AZ75" i="6"/>
  <c r="BA75" i="6"/>
  <c r="BB75" i="6"/>
  <c r="BC75" i="6"/>
  <c r="BD75" i="6"/>
  <c r="AL76" i="6"/>
  <c r="AM76" i="6"/>
  <c r="AN76" i="6"/>
  <c r="AO76" i="6"/>
  <c r="AP76" i="6"/>
  <c r="AQ76" i="6"/>
  <c r="AR76" i="6"/>
  <c r="AS76" i="6"/>
  <c r="AT76" i="6"/>
  <c r="AU76" i="6"/>
  <c r="AV76" i="6"/>
  <c r="AW76" i="6"/>
  <c r="AX76" i="6"/>
  <c r="AY76" i="6"/>
  <c r="AZ76" i="6"/>
  <c r="BA76" i="6"/>
  <c r="BB76" i="6"/>
  <c r="BC76" i="6"/>
  <c r="BD76" i="6"/>
  <c r="AL77" i="6"/>
  <c r="AM77" i="6"/>
  <c r="AN77" i="6"/>
  <c r="AO77" i="6"/>
  <c r="AP77" i="6"/>
  <c r="AQ77" i="6"/>
  <c r="AR77" i="6"/>
  <c r="AS77" i="6"/>
  <c r="AT77" i="6"/>
  <c r="AU77" i="6"/>
  <c r="AV77" i="6"/>
  <c r="AW77" i="6"/>
  <c r="AX77" i="6"/>
  <c r="AY77" i="6"/>
  <c r="AZ77" i="6"/>
  <c r="BA77" i="6"/>
  <c r="BB77" i="6"/>
  <c r="BC77" i="6"/>
  <c r="BD77" i="6"/>
  <c r="AL78" i="6"/>
  <c r="AM78" i="6"/>
  <c r="AN78" i="6"/>
  <c r="AO78" i="6"/>
  <c r="AP78" i="6"/>
  <c r="AQ78" i="6"/>
  <c r="AR78" i="6"/>
  <c r="AS78" i="6"/>
  <c r="AT78" i="6"/>
  <c r="AU78" i="6"/>
  <c r="AV78" i="6"/>
  <c r="AW78" i="6"/>
  <c r="AX78" i="6"/>
  <c r="AY78" i="6"/>
  <c r="AZ78" i="6"/>
  <c r="BA78" i="6"/>
  <c r="BB78" i="6"/>
  <c r="BC78" i="6"/>
  <c r="BD78" i="6"/>
  <c r="AL79" i="6"/>
  <c r="AM79" i="6"/>
  <c r="AN79" i="6"/>
  <c r="AO79" i="6"/>
  <c r="AP79" i="6"/>
  <c r="AQ79" i="6"/>
  <c r="AR79" i="6"/>
  <c r="AS79" i="6"/>
  <c r="AT79" i="6"/>
  <c r="AU79" i="6"/>
  <c r="AV79" i="6"/>
  <c r="AW79" i="6"/>
  <c r="AX79" i="6"/>
  <c r="AY79" i="6"/>
  <c r="AZ79" i="6"/>
  <c r="BA79" i="6"/>
  <c r="BB79" i="6"/>
  <c r="BC79" i="6"/>
  <c r="BD79" i="6"/>
  <c r="AL80" i="6"/>
  <c r="AM80" i="6"/>
  <c r="AN80" i="6"/>
  <c r="AO80" i="6"/>
  <c r="AP80" i="6"/>
  <c r="AQ80" i="6"/>
  <c r="AR80" i="6"/>
  <c r="AS80" i="6"/>
  <c r="AT80" i="6"/>
  <c r="AU80" i="6"/>
  <c r="AV80" i="6"/>
  <c r="AW80" i="6"/>
  <c r="AX80" i="6"/>
  <c r="AY80" i="6"/>
  <c r="AZ80" i="6"/>
  <c r="BA80" i="6"/>
  <c r="BB80" i="6"/>
  <c r="BC80" i="6"/>
  <c r="BD80" i="6"/>
  <c r="AL81" i="6"/>
  <c r="AM81" i="6"/>
  <c r="AN81" i="6"/>
  <c r="AO81" i="6"/>
  <c r="AP81" i="6"/>
  <c r="AQ81" i="6"/>
  <c r="AR81" i="6"/>
  <c r="AS81" i="6"/>
  <c r="AT81" i="6"/>
  <c r="AU81" i="6"/>
  <c r="AV81" i="6"/>
  <c r="AW81" i="6"/>
  <c r="AX81" i="6"/>
  <c r="AY81" i="6"/>
  <c r="AZ81" i="6"/>
  <c r="BA81" i="6"/>
  <c r="BB81" i="6"/>
  <c r="BC81" i="6"/>
  <c r="BD81" i="6"/>
  <c r="AL82" i="6"/>
  <c r="AM82" i="6"/>
  <c r="AN82" i="6"/>
  <c r="AO82" i="6"/>
  <c r="AP82" i="6"/>
  <c r="AQ82" i="6"/>
  <c r="AR82" i="6"/>
  <c r="AS82" i="6"/>
  <c r="AT82" i="6"/>
  <c r="AU82" i="6"/>
  <c r="AV82" i="6"/>
  <c r="AW82" i="6"/>
  <c r="AX82" i="6"/>
  <c r="AY82" i="6"/>
  <c r="AZ82" i="6"/>
  <c r="BA82" i="6"/>
  <c r="BB82" i="6"/>
  <c r="BC82" i="6"/>
  <c r="BD82" i="6"/>
  <c r="AL83" i="6"/>
  <c r="AM83" i="6"/>
  <c r="AN83" i="6"/>
  <c r="AO83" i="6"/>
  <c r="AP83" i="6"/>
  <c r="AQ83" i="6"/>
  <c r="AR83" i="6"/>
  <c r="AS83" i="6"/>
  <c r="AT83" i="6"/>
  <c r="AU83" i="6"/>
  <c r="AV83" i="6"/>
  <c r="AW83" i="6"/>
  <c r="AX83" i="6"/>
  <c r="AY83" i="6"/>
  <c r="AZ83" i="6"/>
  <c r="BA83" i="6"/>
  <c r="BB83" i="6"/>
  <c r="BC83" i="6"/>
  <c r="BD83" i="6"/>
  <c r="AL84" i="6"/>
  <c r="AM84" i="6"/>
  <c r="AN84" i="6"/>
  <c r="AO84" i="6"/>
  <c r="AP84" i="6"/>
  <c r="AQ84" i="6"/>
  <c r="AR84" i="6"/>
  <c r="AS84" i="6"/>
  <c r="AT84" i="6"/>
  <c r="AU84" i="6"/>
  <c r="AV84" i="6"/>
  <c r="AW84" i="6"/>
  <c r="AX84" i="6"/>
  <c r="AY84" i="6"/>
  <c r="AZ84" i="6"/>
  <c r="BA84" i="6"/>
  <c r="BB84" i="6"/>
  <c r="BC84" i="6"/>
  <c r="BD84" i="6"/>
  <c r="AL85" i="6"/>
  <c r="AM85" i="6"/>
  <c r="AN85" i="6"/>
  <c r="AO85" i="6"/>
  <c r="AP85" i="6"/>
  <c r="AQ85" i="6"/>
  <c r="AR85" i="6"/>
  <c r="AS85" i="6"/>
  <c r="AT85" i="6"/>
  <c r="AU85" i="6"/>
  <c r="AV85" i="6"/>
  <c r="AW85" i="6"/>
  <c r="AX85" i="6"/>
  <c r="AY85" i="6"/>
  <c r="AZ85" i="6"/>
  <c r="BA85" i="6"/>
  <c r="BB85" i="6"/>
  <c r="BC85" i="6"/>
  <c r="BD85" i="6"/>
  <c r="AL86" i="6"/>
  <c r="AM86" i="6"/>
  <c r="AN86" i="6"/>
  <c r="AO86" i="6"/>
  <c r="AP86" i="6"/>
  <c r="AQ86" i="6"/>
  <c r="AR86" i="6"/>
  <c r="AS86" i="6"/>
  <c r="AT86" i="6"/>
  <c r="AU86" i="6"/>
  <c r="AV86" i="6"/>
  <c r="AW86" i="6"/>
  <c r="AX86" i="6"/>
  <c r="AY86" i="6"/>
  <c r="AZ86" i="6"/>
  <c r="BA86" i="6"/>
  <c r="BB86" i="6"/>
  <c r="BC86" i="6"/>
  <c r="BD86" i="6"/>
  <c r="AL87" i="6"/>
  <c r="AM87" i="6"/>
  <c r="AN87" i="6"/>
  <c r="AO87" i="6"/>
  <c r="AP87" i="6"/>
  <c r="AQ87" i="6"/>
  <c r="AR87" i="6"/>
  <c r="AS87" i="6"/>
  <c r="AT87" i="6"/>
  <c r="AU87" i="6"/>
  <c r="AV87" i="6"/>
  <c r="AW87" i="6"/>
  <c r="AX87" i="6"/>
  <c r="AY87" i="6"/>
  <c r="AZ87" i="6"/>
  <c r="BA87" i="6"/>
  <c r="BB87" i="6"/>
  <c r="BC87" i="6"/>
  <c r="BD87" i="6"/>
  <c r="AL88" i="6"/>
  <c r="AM88" i="6"/>
  <c r="AN88" i="6"/>
  <c r="AO88" i="6"/>
  <c r="AP88" i="6"/>
  <c r="AQ88" i="6"/>
  <c r="AR88" i="6"/>
  <c r="AS88" i="6"/>
  <c r="AT88" i="6"/>
  <c r="AU88" i="6"/>
  <c r="AV88" i="6"/>
  <c r="AW88" i="6"/>
  <c r="AX88" i="6"/>
  <c r="AY88" i="6"/>
  <c r="AZ88" i="6"/>
  <c r="BA88" i="6"/>
  <c r="BB88" i="6"/>
  <c r="BC88" i="6"/>
  <c r="BD88" i="6"/>
  <c r="AL89" i="6"/>
  <c r="AM89" i="6"/>
  <c r="AN89" i="6"/>
  <c r="AO89" i="6"/>
  <c r="AP89" i="6"/>
  <c r="AQ89" i="6"/>
  <c r="AR89" i="6"/>
  <c r="AS89" i="6"/>
  <c r="AT89" i="6"/>
  <c r="AU89" i="6"/>
  <c r="AV89" i="6"/>
  <c r="AW89" i="6"/>
  <c r="AX89" i="6"/>
  <c r="AY89" i="6"/>
  <c r="AZ89" i="6"/>
  <c r="BA89" i="6"/>
  <c r="BB89" i="6"/>
  <c r="BC89" i="6"/>
  <c r="BD89" i="6"/>
  <c r="AL90" i="6"/>
  <c r="AM90" i="6"/>
  <c r="AN90" i="6"/>
  <c r="AO90" i="6"/>
  <c r="AP90" i="6"/>
  <c r="AQ90" i="6"/>
  <c r="AR90" i="6"/>
  <c r="AS90" i="6"/>
  <c r="AT90" i="6"/>
  <c r="AU90" i="6"/>
  <c r="AV90" i="6"/>
  <c r="AW90" i="6"/>
  <c r="AX90" i="6"/>
  <c r="AY90" i="6"/>
  <c r="AZ90" i="6"/>
  <c r="BA90" i="6"/>
  <c r="BB90" i="6"/>
  <c r="BC90" i="6"/>
  <c r="BD90" i="6"/>
  <c r="AL91" i="6"/>
  <c r="AM91" i="6"/>
  <c r="AN91" i="6"/>
  <c r="AO91" i="6"/>
  <c r="AP91" i="6"/>
  <c r="AQ91" i="6"/>
  <c r="AR91" i="6"/>
  <c r="AS91" i="6"/>
  <c r="AT91" i="6"/>
  <c r="AU91" i="6"/>
  <c r="AV91" i="6"/>
  <c r="AW91" i="6"/>
  <c r="AX91" i="6"/>
  <c r="AY91" i="6"/>
  <c r="AZ91" i="6"/>
  <c r="BA91" i="6"/>
  <c r="BB91" i="6"/>
  <c r="BC91" i="6"/>
  <c r="BD91" i="6"/>
  <c r="AL92" i="6"/>
  <c r="AM92" i="6"/>
  <c r="AN92" i="6"/>
  <c r="AO92" i="6"/>
  <c r="AP92" i="6"/>
  <c r="AQ92" i="6"/>
  <c r="AR92" i="6"/>
  <c r="AS92" i="6"/>
  <c r="AT92" i="6"/>
  <c r="AU92" i="6"/>
  <c r="AV92" i="6"/>
  <c r="AW92" i="6"/>
  <c r="AX92" i="6"/>
  <c r="AY92" i="6"/>
  <c r="AZ92" i="6"/>
  <c r="BA92" i="6"/>
  <c r="BB92" i="6"/>
  <c r="BC92" i="6"/>
  <c r="BD92" i="6"/>
  <c r="AL93" i="6"/>
  <c r="AM93" i="6"/>
  <c r="AN93" i="6"/>
  <c r="AO93" i="6"/>
  <c r="AP93" i="6"/>
  <c r="AQ93" i="6"/>
  <c r="AR93" i="6"/>
  <c r="AS93" i="6"/>
  <c r="AT93" i="6"/>
  <c r="AU93" i="6"/>
  <c r="AV93" i="6"/>
  <c r="AW93" i="6"/>
  <c r="AX93" i="6"/>
  <c r="AY93" i="6"/>
  <c r="AZ93" i="6"/>
  <c r="BA93" i="6"/>
  <c r="BB93" i="6"/>
  <c r="BC93" i="6"/>
  <c r="BD93" i="6"/>
  <c r="AL94" i="6"/>
  <c r="AM94" i="6"/>
  <c r="AN94" i="6"/>
  <c r="AO94" i="6"/>
  <c r="AP94" i="6"/>
  <c r="AQ94" i="6"/>
  <c r="AR94" i="6"/>
  <c r="AS94" i="6"/>
  <c r="AT94" i="6"/>
  <c r="AU94" i="6"/>
  <c r="AV94" i="6"/>
  <c r="AW94" i="6"/>
  <c r="AX94" i="6"/>
  <c r="AY94" i="6"/>
  <c r="AZ94" i="6"/>
  <c r="BA94" i="6"/>
  <c r="BB94" i="6"/>
  <c r="BC94" i="6"/>
  <c r="BD94" i="6"/>
  <c r="AL95" i="6"/>
  <c r="AM95" i="6"/>
  <c r="AN95" i="6"/>
  <c r="AO95" i="6"/>
  <c r="AP95" i="6"/>
  <c r="AQ95" i="6"/>
  <c r="AR95" i="6"/>
  <c r="AS95" i="6"/>
  <c r="AT95" i="6"/>
  <c r="AU95" i="6"/>
  <c r="AV95" i="6"/>
  <c r="AW95" i="6"/>
  <c r="AX95" i="6"/>
  <c r="AY95" i="6"/>
  <c r="AZ95" i="6"/>
  <c r="BA95" i="6"/>
  <c r="BB95" i="6"/>
  <c r="BC95" i="6"/>
  <c r="BD95" i="6"/>
  <c r="AL96" i="6"/>
  <c r="AM96" i="6"/>
  <c r="AN96" i="6"/>
  <c r="AO96" i="6"/>
  <c r="AP96" i="6"/>
  <c r="AQ96" i="6"/>
  <c r="AR96" i="6"/>
  <c r="AS96" i="6"/>
  <c r="AT96" i="6"/>
  <c r="AU96" i="6"/>
  <c r="AV96" i="6"/>
  <c r="AW96" i="6"/>
  <c r="AX96" i="6"/>
  <c r="AY96" i="6"/>
  <c r="AZ96" i="6"/>
  <c r="BA96" i="6"/>
  <c r="BB96" i="6"/>
  <c r="BC96" i="6"/>
  <c r="BD96" i="6"/>
  <c r="AL97" i="6"/>
  <c r="AM97" i="6"/>
  <c r="AN97" i="6"/>
  <c r="AO97" i="6"/>
  <c r="AP97" i="6"/>
  <c r="AQ97" i="6"/>
  <c r="AR97" i="6"/>
  <c r="AS97" i="6"/>
  <c r="AT97" i="6"/>
  <c r="AU97" i="6"/>
  <c r="AV97" i="6"/>
  <c r="AW97" i="6"/>
  <c r="AX97" i="6"/>
  <c r="AY97" i="6"/>
  <c r="AZ97" i="6"/>
  <c r="BA97" i="6"/>
  <c r="BB97" i="6"/>
  <c r="BC97" i="6"/>
  <c r="BD97" i="6"/>
  <c r="AL98" i="6"/>
  <c r="AM98" i="6"/>
  <c r="AN98" i="6"/>
  <c r="AO98" i="6"/>
  <c r="AP98" i="6"/>
  <c r="AQ98" i="6"/>
  <c r="AR98" i="6"/>
  <c r="AS98" i="6"/>
  <c r="AT98" i="6"/>
  <c r="AU98" i="6"/>
  <c r="AV98" i="6"/>
  <c r="AW98" i="6"/>
  <c r="AX98" i="6"/>
  <c r="AY98" i="6"/>
  <c r="AZ98" i="6"/>
  <c r="BA98" i="6"/>
  <c r="BB98" i="6"/>
  <c r="BC98" i="6"/>
  <c r="BD98" i="6"/>
  <c r="AL99" i="6"/>
  <c r="AM99" i="6"/>
  <c r="AN99" i="6"/>
  <c r="AO99" i="6"/>
  <c r="AP99" i="6"/>
  <c r="AQ99" i="6"/>
  <c r="AR99" i="6"/>
  <c r="AS99" i="6"/>
  <c r="AT99" i="6"/>
  <c r="AU99" i="6"/>
  <c r="AV99" i="6"/>
  <c r="AW99" i="6"/>
  <c r="AX99" i="6"/>
  <c r="AY99" i="6"/>
  <c r="AZ99" i="6"/>
  <c r="BA99" i="6"/>
  <c r="BB99" i="6"/>
  <c r="BC99" i="6"/>
  <c r="BD99" i="6"/>
  <c r="AL100" i="6"/>
  <c r="AM100" i="6"/>
  <c r="AN100" i="6"/>
  <c r="AO100" i="6"/>
  <c r="AP100" i="6"/>
  <c r="AQ100" i="6"/>
  <c r="AR100" i="6"/>
  <c r="AS100" i="6"/>
  <c r="AT100" i="6"/>
  <c r="AU100" i="6"/>
  <c r="AV100" i="6"/>
  <c r="AW100" i="6"/>
  <c r="AX100" i="6"/>
  <c r="AY100" i="6"/>
  <c r="AZ100" i="6"/>
  <c r="BA100" i="6"/>
  <c r="BB100" i="6"/>
  <c r="BC100" i="6"/>
  <c r="BD100" i="6"/>
  <c r="AL101" i="6"/>
  <c r="AM101" i="6"/>
  <c r="AN101" i="6"/>
  <c r="AO101" i="6"/>
  <c r="AP101" i="6"/>
  <c r="AQ101" i="6"/>
  <c r="AR101" i="6"/>
  <c r="AS101" i="6"/>
  <c r="AT101" i="6"/>
  <c r="AU101" i="6"/>
  <c r="AV101" i="6"/>
  <c r="AW101" i="6"/>
  <c r="AX101" i="6"/>
  <c r="AY101" i="6"/>
  <c r="AZ101" i="6"/>
  <c r="BA101" i="6"/>
  <c r="BB101" i="6"/>
  <c r="BC101" i="6"/>
  <c r="BD101" i="6"/>
  <c r="AL102" i="6"/>
  <c r="AM102" i="6"/>
  <c r="AN102" i="6"/>
  <c r="AO102" i="6"/>
  <c r="AP102" i="6"/>
  <c r="AQ102" i="6"/>
  <c r="AR102" i="6"/>
  <c r="AS102" i="6"/>
  <c r="AT102" i="6"/>
  <c r="AU102" i="6"/>
  <c r="AV102" i="6"/>
  <c r="AW102" i="6"/>
  <c r="AX102" i="6"/>
  <c r="AY102" i="6"/>
  <c r="AZ102" i="6"/>
  <c r="BA102" i="6"/>
  <c r="BB102" i="6"/>
  <c r="BC102" i="6"/>
  <c r="BD102" i="6"/>
  <c r="AL103" i="6"/>
  <c r="AM103" i="6"/>
  <c r="AN103" i="6"/>
  <c r="AO103" i="6"/>
  <c r="AP103" i="6"/>
  <c r="AQ103" i="6"/>
  <c r="AR103" i="6"/>
  <c r="AS103" i="6"/>
  <c r="AT103" i="6"/>
  <c r="AU103" i="6"/>
  <c r="AV103" i="6"/>
  <c r="AW103" i="6"/>
  <c r="AX103" i="6"/>
  <c r="AY103" i="6"/>
  <c r="AZ103" i="6"/>
  <c r="BA103" i="6"/>
  <c r="BB103" i="6"/>
  <c r="BC103" i="6"/>
  <c r="BD103" i="6"/>
  <c r="AL104" i="6"/>
  <c r="AM104" i="6"/>
  <c r="AN104" i="6"/>
  <c r="AO104" i="6"/>
  <c r="AP104" i="6"/>
  <c r="AQ104" i="6"/>
  <c r="AR104" i="6"/>
  <c r="AS104" i="6"/>
  <c r="AT104" i="6"/>
  <c r="AU104" i="6"/>
  <c r="AV104" i="6"/>
  <c r="AW104" i="6"/>
  <c r="AX104" i="6"/>
  <c r="AY104" i="6"/>
  <c r="AZ104" i="6"/>
  <c r="BA104" i="6"/>
  <c r="BB104" i="6"/>
  <c r="BC104" i="6"/>
  <c r="BD104" i="6"/>
  <c r="AL105" i="6"/>
  <c r="AM105" i="6"/>
  <c r="AN105" i="6"/>
  <c r="AO105" i="6"/>
  <c r="AP105" i="6"/>
  <c r="AQ105" i="6"/>
  <c r="AR105" i="6"/>
  <c r="AS105" i="6"/>
  <c r="AT105" i="6"/>
  <c r="AU105" i="6"/>
  <c r="AV105" i="6"/>
  <c r="AW105" i="6"/>
  <c r="AX105" i="6"/>
  <c r="AY105" i="6"/>
  <c r="AZ105" i="6"/>
  <c r="BA105" i="6"/>
  <c r="BB105" i="6"/>
  <c r="BC105" i="6"/>
  <c r="BD105" i="6"/>
  <c r="AL106" i="6"/>
  <c r="AM106" i="6"/>
  <c r="AN106" i="6"/>
  <c r="AO106" i="6"/>
  <c r="AP106" i="6"/>
  <c r="AQ106" i="6"/>
  <c r="AR106" i="6"/>
  <c r="AS106" i="6"/>
  <c r="AT106" i="6"/>
  <c r="AU106" i="6"/>
  <c r="AV106" i="6"/>
  <c r="AW106" i="6"/>
  <c r="AX106" i="6"/>
  <c r="AY106" i="6"/>
  <c r="AZ106" i="6"/>
  <c r="BA106" i="6"/>
  <c r="BB106" i="6"/>
  <c r="BC106" i="6"/>
  <c r="BD106" i="6"/>
  <c r="AL107" i="6"/>
  <c r="AM107" i="6"/>
  <c r="AN107" i="6"/>
  <c r="AO107" i="6"/>
  <c r="AP107" i="6"/>
  <c r="AQ107" i="6"/>
  <c r="AR107" i="6"/>
  <c r="AS107" i="6"/>
  <c r="AT107" i="6"/>
  <c r="AU107" i="6"/>
  <c r="AV107" i="6"/>
  <c r="AW107" i="6"/>
  <c r="AX107" i="6"/>
  <c r="AY107" i="6"/>
  <c r="AZ107" i="6"/>
  <c r="BA107" i="6"/>
  <c r="BB107" i="6"/>
  <c r="BC107" i="6"/>
  <c r="BD107" i="6"/>
  <c r="AL108" i="6"/>
  <c r="AM108" i="6"/>
  <c r="AN108" i="6"/>
  <c r="AO108" i="6"/>
  <c r="AP108" i="6"/>
  <c r="AQ108" i="6"/>
  <c r="AR108" i="6"/>
  <c r="AS108" i="6"/>
  <c r="AT108" i="6"/>
  <c r="AU108" i="6"/>
  <c r="AV108" i="6"/>
  <c r="AW108" i="6"/>
  <c r="AX108" i="6"/>
  <c r="AY108" i="6"/>
  <c r="AZ108" i="6"/>
  <c r="BA108" i="6"/>
  <c r="BB108" i="6"/>
  <c r="BC108" i="6"/>
  <c r="BD108" i="6"/>
  <c r="AL109" i="6"/>
  <c r="AM109" i="6"/>
  <c r="AN109" i="6"/>
  <c r="AO109" i="6"/>
  <c r="AP109" i="6"/>
  <c r="AQ109" i="6"/>
  <c r="AR109" i="6"/>
  <c r="AS109" i="6"/>
  <c r="AT109" i="6"/>
  <c r="AU109" i="6"/>
  <c r="AV109" i="6"/>
  <c r="AW109" i="6"/>
  <c r="AX109" i="6"/>
  <c r="AY109" i="6"/>
  <c r="AZ109" i="6"/>
  <c r="BA109" i="6"/>
  <c r="BB109" i="6"/>
  <c r="BC109" i="6"/>
  <c r="BD109" i="6"/>
  <c r="AL110" i="6"/>
  <c r="AM110" i="6"/>
  <c r="AN110" i="6"/>
  <c r="AO110" i="6"/>
  <c r="AP110" i="6"/>
  <c r="AQ110" i="6"/>
  <c r="AR110" i="6"/>
  <c r="AS110" i="6"/>
  <c r="AT110" i="6"/>
  <c r="AU110" i="6"/>
  <c r="AV110" i="6"/>
  <c r="AW110" i="6"/>
  <c r="AX110" i="6"/>
  <c r="AY110" i="6"/>
  <c r="AZ110" i="6"/>
  <c r="BA110" i="6"/>
  <c r="BB110" i="6"/>
  <c r="BC110" i="6"/>
  <c r="BD110" i="6"/>
  <c r="AL111" i="6"/>
  <c r="AM111" i="6"/>
  <c r="AN111" i="6"/>
  <c r="AO111" i="6"/>
  <c r="AP111" i="6"/>
  <c r="AQ111" i="6"/>
  <c r="AR111" i="6"/>
  <c r="AS111" i="6"/>
  <c r="AT111" i="6"/>
  <c r="AU111" i="6"/>
  <c r="AV111" i="6"/>
  <c r="AW111" i="6"/>
  <c r="AX111" i="6"/>
  <c r="AY111" i="6"/>
  <c r="AZ111" i="6"/>
  <c r="BA111" i="6"/>
  <c r="BB111" i="6"/>
  <c r="BC111" i="6"/>
  <c r="BD111" i="6"/>
  <c r="AL112" i="6"/>
  <c r="AM112" i="6"/>
  <c r="AN112" i="6"/>
  <c r="AO112" i="6"/>
  <c r="AP112" i="6"/>
  <c r="AQ112" i="6"/>
  <c r="AR112" i="6"/>
  <c r="AS112" i="6"/>
  <c r="AT112" i="6"/>
  <c r="AU112" i="6"/>
  <c r="AV112" i="6"/>
  <c r="AW112" i="6"/>
  <c r="AX112" i="6"/>
  <c r="AY112" i="6"/>
  <c r="AZ112" i="6"/>
  <c r="BA112" i="6"/>
  <c r="BB112" i="6"/>
  <c r="BC112" i="6"/>
  <c r="BD112" i="6"/>
  <c r="AL113" i="6"/>
  <c r="AM113" i="6"/>
  <c r="AN113" i="6"/>
  <c r="AO113" i="6"/>
  <c r="AP113" i="6"/>
  <c r="AQ113" i="6"/>
  <c r="AR113" i="6"/>
  <c r="AS113" i="6"/>
  <c r="AT113" i="6"/>
  <c r="AU113" i="6"/>
  <c r="AV113" i="6"/>
  <c r="AW113" i="6"/>
  <c r="AX113" i="6"/>
  <c r="AY113" i="6"/>
  <c r="AZ113" i="6"/>
  <c r="BA113" i="6"/>
  <c r="BB113" i="6"/>
  <c r="BC113" i="6"/>
  <c r="BD113" i="6"/>
  <c r="AL114" i="6"/>
  <c r="AM114" i="6"/>
  <c r="AN114" i="6"/>
  <c r="AO114" i="6"/>
  <c r="AP114" i="6"/>
  <c r="AQ114" i="6"/>
  <c r="AR114" i="6"/>
  <c r="AS114" i="6"/>
  <c r="AT114" i="6"/>
  <c r="AU114" i="6"/>
  <c r="AV114" i="6"/>
  <c r="AW114" i="6"/>
  <c r="AX114" i="6"/>
  <c r="AY114" i="6"/>
  <c r="AZ114" i="6"/>
  <c r="BA114" i="6"/>
  <c r="BB114" i="6"/>
  <c r="BC114" i="6"/>
  <c r="BD114" i="6"/>
  <c r="AL115" i="6"/>
  <c r="AM115" i="6"/>
  <c r="AN115" i="6"/>
  <c r="AO115" i="6"/>
  <c r="AP115" i="6"/>
  <c r="AQ115" i="6"/>
  <c r="AR115" i="6"/>
  <c r="AS115" i="6"/>
  <c r="AT115" i="6"/>
  <c r="AU115" i="6"/>
  <c r="AV115" i="6"/>
  <c r="AW115" i="6"/>
  <c r="AX115" i="6"/>
  <c r="AY115" i="6"/>
  <c r="AZ115" i="6"/>
  <c r="BA115" i="6"/>
  <c r="BB115" i="6"/>
  <c r="BC115" i="6"/>
  <c r="BD115" i="6"/>
  <c r="AL116" i="6"/>
  <c r="AM116" i="6"/>
  <c r="AN116" i="6"/>
  <c r="AO116" i="6"/>
  <c r="AP116" i="6"/>
  <c r="AQ116" i="6"/>
  <c r="AR116" i="6"/>
  <c r="AS116" i="6"/>
  <c r="AT116" i="6"/>
  <c r="AU116" i="6"/>
  <c r="AV116" i="6"/>
  <c r="AW116" i="6"/>
  <c r="AX116" i="6"/>
  <c r="AY116" i="6"/>
  <c r="AZ116" i="6"/>
  <c r="BA116" i="6"/>
  <c r="BB116" i="6"/>
  <c r="BC116" i="6"/>
  <c r="BD116" i="6"/>
  <c r="AL117" i="6"/>
  <c r="AM117" i="6"/>
  <c r="AN117" i="6"/>
  <c r="AO117" i="6"/>
  <c r="AP117" i="6"/>
  <c r="AQ117" i="6"/>
  <c r="AR117" i="6"/>
  <c r="AS117" i="6"/>
  <c r="AT117" i="6"/>
  <c r="AU117" i="6"/>
  <c r="AV117" i="6"/>
  <c r="AW117" i="6"/>
  <c r="AX117" i="6"/>
  <c r="AY117" i="6"/>
  <c r="AZ117" i="6"/>
  <c r="BA117" i="6"/>
  <c r="BB117" i="6"/>
  <c r="BC117" i="6"/>
  <c r="BD117" i="6"/>
  <c r="AL118" i="6"/>
  <c r="AM118" i="6"/>
  <c r="AN118" i="6"/>
  <c r="AO118" i="6"/>
  <c r="AP118" i="6"/>
  <c r="AQ118" i="6"/>
  <c r="AR118" i="6"/>
  <c r="AS118" i="6"/>
  <c r="AT118" i="6"/>
  <c r="AU118" i="6"/>
  <c r="AV118" i="6"/>
  <c r="AW118" i="6"/>
  <c r="AX118" i="6"/>
  <c r="AY118" i="6"/>
  <c r="AZ118" i="6"/>
  <c r="BA118" i="6"/>
  <c r="BB118" i="6"/>
  <c r="BC118" i="6"/>
  <c r="BD118" i="6"/>
  <c r="AL119" i="6"/>
  <c r="AM119" i="6"/>
  <c r="AN119" i="6"/>
  <c r="AO119" i="6"/>
  <c r="AP119" i="6"/>
  <c r="AQ119" i="6"/>
  <c r="AR119" i="6"/>
  <c r="AS119" i="6"/>
  <c r="AT119" i="6"/>
  <c r="AU119" i="6"/>
  <c r="AV119" i="6"/>
  <c r="AW119" i="6"/>
  <c r="AX119" i="6"/>
  <c r="AY119" i="6"/>
  <c r="AZ119" i="6"/>
  <c r="BA119" i="6"/>
  <c r="BB119" i="6"/>
  <c r="BC119" i="6"/>
  <c r="BD119" i="6"/>
  <c r="AL120" i="6"/>
  <c r="AM120" i="6"/>
  <c r="AN120" i="6"/>
  <c r="AO120" i="6"/>
  <c r="AP120" i="6"/>
  <c r="AQ120" i="6"/>
  <c r="AR120" i="6"/>
  <c r="AS120" i="6"/>
  <c r="AT120" i="6"/>
  <c r="AU120" i="6"/>
  <c r="AV120" i="6"/>
  <c r="AW120" i="6"/>
  <c r="AX120" i="6"/>
  <c r="AY120" i="6"/>
  <c r="AZ120" i="6"/>
  <c r="BA120" i="6"/>
  <c r="BB120" i="6"/>
  <c r="BC120" i="6"/>
  <c r="BD120" i="6"/>
  <c r="AL121" i="6"/>
  <c r="AM121" i="6"/>
  <c r="AN121" i="6"/>
  <c r="AO121" i="6"/>
  <c r="AP121" i="6"/>
  <c r="AQ121" i="6"/>
  <c r="AR121" i="6"/>
  <c r="AS121" i="6"/>
  <c r="AT121" i="6"/>
  <c r="AU121" i="6"/>
  <c r="AV121" i="6"/>
  <c r="AW121" i="6"/>
  <c r="AX121" i="6"/>
  <c r="AY121" i="6"/>
  <c r="AZ121" i="6"/>
  <c r="BA121" i="6"/>
  <c r="BB121" i="6"/>
  <c r="BC121" i="6"/>
  <c r="BD121" i="6"/>
  <c r="AL122" i="6"/>
  <c r="AM122" i="6"/>
  <c r="AN122" i="6"/>
  <c r="AO122" i="6"/>
  <c r="AP122" i="6"/>
  <c r="AQ122" i="6"/>
  <c r="AR122" i="6"/>
  <c r="AS122" i="6"/>
  <c r="AT122" i="6"/>
  <c r="AU122" i="6"/>
  <c r="AV122" i="6"/>
  <c r="AW122" i="6"/>
  <c r="AX122" i="6"/>
  <c r="AY122" i="6"/>
  <c r="AZ122" i="6"/>
  <c r="BA122" i="6"/>
  <c r="BB122" i="6"/>
  <c r="BC122" i="6"/>
  <c r="BD122" i="6"/>
  <c r="AL123" i="6"/>
  <c r="AM123" i="6"/>
  <c r="AN123" i="6"/>
  <c r="AO123" i="6"/>
  <c r="AP123" i="6"/>
  <c r="AQ123" i="6"/>
  <c r="AR123" i="6"/>
  <c r="AS123" i="6"/>
  <c r="AT123" i="6"/>
  <c r="AU123" i="6"/>
  <c r="AV123" i="6"/>
  <c r="AW123" i="6"/>
  <c r="AX123" i="6"/>
  <c r="AY123" i="6"/>
  <c r="AZ123" i="6"/>
  <c r="BA123" i="6"/>
  <c r="BB123" i="6"/>
  <c r="BC123" i="6"/>
  <c r="BD123" i="6"/>
  <c r="AL124" i="6"/>
  <c r="AM124" i="6"/>
  <c r="AN124" i="6"/>
  <c r="AO124" i="6"/>
  <c r="AP124" i="6"/>
  <c r="AQ124" i="6"/>
  <c r="AR124" i="6"/>
  <c r="AS124" i="6"/>
  <c r="AT124" i="6"/>
  <c r="AU124" i="6"/>
  <c r="AV124" i="6"/>
  <c r="AW124" i="6"/>
  <c r="AX124" i="6"/>
  <c r="AY124" i="6"/>
  <c r="AZ124" i="6"/>
  <c r="BA124" i="6"/>
  <c r="BB124" i="6"/>
  <c r="BC124" i="6"/>
  <c r="BD124" i="6"/>
  <c r="AL125" i="6"/>
  <c r="AM125" i="6"/>
  <c r="AN125" i="6"/>
  <c r="AO125" i="6"/>
  <c r="AP125" i="6"/>
  <c r="AQ125" i="6"/>
  <c r="AR125" i="6"/>
  <c r="AS125" i="6"/>
  <c r="AT125" i="6"/>
  <c r="AU125" i="6"/>
  <c r="AV125" i="6"/>
  <c r="AW125" i="6"/>
  <c r="AX125" i="6"/>
  <c r="AY125" i="6"/>
  <c r="AZ125" i="6"/>
  <c r="BA125" i="6"/>
  <c r="BB125" i="6"/>
  <c r="BC125" i="6"/>
  <c r="BD125" i="6"/>
  <c r="AL126" i="6"/>
  <c r="AM126" i="6"/>
  <c r="AN126" i="6"/>
  <c r="AO126" i="6"/>
  <c r="AP126" i="6"/>
  <c r="AQ126" i="6"/>
  <c r="AR126" i="6"/>
  <c r="AS126" i="6"/>
  <c r="AT126" i="6"/>
  <c r="AU126" i="6"/>
  <c r="AV126" i="6"/>
  <c r="AW126" i="6"/>
  <c r="AX126" i="6"/>
  <c r="AY126" i="6"/>
  <c r="AZ126" i="6"/>
  <c r="BA126" i="6"/>
  <c r="BB126" i="6"/>
  <c r="BC126" i="6"/>
  <c r="BD126" i="6"/>
  <c r="AL127" i="6"/>
  <c r="AM127" i="6"/>
  <c r="AN127" i="6"/>
  <c r="AO127" i="6"/>
  <c r="AP127" i="6"/>
  <c r="AQ127" i="6"/>
  <c r="AR127" i="6"/>
  <c r="AS127" i="6"/>
  <c r="AT127" i="6"/>
  <c r="AU127" i="6"/>
  <c r="AV127" i="6"/>
  <c r="AW127" i="6"/>
  <c r="AX127" i="6"/>
  <c r="AY127" i="6"/>
  <c r="AZ127" i="6"/>
  <c r="BA127" i="6"/>
  <c r="BB127" i="6"/>
  <c r="BC127" i="6"/>
  <c r="BD127" i="6"/>
  <c r="AL128" i="6"/>
  <c r="AM128" i="6"/>
  <c r="AN128" i="6"/>
  <c r="AO128" i="6"/>
  <c r="AP128" i="6"/>
  <c r="AQ128" i="6"/>
  <c r="AR128" i="6"/>
  <c r="AS128" i="6"/>
  <c r="AT128" i="6"/>
  <c r="AU128" i="6"/>
  <c r="AV128" i="6"/>
  <c r="AW128" i="6"/>
  <c r="AX128" i="6"/>
  <c r="AY128" i="6"/>
  <c r="AZ128" i="6"/>
  <c r="BA128" i="6"/>
  <c r="BB128" i="6"/>
  <c r="BC128" i="6"/>
  <c r="BD128" i="6"/>
  <c r="AL129" i="6"/>
  <c r="AM129" i="6"/>
  <c r="AN129" i="6"/>
  <c r="AO129" i="6"/>
  <c r="AP129" i="6"/>
  <c r="AQ129" i="6"/>
  <c r="AR129" i="6"/>
  <c r="AS129" i="6"/>
  <c r="AT129" i="6"/>
  <c r="AU129" i="6"/>
  <c r="AV129" i="6"/>
  <c r="AW129" i="6"/>
  <c r="AX129" i="6"/>
  <c r="AY129" i="6"/>
  <c r="AZ129" i="6"/>
  <c r="BA129" i="6"/>
  <c r="BB129" i="6"/>
  <c r="BC129" i="6"/>
  <c r="BD129" i="6"/>
  <c r="AL130" i="6"/>
  <c r="AM130" i="6"/>
  <c r="AN130" i="6"/>
  <c r="AO130" i="6"/>
  <c r="AP130" i="6"/>
  <c r="AQ130" i="6"/>
  <c r="AR130" i="6"/>
  <c r="AS130" i="6"/>
  <c r="AT130" i="6"/>
  <c r="AU130" i="6"/>
  <c r="AV130" i="6"/>
  <c r="AW130" i="6"/>
  <c r="AX130" i="6"/>
  <c r="AY130" i="6"/>
  <c r="AZ130" i="6"/>
  <c r="BA130" i="6"/>
  <c r="BB130" i="6"/>
  <c r="BC130" i="6"/>
  <c r="BD130" i="6"/>
  <c r="AL131" i="6"/>
  <c r="AM131" i="6"/>
  <c r="AN131" i="6"/>
  <c r="AO131" i="6"/>
  <c r="AP131" i="6"/>
  <c r="AQ131" i="6"/>
  <c r="AR131" i="6"/>
  <c r="AS131" i="6"/>
  <c r="AT131" i="6"/>
  <c r="AU131" i="6"/>
  <c r="AV131" i="6"/>
  <c r="AW131" i="6"/>
  <c r="AX131" i="6"/>
  <c r="AY131" i="6"/>
  <c r="AZ131" i="6"/>
  <c r="BA131" i="6"/>
  <c r="BB131" i="6"/>
  <c r="BC131" i="6"/>
  <c r="BD131" i="6"/>
  <c r="AL132" i="6"/>
  <c r="AM132" i="6"/>
  <c r="AN132" i="6"/>
  <c r="AO132" i="6"/>
  <c r="AP132" i="6"/>
  <c r="AQ132" i="6"/>
  <c r="AR132" i="6"/>
  <c r="AS132" i="6"/>
  <c r="AT132" i="6"/>
  <c r="AU132" i="6"/>
  <c r="AV132" i="6"/>
  <c r="AW132" i="6"/>
  <c r="AX132" i="6"/>
  <c r="AY132" i="6"/>
  <c r="AZ132" i="6"/>
  <c r="BA132" i="6"/>
  <c r="BB132" i="6"/>
  <c r="BC132" i="6"/>
  <c r="BD132" i="6"/>
  <c r="AL133" i="6"/>
  <c r="AM133" i="6"/>
  <c r="AN133" i="6"/>
  <c r="AO133" i="6"/>
  <c r="AP133" i="6"/>
  <c r="AQ133" i="6"/>
  <c r="AR133" i="6"/>
  <c r="AS133" i="6"/>
  <c r="AT133" i="6"/>
  <c r="AU133" i="6"/>
  <c r="AV133" i="6"/>
  <c r="AW133" i="6"/>
  <c r="AX133" i="6"/>
  <c r="AY133" i="6"/>
  <c r="AZ133" i="6"/>
  <c r="BA133" i="6"/>
  <c r="BB133" i="6"/>
  <c r="BC133" i="6"/>
  <c r="BD133" i="6"/>
  <c r="AL134" i="6"/>
  <c r="AM134" i="6"/>
  <c r="AN134" i="6"/>
  <c r="AO134" i="6"/>
  <c r="AP134" i="6"/>
  <c r="AQ134" i="6"/>
  <c r="AR134" i="6"/>
  <c r="AS134" i="6"/>
  <c r="AT134" i="6"/>
  <c r="AU134" i="6"/>
  <c r="AV134" i="6"/>
  <c r="AW134" i="6"/>
  <c r="AX134" i="6"/>
  <c r="AY134" i="6"/>
  <c r="AZ134" i="6"/>
  <c r="BA134" i="6"/>
  <c r="BB134" i="6"/>
  <c r="BC134" i="6"/>
  <c r="BD134" i="6"/>
  <c r="AL135" i="6"/>
  <c r="AM135" i="6"/>
  <c r="AN135" i="6"/>
  <c r="AO135" i="6"/>
  <c r="AP135" i="6"/>
  <c r="AQ135" i="6"/>
  <c r="AR135" i="6"/>
  <c r="AS135" i="6"/>
  <c r="AT135" i="6"/>
  <c r="AU135" i="6"/>
  <c r="AV135" i="6"/>
  <c r="AW135" i="6"/>
  <c r="AX135" i="6"/>
  <c r="AY135" i="6"/>
  <c r="AZ135" i="6"/>
  <c r="BA135" i="6"/>
  <c r="BB135" i="6"/>
  <c r="BC135" i="6"/>
  <c r="BD135" i="6"/>
  <c r="AL136" i="6"/>
  <c r="AM136" i="6"/>
  <c r="AN136" i="6"/>
  <c r="AO136" i="6"/>
  <c r="AP136" i="6"/>
  <c r="AQ136" i="6"/>
  <c r="AR136" i="6"/>
  <c r="AS136" i="6"/>
  <c r="AT136" i="6"/>
  <c r="AU136" i="6"/>
  <c r="AV136" i="6"/>
  <c r="AW136" i="6"/>
  <c r="AX136" i="6"/>
  <c r="AY136" i="6"/>
  <c r="AZ136" i="6"/>
  <c r="BA136" i="6"/>
  <c r="BB136" i="6"/>
  <c r="BC136" i="6"/>
  <c r="BD136" i="6"/>
  <c r="AL137" i="6"/>
  <c r="AM137" i="6"/>
  <c r="AN137" i="6"/>
  <c r="AO137" i="6"/>
  <c r="AP137" i="6"/>
  <c r="AQ137" i="6"/>
  <c r="AR137" i="6"/>
  <c r="AS137" i="6"/>
  <c r="AT137" i="6"/>
  <c r="AU137" i="6"/>
  <c r="AV137" i="6"/>
  <c r="AW137" i="6"/>
  <c r="AX137" i="6"/>
  <c r="AY137" i="6"/>
  <c r="AZ137" i="6"/>
  <c r="BA137" i="6"/>
  <c r="BB137" i="6"/>
  <c r="BC137" i="6"/>
  <c r="BD137" i="6"/>
  <c r="AL138" i="6"/>
  <c r="AM138" i="6"/>
  <c r="AN138" i="6"/>
  <c r="AO138" i="6"/>
  <c r="AP138" i="6"/>
  <c r="AQ138" i="6"/>
  <c r="AR138" i="6"/>
  <c r="AS138" i="6"/>
  <c r="AT138" i="6"/>
  <c r="AU138" i="6"/>
  <c r="AV138" i="6"/>
  <c r="AW138" i="6"/>
  <c r="AX138" i="6"/>
  <c r="AY138" i="6"/>
  <c r="AZ138" i="6"/>
  <c r="BA138" i="6"/>
  <c r="BB138" i="6"/>
  <c r="BC138" i="6"/>
  <c r="BD138" i="6"/>
  <c r="AL139" i="6"/>
  <c r="AM139" i="6"/>
  <c r="AN139" i="6"/>
  <c r="AO139" i="6"/>
  <c r="AP139" i="6"/>
  <c r="AQ139" i="6"/>
  <c r="AR139" i="6"/>
  <c r="AS139" i="6"/>
  <c r="AT139" i="6"/>
  <c r="AU139" i="6"/>
  <c r="AV139" i="6"/>
  <c r="AW139" i="6"/>
  <c r="AX139" i="6"/>
  <c r="AY139" i="6"/>
  <c r="AZ139" i="6"/>
  <c r="BA139" i="6"/>
  <c r="BB139" i="6"/>
  <c r="BC139" i="6"/>
  <c r="BD139" i="6"/>
  <c r="AL140" i="6"/>
  <c r="AM140" i="6"/>
  <c r="AN140" i="6"/>
  <c r="AO140" i="6"/>
  <c r="AP140" i="6"/>
  <c r="AQ140" i="6"/>
  <c r="AR140" i="6"/>
  <c r="AS140" i="6"/>
  <c r="AT140" i="6"/>
  <c r="AU140" i="6"/>
  <c r="AV140" i="6"/>
  <c r="AW140" i="6"/>
  <c r="AX140" i="6"/>
  <c r="AY140" i="6"/>
  <c r="AZ140" i="6"/>
  <c r="BA140" i="6"/>
  <c r="BB140" i="6"/>
  <c r="BC140" i="6"/>
  <c r="BD140" i="6"/>
  <c r="AL141" i="6"/>
  <c r="AM141" i="6"/>
  <c r="AN141" i="6"/>
  <c r="AO141" i="6"/>
  <c r="AP141" i="6"/>
  <c r="AQ141" i="6"/>
  <c r="AR141" i="6"/>
  <c r="AS141" i="6"/>
  <c r="AT141" i="6"/>
  <c r="AU141" i="6"/>
  <c r="AV141" i="6"/>
  <c r="AW141" i="6"/>
  <c r="AX141" i="6"/>
  <c r="AY141" i="6"/>
  <c r="AZ141" i="6"/>
  <c r="BA141" i="6"/>
  <c r="BB141" i="6"/>
  <c r="BC141" i="6"/>
  <c r="BD141" i="6"/>
  <c r="AL142" i="6"/>
  <c r="AM142" i="6"/>
  <c r="AN142" i="6"/>
  <c r="AO142" i="6"/>
  <c r="AP142" i="6"/>
  <c r="AQ142" i="6"/>
  <c r="AR142" i="6"/>
  <c r="AS142" i="6"/>
  <c r="AT142" i="6"/>
  <c r="AU142" i="6"/>
  <c r="AV142" i="6"/>
  <c r="AW142" i="6"/>
  <c r="AX142" i="6"/>
  <c r="AY142" i="6"/>
  <c r="AZ142" i="6"/>
  <c r="BA142" i="6"/>
  <c r="BB142" i="6"/>
  <c r="BC142" i="6"/>
  <c r="BD142" i="6"/>
  <c r="AL143" i="6"/>
  <c r="AM143" i="6"/>
  <c r="AN143" i="6"/>
  <c r="AO143" i="6"/>
  <c r="AP143" i="6"/>
  <c r="AQ143" i="6"/>
  <c r="AR143" i="6"/>
  <c r="AS143" i="6"/>
  <c r="AT143" i="6"/>
  <c r="AU143" i="6"/>
  <c r="AV143" i="6"/>
  <c r="AW143" i="6"/>
  <c r="AX143" i="6"/>
  <c r="AY143" i="6"/>
  <c r="AZ143" i="6"/>
  <c r="BA143" i="6"/>
  <c r="BB143" i="6"/>
  <c r="BC143" i="6"/>
  <c r="BD143" i="6"/>
  <c r="AL144" i="6"/>
  <c r="AM144" i="6"/>
  <c r="AN144" i="6"/>
  <c r="AO144" i="6"/>
  <c r="AP144" i="6"/>
  <c r="AQ144" i="6"/>
  <c r="AR144" i="6"/>
  <c r="AS144" i="6"/>
  <c r="AT144" i="6"/>
  <c r="AU144" i="6"/>
  <c r="AV144" i="6"/>
  <c r="AW144" i="6"/>
  <c r="AX144" i="6"/>
  <c r="AY144" i="6"/>
  <c r="AZ144" i="6"/>
  <c r="BA144" i="6"/>
  <c r="BB144" i="6"/>
  <c r="BC144" i="6"/>
  <c r="BD144" i="6"/>
  <c r="AL145" i="6"/>
  <c r="AM145" i="6"/>
  <c r="AN145" i="6"/>
  <c r="AO145" i="6"/>
  <c r="AP145" i="6"/>
  <c r="AQ145" i="6"/>
  <c r="AR145" i="6"/>
  <c r="AS145" i="6"/>
  <c r="AT145" i="6"/>
  <c r="AU145" i="6"/>
  <c r="AV145" i="6"/>
  <c r="AW145" i="6"/>
  <c r="AX145" i="6"/>
  <c r="AY145" i="6"/>
  <c r="AZ145" i="6"/>
  <c r="BA145" i="6"/>
  <c r="BB145" i="6"/>
  <c r="BC145" i="6"/>
  <c r="BD145" i="6"/>
  <c r="AL146" i="6"/>
  <c r="AM146" i="6"/>
  <c r="AN146" i="6"/>
  <c r="AO146" i="6"/>
  <c r="AP146" i="6"/>
  <c r="AQ146" i="6"/>
  <c r="AR146" i="6"/>
  <c r="AS146" i="6"/>
  <c r="AT146" i="6"/>
  <c r="AU146" i="6"/>
  <c r="AV146" i="6"/>
  <c r="AW146" i="6"/>
  <c r="AX146" i="6"/>
  <c r="AY146" i="6"/>
  <c r="AZ146" i="6"/>
  <c r="BA146" i="6"/>
  <c r="BB146" i="6"/>
  <c r="BC146" i="6"/>
  <c r="BD146" i="6"/>
  <c r="AL147" i="6"/>
  <c r="AM147" i="6"/>
  <c r="AN147" i="6"/>
  <c r="AO147" i="6"/>
  <c r="AP147" i="6"/>
  <c r="AQ147" i="6"/>
  <c r="AR147" i="6"/>
  <c r="AS147" i="6"/>
  <c r="AT147" i="6"/>
  <c r="AU147" i="6"/>
  <c r="AV147" i="6"/>
  <c r="AW147" i="6"/>
  <c r="AX147" i="6"/>
  <c r="AY147" i="6"/>
  <c r="AZ147" i="6"/>
  <c r="BA147" i="6"/>
  <c r="BB147" i="6"/>
  <c r="BC147" i="6"/>
  <c r="BD147" i="6"/>
  <c r="AL148" i="6"/>
  <c r="AM148" i="6"/>
  <c r="AN148" i="6"/>
  <c r="AO148" i="6"/>
  <c r="AP148" i="6"/>
  <c r="AQ148" i="6"/>
  <c r="AR148" i="6"/>
  <c r="AS148" i="6"/>
  <c r="AT148" i="6"/>
  <c r="AU148" i="6"/>
  <c r="AV148" i="6"/>
  <c r="AW148" i="6"/>
  <c r="AX148" i="6"/>
  <c r="AY148" i="6"/>
  <c r="AZ148" i="6"/>
  <c r="BA148" i="6"/>
  <c r="BB148" i="6"/>
  <c r="BC148" i="6"/>
  <c r="BD148" i="6"/>
  <c r="AL149" i="6"/>
  <c r="AM149" i="6"/>
  <c r="AN149" i="6"/>
  <c r="AO149" i="6"/>
  <c r="AP149" i="6"/>
  <c r="AQ149" i="6"/>
  <c r="AR149" i="6"/>
  <c r="AS149" i="6"/>
  <c r="AT149" i="6"/>
  <c r="AU149" i="6"/>
  <c r="AV149" i="6"/>
  <c r="AW149" i="6"/>
  <c r="AX149" i="6"/>
  <c r="AY149" i="6"/>
  <c r="AZ149" i="6"/>
  <c r="BA149" i="6"/>
  <c r="BB149" i="6"/>
  <c r="BC149" i="6"/>
  <c r="BD149" i="6"/>
  <c r="AL150" i="6"/>
  <c r="AM150" i="6"/>
  <c r="AN150" i="6"/>
  <c r="AO150" i="6"/>
  <c r="AP150" i="6"/>
  <c r="AQ150" i="6"/>
  <c r="AR150" i="6"/>
  <c r="AS150" i="6"/>
  <c r="AT150" i="6"/>
  <c r="AU150" i="6"/>
  <c r="AV150" i="6"/>
  <c r="AW150" i="6"/>
  <c r="AX150" i="6"/>
  <c r="AY150" i="6"/>
  <c r="AZ150" i="6"/>
  <c r="BA150" i="6"/>
  <c r="BB150" i="6"/>
  <c r="BC150" i="6"/>
  <c r="BD150" i="6"/>
  <c r="AL151" i="6"/>
  <c r="AM151" i="6"/>
  <c r="AN151" i="6"/>
  <c r="AO151" i="6"/>
  <c r="AP151" i="6"/>
  <c r="AQ151" i="6"/>
  <c r="AR151" i="6"/>
  <c r="AS151" i="6"/>
  <c r="AT151" i="6"/>
  <c r="AU151" i="6"/>
  <c r="AV151" i="6"/>
  <c r="AW151" i="6"/>
  <c r="AX151" i="6"/>
  <c r="AY151" i="6"/>
  <c r="AZ151" i="6"/>
  <c r="BA151" i="6"/>
  <c r="BB151" i="6"/>
  <c r="BC151" i="6"/>
  <c r="BD151" i="6"/>
  <c r="AL152" i="6"/>
  <c r="AM152" i="6"/>
  <c r="AN152" i="6"/>
  <c r="AO152" i="6"/>
  <c r="AP152" i="6"/>
  <c r="AQ152" i="6"/>
  <c r="AR152" i="6"/>
  <c r="AS152" i="6"/>
  <c r="AT152" i="6"/>
  <c r="AU152" i="6"/>
  <c r="AV152" i="6"/>
  <c r="AW152" i="6"/>
  <c r="AX152" i="6"/>
  <c r="AY152" i="6"/>
  <c r="AZ152" i="6"/>
  <c r="BA152" i="6"/>
  <c r="BB152" i="6"/>
  <c r="BC152" i="6"/>
  <c r="BD152" i="6"/>
  <c r="AL153" i="6"/>
  <c r="AM153" i="6"/>
  <c r="AN153" i="6"/>
  <c r="AO153" i="6"/>
  <c r="AP153" i="6"/>
  <c r="AQ153" i="6"/>
  <c r="AR153" i="6"/>
  <c r="AS153" i="6"/>
  <c r="AT153" i="6"/>
  <c r="AU153" i="6"/>
  <c r="AV153" i="6"/>
  <c r="AW153" i="6"/>
  <c r="AX153" i="6"/>
  <c r="AY153" i="6"/>
  <c r="AZ153" i="6"/>
  <c r="BA153" i="6"/>
  <c r="BB153" i="6"/>
  <c r="BC153" i="6"/>
  <c r="BD153" i="6"/>
  <c r="AL154" i="6"/>
  <c r="AM154" i="6"/>
  <c r="AN154" i="6"/>
  <c r="AO154" i="6"/>
  <c r="AP154" i="6"/>
  <c r="AQ154" i="6"/>
  <c r="AR154" i="6"/>
  <c r="AS154" i="6"/>
  <c r="AT154" i="6"/>
  <c r="AU154" i="6"/>
  <c r="AV154" i="6"/>
  <c r="AW154" i="6"/>
  <c r="AX154" i="6"/>
  <c r="AY154" i="6"/>
  <c r="AZ154" i="6"/>
  <c r="BA154" i="6"/>
  <c r="BB154" i="6"/>
  <c r="BC154" i="6"/>
  <c r="BD154" i="6"/>
  <c r="AL155" i="6"/>
  <c r="AM155" i="6"/>
  <c r="AN155" i="6"/>
  <c r="AO155" i="6"/>
  <c r="AP155" i="6"/>
  <c r="AQ155" i="6"/>
  <c r="AR155" i="6"/>
  <c r="AS155" i="6"/>
  <c r="AT155" i="6"/>
  <c r="AU155" i="6"/>
  <c r="AV155" i="6"/>
  <c r="AW155" i="6"/>
  <c r="AX155" i="6"/>
  <c r="AY155" i="6"/>
  <c r="AZ155" i="6"/>
  <c r="BA155" i="6"/>
  <c r="BB155" i="6"/>
  <c r="BC155" i="6"/>
  <c r="BD155" i="6"/>
  <c r="AL156" i="6"/>
  <c r="AM156" i="6"/>
  <c r="AN156" i="6"/>
  <c r="AO156" i="6"/>
  <c r="AP156" i="6"/>
  <c r="AQ156" i="6"/>
  <c r="AR156" i="6"/>
  <c r="AS156" i="6"/>
  <c r="AT156" i="6"/>
  <c r="AU156" i="6"/>
  <c r="AV156" i="6"/>
  <c r="AW156" i="6"/>
  <c r="AX156" i="6"/>
  <c r="AY156" i="6"/>
  <c r="AZ156" i="6"/>
  <c r="BA156" i="6"/>
  <c r="BB156" i="6"/>
  <c r="BC156" i="6"/>
  <c r="BD156" i="6"/>
  <c r="AL157" i="6"/>
  <c r="AM157" i="6"/>
  <c r="AN157" i="6"/>
  <c r="AO157" i="6"/>
  <c r="AP157" i="6"/>
  <c r="AQ157" i="6"/>
  <c r="AR157" i="6"/>
  <c r="AS157" i="6"/>
  <c r="AT157" i="6"/>
  <c r="AU157" i="6"/>
  <c r="AV157" i="6"/>
  <c r="AW157" i="6"/>
  <c r="AX157" i="6"/>
  <c r="AY157" i="6"/>
  <c r="AZ157" i="6"/>
  <c r="BA157" i="6"/>
  <c r="BB157" i="6"/>
  <c r="BC157" i="6"/>
  <c r="BD157" i="6"/>
  <c r="AL158" i="6"/>
  <c r="AM158" i="6"/>
  <c r="AN158" i="6"/>
  <c r="AO158" i="6"/>
  <c r="AP158" i="6"/>
  <c r="AQ158" i="6"/>
  <c r="AR158" i="6"/>
  <c r="AS158" i="6"/>
  <c r="AT158" i="6"/>
  <c r="AU158" i="6"/>
  <c r="AV158" i="6"/>
  <c r="AW158" i="6"/>
  <c r="AX158" i="6"/>
  <c r="AY158" i="6"/>
  <c r="AZ158" i="6"/>
  <c r="BA158" i="6"/>
  <c r="BB158" i="6"/>
  <c r="BC158" i="6"/>
  <c r="BD158" i="6"/>
  <c r="AL159" i="6"/>
  <c r="AM159" i="6"/>
  <c r="AN159" i="6"/>
  <c r="AO159" i="6"/>
  <c r="AP159" i="6"/>
  <c r="AQ159" i="6"/>
  <c r="AR159" i="6"/>
  <c r="AS159" i="6"/>
  <c r="AT159" i="6"/>
  <c r="AU159" i="6"/>
  <c r="AV159" i="6"/>
  <c r="AW159" i="6"/>
  <c r="AX159" i="6"/>
  <c r="AY159" i="6"/>
  <c r="AZ159" i="6"/>
  <c r="BA159" i="6"/>
  <c r="BB159" i="6"/>
  <c r="BC159" i="6"/>
  <c r="BD159" i="6"/>
  <c r="AL160" i="6"/>
  <c r="AM160" i="6"/>
  <c r="AN160" i="6"/>
  <c r="AO160" i="6"/>
  <c r="AP160" i="6"/>
  <c r="AQ160" i="6"/>
  <c r="AR160" i="6"/>
  <c r="AS160" i="6"/>
  <c r="AT160" i="6"/>
  <c r="AU160" i="6"/>
  <c r="AV160" i="6"/>
  <c r="AW160" i="6"/>
  <c r="AX160" i="6"/>
  <c r="AY160" i="6"/>
  <c r="AZ160" i="6"/>
  <c r="BA160" i="6"/>
  <c r="BB160" i="6"/>
  <c r="BC160" i="6"/>
  <c r="BD160" i="6"/>
  <c r="AL161" i="6"/>
  <c r="AM161" i="6"/>
  <c r="AN161" i="6"/>
  <c r="AO161" i="6"/>
  <c r="AP161" i="6"/>
  <c r="AQ161" i="6"/>
  <c r="AR161" i="6"/>
  <c r="AS161" i="6"/>
  <c r="AT161" i="6"/>
  <c r="AU161" i="6"/>
  <c r="AV161" i="6"/>
  <c r="AW161" i="6"/>
  <c r="AX161" i="6"/>
  <c r="AY161" i="6"/>
  <c r="AZ161" i="6"/>
  <c r="BA161" i="6"/>
  <c r="BB161" i="6"/>
  <c r="BC161" i="6"/>
  <c r="BD161" i="6"/>
  <c r="AL162" i="6"/>
  <c r="AM162" i="6"/>
  <c r="AN162" i="6"/>
  <c r="AO162" i="6"/>
  <c r="AP162" i="6"/>
  <c r="AQ162" i="6"/>
  <c r="AR162" i="6"/>
  <c r="AS162" i="6"/>
  <c r="AT162" i="6"/>
  <c r="AU162" i="6"/>
  <c r="AV162" i="6"/>
  <c r="AW162" i="6"/>
  <c r="AX162" i="6"/>
  <c r="AY162" i="6"/>
  <c r="AZ162" i="6"/>
  <c r="BA162" i="6"/>
  <c r="BB162" i="6"/>
  <c r="BC162" i="6"/>
  <c r="BD162" i="6"/>
  <c r="AL163" i="6"/>
  <c r="AM163" i="6"/>
  <c r="AN163" i="6"/>
  <c r="AO163" i="6"/>
  <c r="AP163" i="6"/>
  <c r="AQ163" i="6"/>
  <c r="AR163" i="6"/>
  <c r="AS163" i="6"/>
  <c r="AT163" i="6"/>
  <c r="AU163" i="6"/>
  <c r="AV163" i="6"/>
  <c r="AW163" i="6"/>
  <c r="AX163" i="6"/>
  <c r="AY163" i="6"/>
  <c r="AZ163" i="6"/>
  <c r="BA163" i="6"/>
  <c r="BB163" i="6"/>
  <c r="BC163" i="6"/>
  <c r="BD163" i="6"/>
  <c r="AL164" i="6"/>
  <c r="AM164" i="6"/>
  <c r="AN164" i="6"/>
  <c r="AO164" i="6"/>
  <c r="AP164" i="6"/>
  <c r="AQ164" i="6"/>
  <c r="AR164" i="6"/>
  <c r="AS164" i="6"/>
  <c r="AT164" i="6"/>
  <c r="AU164" i="6"/>
  <c r="AV164" i="6"/>
  <c r="AW164" i="6"/>
  <c r="AX164" i="6"/>
  <c r="AY164" i="6"/>
  <c r="AZ164" i="6"/>
  <c r="BA164" i="6"/>
  <c r="BB164" i="6"/>
  <c r="BC164" i="6"/>
  <c r="BD164" i="6"/>
  <c r="AL165" i="6"/>
  <c r="AM165" i="6"/>
  <c r="AN165" i="6"/>
  <c r="AO165" i="6"/>
  <c r="AP165" i="6"/>
  <c r="AQ165" i="6"/>
  <c r="AR165" i="6"/>
  <c r="AS165" i="6"/>
  <c r="AT165" i="6"/>
  <c r="AU165" i="6"/>
  <c r="AV165" i="6"/>
  <c r="AW165" i="6"/>
  <c r="AX165" i="6"/>
  <c r="AY165" i="6"/>
  <c r="AZ165" i="6"/>
  <c r="BA165" i="6"/>
  <c r="BB165" i="6"/>
  <c r="BC165" i="6"/>
  <c r="BD165" i="6"/>
  <c r="AL166" i="6"/>
  <c r="AM166" i="6"/>
  <c r="AN166" i="6"/>
  <c r="AO166" i="6"/>
  <c r="AP166" i="6"/>
  <c r="AQ166" i="6"/>
  <c r="AR166" i="6"/>
  <c r="AS166" i="6"/>
  <c r="AT166" i="6"/>
  <c r="AU166" i="6"/>
  <c r="AV166" i="6"/>
  <c r="AW166" i="6"/>
  <c r="AX166" i="6"/>
  <c r="AY166" i="6"/>
  <c r="AZ166" i="6"/>
  <c r="BA166" i="6"/>
  <c r="BB166" i="6"/>
  <c r="BC166" i="6"/>
  <c r="BD166" i="6"/>
  <c r="AL167" i="6"/>
  <c r="AM167" i="6"/>
  <c r="AN167" i="6"/>
  <c r="AO167" i="6"/>
  <c r="AP167" i="6"/>
  <c r="AQ167" i="6"/>
  <c r="AR167" i="6"/>
  <c r="AS167" i="6"/>
  <c r="AT167" i="6"/>
  <c r="AU167" i="6"/>
  <c r="AV167" i="6"/>
  <c r="AW167" i="6"/>
  <c r="AX167" i="6"/>
  <c r="AY167" i="6"/>
  <c r="AZ167" i="6"/>
  <c r="BA167" i="6"/>
  <c r="BB167" i="6"/>
  <c r="BC167" i="6"/>
  <c r="BD167" i="6"/>
  <c r="AL168" i="6"/>
  <c r="AM168" i="6"/>
  <c r="AN168" i="6"/>
  <c r="AO168" i="6"/>
  <c r="AP168" i="6"/>
  <c r="AQ168" i="6"/>
  <c r="AR168" i="6"/>
  <c r="AS168" i="6"/>
  <c r="AT168" i="6"/>
  <c r="AU168" i="6"/>
  <c r="AV168" i="6"/>
  <c r="AW168" i="6"/>
  <c r="AX168" i="6"/>
  <c r="AY168" i="6"/>
  <c r="AZ168" i="6"/>
  <c r="BA168" i="6"/>
  <c r="BB168" i="6"/>
  <c r="BC168" i="6"/>
  <c r="BD168" i="6"/>
  <c r="AL169" i="6"/>
  <c r="AM169" i="6"/>
  <c r="AN169" i="6"/>
  <c r="AO169" i="6"/>
  <c r="AP169" i="6"/>
  <c r="AQ169" i="6"/>
  <c r="AR169" i="6"/>
  <c r="AS169" i="6"/>
  <c r="AT169" i="6"/>
  <c r="AU169" i="6"/>
  <c r="AV169" i="6"/>
  <c r="AW169" i="6"/>
  <c r="AX169" i="6"/>
  <c r="AY169" i="6"/>
  <c r="AZ169" i="6"/>
  <c r="BA169" i="6"/>
  <c r="BB169" i="6"/>
  <c r="BC169" i="6"/>
  <c r="BD169" i="6"/>
  <c r="AL170" i="6"/>
  <c r="AM170" i="6"/>
  <c r="AN170" i="6"/>
  <c r="AO170" i="6"/>
  <c r="AP170" i="6"/>
  <c r="AQ170" i="6"/>
  <c r="AR170" i="6"/>
  <c r="AS170" i="6"/>
  <c r="AT170" i="6"/>
  <c r="AU170" i="6"/>
  <c r="AV170" i="6"/>
  <c r="AW170" i="6"/>
  <c r="AX170" i="6"/>
  <c r="AY170" i="6"/>
  <c r="AZ170" i="6"/>
  <c r="BA170" i="6"/>
  <c r="BB170" i="6"/>
  <c r="BC170" i="6"/>
  <c r="BD170" i="6"/>
  <c r="AL171" i="6"/>
  <c r="AM171" i="6"/>
  <c r="AN171" i="6"/>
  <c r="AO171" i="6"/>
  <c r="AP171" i="6"/>
  <c r="AQ171" i="6"/>
  <c r="AR171" i="6"/>
  <c r="AS171" i="6"/>
  <c r="AT171" i="6"/>
  <c r="AU171" i="6"/>
  <c r="AV171" i="6"/>
  <c r="AW171" i="6"/>
  <c r="AX171" i="6"/>
  <c r="AY171" i="6"/>
  <c r="AZ171" i="6"/>
  <c r="BA171" i="6"/>
  <c r="BB171" i="6"/>
  <c r="BC171" i="6"/>
  <c r="BD171" i="6"/>
  <c r="AL172" i="6"/>
  <c r="AM172" i="6"/>
  <c r="AN172" i="6"/>
  <c r="AO172" i="6"/>
  <c r="AP172" i="6"/>
  <c r="AQ172" i="6"/>
  <c r="AR172" i="6"/>
  <c r="AS172" i="6"/>
  <c r="AT172" i="6"/>
  <c r="AU172" i="6"/>
  <c r="AV172" i="6"/>
  <c r="AW172" i="6"/>
  <c r="AX172" i="6"/>
  <c r="AY172" i="6"/>
  <c r="AZ172" i="6"/>
  <c r="BA172" i="6"/>
  <c r="BB172" i="6"/>
  <c r="BC172" i="6"/>
  <c r="BD172" i="6"/>
  <c r="AL173" i="6"/>
  <c r="AM173" i="6"/>
  <c r="AN173" i="6"/>
  <c r="AO173" i="6"/>
  <c r="AP173" i="6"/>
  <c r="AQ173" i="6"/>
  <c r="AR173" i="6"/>
  <c r="AS173" i="6"/>
  <c r="AT173" i="6"/>
  <c r="AU173" i="6"/>
  <c r="AV173" i="6"/>
  <c r="AW173" i="6"/>
  <c r="AX173" i="6"/>
  <c r="AY173" i="6"/>
  <c r="AZ173" i="6"/>
  <c r="BA173" i="6"/>
  <c r="BB173" i="6"/>
  <c r="BC173" i="6"/>
  <c r="BD173" i="6"/>
  <c r="AL174" i="6"/>
  <c r="AM174" i="6"/>
  <c r="AN174" i="6"/>
  <c r="AO174" i="6"/>
  <c r="AP174" i="6"/>
  <c r="AQ174" i="6"/>
  <c r="AR174" i="6"/>
  <c r="AS174" i="6"/>
  <c r="AT174" i="6"/>
  <c r="AU174" i="6"/>
  <c r="AV174" i="6"/>
  <c r="AW174" i="6"/>
  <c r="AX174" i="6"/>
  <c r="AY174" i="6"/>
  <c r="AZ174" i="6"/>
  <c r="BA174" i="6"/>
  <c r="BB174" i="6"/>
  <c r="BC174" i="6"/>
  <c r="BD174" i="6"/>
  <c r="AL175" i="6"/>
  <c r="AM175" i="6"/>
  <c r="AN175" i="6"/>
  <c r="AO175" i="6"/>
  <c r="AP175" i="6"/>
  <c r="AQ175" i="6"/>
  <c r="AR175" i="6"/>
  <c r="AS175" i="6"/>
  <c r="AT175" i="6"/>
  <c r="AU175" i="6"/>
  <c r="AV175" i="6"/>
  <c r="AW175" i="6"/>
  <c r="AX175" i="6"/>
  <c r="AY175" i="6"/>
  <c r="AZ175" i="6"/>
  <c r="BA175" i="6"/>
  <c r="BB175" i="6"/>
  <c r="BC175" i="6"/>
  <c r="BD175" i="6"/>
  <c r="AL176" i="6"/>
  <c r="AM176" i="6"/>
  <c r="AN176" i="6"/>
  <c r="AO176" i="6"/>
  <c r="AP176" i="6"/>
  <c r="AQ176" i="6"/>
  <c r="AR176" i="6"/>
  <c r="AS176" i="6"/>
  <c r="AT176" i="6"/>
  <c r="AU176" i="6"/>
  <c r="AV176" i="6"/>
  <c r="AW176" i="6"/>
  <c r="AX176" i="6"/>
  <c r="AY176" i="6"/>
  <c r="AZ176" i="6"/>
  <c r="BA176" i="6"/>
  <c r="BB176" i="6"/>
  <c r="BC176" i="6"/>
  <c r="BD176" i="6"/>
  <c r="AL177" i="6"/>
  <c r="AM177" i="6"/>
  <c r="AN177" i="6"/>
  <c r="AO177" i="6"/>
  <c r="AP177" i="6"/>
  <c r="AQ177" i="6"/>
  <c r="AR177" i="6"/>
  <c r="AS177" i="6"/>
  <c r="AT177" i="6"/>
  <c r="AU177" i="6"/>
  <c r="AV177" i="6"/>
  <c r="AW177" i="6"/>
  <c r="AX177" i="6"/>
  <c r="AY177" i="6"/>
  <c r="AZ177" i="6"/>
  <c r="BA177" i="6"/>
  <c r="BB177" i="6"/>
  <c r="BC177" i="6"/>
  <c r="BD177" i="6"/>
  <c r="AL178" i="6"/>
  <c r="AM178" i="6"/>
  <c r="AN178" i="6"/>
  <c r="AO178" i="6"/>
  <c r="AP178" i="6"/>
  <c r="AQ178" i="6"/>
  <c r="AR178" i="6"/>
  <c r="AS178" i="6"/>
  <c r="AT178" i="6"/>
  <c r="AU178" i="6"/>
  <c r="AV178" i="6"/>
  <c r="AW178" i="6"/>
  <c r="AX178" i="6"/>
  <c r="AY178" i="6"/>
  <c r="AZ178" i="6"/>
  <c r="BA178" i="6"/>
  <c r="BB178" i="6"/>
  <c r="BC178" i="6"/>
  <c r="BD178" i="6"/>
  <c r="AL179" i="6"/>
  <c r="AM179" i="6"/>
  <c r="AN179" i="6"/>
  <c r="AO179" i="6"/>
  <c r="AP179" i="6"/>
  <c r="AQ179" i="6"/>
  <c r="AR179" i="6"/>
  <c r="AS179" i="6"/>
  <c r="AT179" i="6"/>
  <c r="AU179" i="6"/>
  <c r="AV179" i="6"/>
  <c r="AW179" i="6"/>
  <c r="AX179" i="6"/>
  <c r="AY179" i="6"/>
  <c r="AZ179" i="6"/>
  <c r="BA179" i="6"/>
  <c r="BB179" i="6"/>
  <c r="BC179" i="6"/>
  <c r="BD179" i="6"/>
  <c r="AL180" i="6"/>
  <c r="AM180" i="6"/>
  <c r="AN180" i="6"/>
  <c r="AO180" i="6"/>
  <c r="AP180" i="6"/>
  <c r="AQ180" i="6"/>
  <c r="AR180" i="6"/>
  <c r="AS180" i="6"/>
  <c r="AT180" i="6"/>
  <c r="AU180" i="6"/>
  <c r="AV180" i="6"/>
  <c r="AW180" i="6"/>
  <c r="AX180" i="6"/>
  <c r="AY180" i="6"/>
  <c r="AZ180" i="6"/>
  <c r="BA180" i="6"/>
  <c r="BB180" i="6"/>
  <c r="BC180" i="6"/>
  <c r="BD180" i="6"/>
  <c r="AL181" i="6"/>
  <c r="AM181" i="6"/>
  <c r="AN181" i="6"/>
  <c r="AO181" i="6"/>
  <c r="AP181" i="6"/>
  <c r="AQ181" i="6"/>
  <c r="AR181" i="6"/>
  <c r="AS181" i="6"/>
  <c r="AT181" i="6"/>
  <c r="AU181" i="6"/>
  <c r="AV181" i="6"/>
  <c r="AW181" i="6"/>
  <c r="AX181" i="6"/>
  <c r="AY181" i="6"/>
  <c r="AZ181" i="6"/>
  <c r="BA181" i="6"/>
  <c r="BB181" i="6"/>
  <c r="BC181" i="6"/>
  <c r="BD181" i="6"/>
  <c r="AL182" i="6"/>
  <c r="AM182" i="6"/>
  <c r="AN182" i="6"/>
  <c r="AO182" i="6"/>
  <c r="AP182" i="6"/>
  <c r="AQ182" i="6"/>
  <c r="AR182" i="6"/>
  <c r="AS182" i="6"/>
  <c r="AT182" i="6"/>
  <c r="AU182" i="6"/>
  <c r="AV182" i="6"/>
  <c r="AW182" i="6"/>
  <c r="AX182" i="6"/>
  <c r="AY182" i="6"/>
  <c r="AZ182" i="6"/>
  <c r="BA182" i="6"/>
  <c r="BB182" i="6"/>
  <c r="BC182" i="6"/>
  <c r="BD182" i="6"/>
  <c r="AL183" i="6"/>
  <c r="AM183" i="6"/>
  <c r="AN183" i="6"/>
  <c r="AO183" i="6"/>
  <c r="AP183" i="6"/>
  <c r="AQ183" i="6"/>
  <c r="AR183" i="6"/>
  <c r="AS183" i="6"/>
  <c r="AT183" i="6"/>
  <c r="AU183" i="6"/>
  <c r="AV183" i="6"/>
  <c r="AW183" i="6"/>
  <c r="AX183" i="6"/>
  <c r="AY183" i="6"/>
  <c r="AZ183" i="6"/>
  <c r="BA183" i="6"/>
  <c r="BB183" i="6"/>
  <c r="BC183" i="6"/>
  <c r="BD183" i="6"/>
  <c r="AL184" i="6"/>
  <c r="AM184" i="6"/>
  <c r="AN184" i="6"/>
  <c r="AO184" i="6"/>
  <c r="AP184" i="6"/>
  <c r="AQ184" i="6"/>
  <c r="AR184" i="6"/>
  <c r="AS184" i="6"/>
  <c r="AT184" i="6"/>
  <c r="AU184" i="6"/>
  <c r="AV184" i="6"/>
  <c r="AW184" i="6"/>
  <c r="AX184" i="6"/>
  <c r="AY184" i="6"/>
  <c r="AZ184" i="6"/>
  <c r="BA184" i="6"/>
  <c r="BB184" i="6"/>
  <c r="BC184" i="6"/>
  <c r="BD184" i="6"/>
  <c r="AL185" i="6"/>
  <c r="AM185" i="6"/>
  <c r="AN185" i="6"/>
  <c r="AO185" i="6"/>
  <c r="AP185" i="6"/>
  <c r="AQ185" i="6"/>
  <c r="AR185" i="6"/>
  <c r="AS185" i="6"/>
  <c r="AT185" i="6"/>
  <c r="AU185" i="6"/>
  <c r="AV185" i="6"/>
  <c r="AW185" i="6"/>
  <c r="AX185" i="6"/>
  <c r="AY185" i="6"/>
  <c r="AZ185" i="6"/>
  <c r="BA185" i="6"/>
  <c r="BB185" i="6"/>
  <c r="BC185" i="6"/>
  <c r="BD185" i="6"/>
  <c r="AL186" i="6"/>
  <c r="AM186" i="6"/>
  <c r="AN186" i="6"/>
  <c r="AO186" i="6"/>
  <c r="AP186" i="6"/>
  <c r="AQ186" i="6"/>
  <c r="AR186" i="6"/>
  <c r="AS186" i="6"/>
  <c r="AT186" i="6"/>
  <c r="AU186" i="6"/>
  <c r="AV186" i="6"/>
  <c r="AW186" i="6"/>
  <c r="AX186" i="6"/>
  <c r="AY186" i="6"/>
  <c r="AZ186" i="6"/>
  <c r="BA186" i="6"/>
  <c r="BB186" i="6"/>
  <c r="BC186" i="6"/>
  <c r="BD186" i="6"/>
  <c r="AL187" i="6"/>
  <c r="AM187" i="6"/>
  <c r="AN187" i="6"/>
  <c r="AO187" i="6"/>
  <c r="AP187" i="6"/>
  <c r="AQ187" i="6"/>
  <c r="AR187" i="6"/>
  <c r="AS187" i="6"/>
  <c r="AT187" i="6"/>
  <c r="AU187" i="6"/>
  <c r="AV187" i="6"/>
  <c r="AW187" i="6"/>
  <c r="AX187" i="6"/>
  <c r="AY187" i="6"/>
  <c r="AZ187" i="6"/>
  <c r="BA187" i="6"/>
  <c r="BB187" i="6"/>
  <c r="BC187" i="6"/>
  <c r="BD187" i="6"/>
  <c r="AL188" i="6"/>
  <c r="AM188" i="6"/>
  <c r="AN188" i="6"/>
  <c r="AO188" i="6"/>
  <c r="AP188" i="6"/>
  <c r="AQ188" i="6"/>
  <c r="AR188" i="6"/>
  <c r="AS188" i="6"/>
  <c r="AT188" i="6"/>
  <c r="AU188" i="6"/>
  <c r="AV188" i="6"/>
  <c r="AW188" i="6"/>
  <c r="AX188" i="6"/>
  <c r="AY188" i="6"/>
  <c r="AZ188" i="6"/>
  <c r="BA188" i="6"/>
  <c r="BB188" i="6"/>
  <c r="BC188" i="6"/>
  <c r="BD188" i="6"/>
  <c r="AL189" i="6"/>
  <c r="AM189" i="6"/>
  <c r="AN189" i="6"/>
  <c r="AO189" i="6"/>
  <c r="AP189" i="6"/>
  <c r="AQ189" i="6"/>
  <c r="AR189" i="6"/>
  <c r="AS189" i="6"/>
  <c r="AT189" i="6"/>
  <c r="AU189" i="6"/>
  <c r="AV189" i="6"/>
  <c r="AW189" i="6"/>
  <c r="AX189" i="6"/>
  <c r="AY189" i="6"/>
  <c r="AZ189" i="6"/>
  <c r="BA189" i="6"/>
  <c r="BB189" i="6"/>
  <c r="BC189" i="6"/>
  <c r="BD189" i="6"/>
  <c r="AL190" i="6"/>
  <c r="AM190" i="6"/>
  <c r="AN190" i="6"/>
  <c r="AO190" i="6"/>
  <c r="AP190" i="6"/>
  <c r="AQ190" i="6"/>
  <c r="AR190" i="6"/>
  <c r="AS190" i="6"/>
  <c r="AT190" i="6"/>
  <c r="AU190" i="6"/>
  <c r="AV190" i="6"/>
  <c r="AW190" i="6"/>
  <c r="AX190" i="6"/>
  <c r="AY190" i="6"/>
  <c r="AZ190" i="6"/>
  <c r="BA190" i="6"/>
  <c r="BB190" i="6"/>
  <c r="BC190" i="6"/>
  <c r="BD190" i="6"/>
  <c r="AL191" i="6"/>
  <c r="AM191" i="6"/>
  <c r="AN191" i="6"/>
  <c r="AO191" i="6"/>
  <c r="AP191" i="6"/>
  <c r="AQ191" i="6"/>
  <c r="AR191" i="6"/>
  <c r="AS191" i="6"/>
  <c r="AT191" i="6"/>
  <c r="AU191" i="6"/>
  <c r="AV191" i="6"/>
  <c r="AW191" i="6"/>
  <c r="AX191" i="6"/>
  <c r="AY191" i="6"/>
  <c r="AZ191" i="6"/>
  <c r="BA191" i="6"/>
  <c r="BB191" i="6"/>
  <c r="BC191" i="6"/>
  <c r="BD191" i="6"/>
  <c r="AL192" i="6"/>
  <c r="AM192" i="6"/>
  <c r="AN192" i="6"/>
  <c r="AO192" i="6"/>
  <c r="AP192" i="6"/>
  <c r="AQ192" i="6"/>
  <c r="AR192" i="6"/>
  <c r="AS192" i="6"/>
  <c r="AT192" i="6"/>
  <c r="AU192" i="6"/>
  <c r="AV192" i="6"/>
  <c r="AW192" i="6"/>
  <c r="AX192" i="6"/>
  <c r="AY192" i="6"/>
  <c r="AZ192" i="6"/>
  <c r="BA192" i="6"/>
  <c r="BB192" i="6"/>
  <c r="BC192" i="6"/>
  <c r="BD192" i="6"/>
  <c r="AL193" i="6"/>
  <c r="AM193" i="6"/>
  <c r="AN193" i="6"/>
  <c r="AO193" i="6"/>
  <c r="AP193" i="6"/>
  <c r="AQ193" i="6"/>
  <c r="AR193" i="6"/>
  <c r="AS193" i="6"/>
  <c r="AT193" i="6"/>
  <c r="AU193" i="6"/>
  <c r="AV193" i="6"/>
  <c r="AW193" i="6"/>
  <c r="AX193" i="6"/>
  <c r="AY193" i="6"/>
  <c r="AZ193" i="6"/>
  <c r="BA193" i="6"/>
  <c r="BB193" i="6"/>
  <c r="BC193" i="6"/>
  <c r="BD193" i="6"/>
  <c r="AL194" i="6"/>
  <c r="AM194" i="6"/>
  <c r="AN194" i="6"/>
  <c r="AO194" i="6"/>
  <c r="AP194" i="6"/>
  <c r="AQ194" i="6"/>
  <c r="AR194" i="6"/>
  <c r="AS194" i="6"/>
  <c r="AT194" i="6"/>
  <c r="AU194" i="6"/>
  <c r="AV194" i="6"/>
  <c r="AW194" i="6"/>
  <c r="AX194" i="6"/>
  <c r="AY194" i="6"/>
  <c r="AZ194" i="6"/>
  <c r="BA194" i="6"/>
  <c r="BB194" i="6"/>
  <c r="BC194" i="6"/>
  <c r="BD194" i="6"/>
  <c r="AL195" i="6"/>
  <c r="AM195" i="6"/>
  <c r="AN195" i="6"/>
  <c r="AO195" i="6"/>
  <c r="AP195" i="6"/>
  <c r="AQ195" i="6"/>
  <c r="AR195" i="6"/>
  <c r="AS195" i="6"/>
  <c r="AT195" i="6"/>
  <c r="AU195" i="6"/>
  <c r="AV195" i="6"/>
  <c r="AW195" i="6"/>
  <c r="AX195" i="6"/>
  <c r="AY195" i="6"/>
  <c r="AZ195" i="6"/>
  <c r="BA195" i="6"/>
  <c r="BB195" i="6"/>
  <c r="BC195" i="6"/>
  <c r="BD195" i="6"/>
  <c r="AL196" i="6"/>
  <c r="AM196" i="6"/>
  <c r="AN196" i="6"/>
  <c r="AO196" i="6"/>
  <c r="AP196" i="6"/>
  <c r="AQ196" i="6"/>
  <c r="AR196" i="6"/>
  <c r="AS196" i="6"/>
  <c r="AT196" i="6"/>
  <c r="AU196" i="6"/>
  <c r="AV196" i="6"/>
  <c r="AW196" i="6"/>
  <c r="AX196" i="6"/>
  <c r="AY196" i="6"/>
  <c r="AZ196" i="6"/>
  <c r="BA196" i="6"/>
  <c r="BB196" i="6"/>
  <c r="BC196" i="6"/>
  <c r="BD196" i="6"/>
  <c r="AL197" i="6"/>
  <c r="AM197" i="6"/>
  <c r="AN197" i="6"/>
  <c r="AO197" i="6"/>
  <c r="AP197" i="6"/>
  <c r="AQ197" i="6"/>
  <c r="AR197" i="6"/>
  <c r="AS197" i="6"/>
  <c r="AT197" i="6"/>
  <c r="AU197" i="6"/>
  <c r="AV197" i="6"/>
  <c r="AW197" i="6"/>
  <c r="AX197" i="6"/>
  <c r="AY197" i="6"/>
  <c r="AZ197" i="6"/>
  <c r="BA197" i="6"/>
  <c r="BB197" i="6"/>
  <c r="BC197" i="6"/>
  <c r="BD197" i="6"/>
  <c r="AL198" i="6"/>
  <c r="AM198" i="6"/>
  <c r="AN198" i="6"/>
  <c r="AO198" i="6"/>
  <c r="AP198" i="6"/>
  <c r="AQ198" i="6"/>
  <c r="AR198" i="6"/>
  <c r="AS198" i="6"/>
  <c r="AT198" i="6"/>
  <c r="AU198" i="6"/>
  <c r="AV198" i="6"/>
  <c r="AW198" i="6"/>
  <c r="AX198" i="6"/>
  <c r="AY198" i="6"/>
  <c r="AZ198" i="6"/>
  <c r="BA198" i="6"/>
  <c r="BB198" i="6"/>
  <c r="BC198" i="6"/>
  <c r="BD198" i="6"/>
  <c r="AL199" i="6"/>
  <c r="AM199" i="6"/>
  <c r="AN199" i="6"/>
  <c r="AO199" i="6"/>
  <c r="AP199" i="6"/>
  <c r="AQ199" i="6"/>
  <c r="AR199" i="6"/>
  <c r="AS199" i="6"/>
  <c r="AT199" i="6"/>
  <c r="AU199" i="6"/>
  <c r="AV199" i="6"/>
  <c r="AW199" i="6"/>
  <c r="AX199" i="6"/>
  <c r="AY199" i="6"/>
  <c r="AZ199" i="6"/>
  <c r="BA199" i="6"/>
  <c r="BB199" i="6"/>
  <c r="BC199" i="6"/>
  <c r="BD199" i="6"/>
  <c r="AL200" i="6"/>
  <c r="AM200" i="6"/>
  <c r="AN200" i="6"/>
  <c r="AO200" i="6"/>
  <c r="AP200" i="6"/>
  <c r="AQ200" i="6"/>
  <c r="AR200" i="6"/>
  <c r="AS200" i="6"/>
  <c r="AT200" i="6"/>
  <c r="AU200" i="6"/>
  <c r="AV200" i="6"/>
  <c r="AW200" i="6"/>
  <c r="AX200" i="6"/>
  <c r="AY200" i="6"/>
  <c r="AZ200" i="6"/>
  <c r="BA200" i="6"/>
  <c r="BB200" i="6"/>
  <c r="BC200" i="6"/>
  <c r="BD200" i="6"/>
  <c r="AL201" i="6"/>
  <c r="AM201" i="6"/>
  <c r="AN201" i="6"/>
  <c r="AO201" i="6"/>
  <c r="AP201" i="6"/>
  <c r="AQ201" i="6"/>
  <c r="AR201" i="6"/>
  <c r="AS201" i="6"/>
  <c r="AT201" i="6"/>
  <c r="AU201" i="6"/>
  <c r="AV201" i="6"/>
  <c r="AW201" i="6"/>
  <c r="AX201" i="6"/>
  <c r="AY201" i="6"/>
  <c r="AZ201" i="6"/>
  <c r="BA201" i="6"/>
  <c r="BB201" i="6"/>
  <c r="BC201" i="6"/>
  <c r="BD201" i="6"/>
  <c r="AL202" i="6"/>
  <c r="AM202" i="6"/>
  <c r="AN202" i="6"/>
  <c r="AO202" i="6"/>
  <c r="AP202" i="6"/>
  <c r="AQ202" i="6"/>
  <c r="AR202" i="6"/>
  <c r="AS202" i="6"/>
  <c r="AT202" i="6"/>
  <c r="AU202" i="6"/>
  <c r="AV202" i="6"/>
  <c r="AW202" i="6"/>
  <c r="AX202" i="6"/>
  <c r="AY202" i="6"/>
  <c r="AZ202" i="6"/>
  <c r="BA202" i="6"/>
  <c r="BB202" i="6"/>
  <c r="BC202" i="6"/>
  <c r="BD202" i="6"/>
  <c r="AL203" i="6"/>
  <c r="AM203" i="6"/>
  <c r="AN203" i="6"/>
  <c r="AO203" i="6"/>
  <c r="AP203" i="6"/>
  <c r="AQ203" i="6"/>
  <c r="AR203" i="6"/>
  <c r="AS203" i="6"/>
  <c r="AT203" i="6"/>
  <c r="AU203" i="6"/>
  <c r="AV203" i="6"/>
  <c r="AW203" i="6"/>
  <c r="AX203" i="6"/>
  <c r="AY203" i="6"/>
  <c r="AZ203" i="6"/>
  <c r="BA203" i="6"/>
  <c r="BB203" i="6"/>
  <c r="BC203" i="6"/>
  <c r="BD203" i="6"/>
  <c r="AL204" i="6"/>
  <c r="AM204" i="6"/>
  <c r="AN204" i="6"/>
  <c r="AO204" i="6"/>
  <c r="AP204" i="6"/>
  <c r="AQ204" i="6"/>
  <c r="AR204" i="6"/>
  <c r="AS204" i="6"/>
  <c r="AT204" i="6"/>
  <c r="AU204" i="6"/>
  <c r="AV204" i="6"/>
  <c r="AW204" i="6"/>
  <c r="AX204" i="6"/>
  <c r="AY204" i="6"/>
  <c r="AZ204" i="6"/>
  <c r="BA204" i="6"/>
  <c r="BB204" i="6"/>
  <c r="BC204" i="6"/>
  <c r="BD204" i="6"/>
  <c r="AL205" i="6"/>
  <c r="AM205" i="6"/>
  <c r="AN205" i="6"/>
  <c r="AO205" i="6"/>
  <c r="AP205" i="6"/>
  <c r="AQ205" i="6"/>
  <c r="AR205" i="6"/>
  <c r="AS205" i="6"/>
  <c r="AT205" i="6"/>
  <c r="AU205" i="6"/>
  <c r="AV205" i="6"/>
  <c r="AW205" i="6"/>
  <c r="AX205" i="6"/>
  <c r="AY205" i="6"/>
  <c r="AZ205" i="6"/>
  <c r="BA205" i="6"/>
  <c r="BB205" i="6"/>
  <c r="BC205" i="6"/>
  <c r="BD205" i="6"/>
  <c r="AL206" i="6"/>
  <c r="AM206" i="6"/>
  <c r="AN206" i="6"/>
  <c r="AO206" i="6"/>
  <c r="AP206" i="6"/>
  <c r="AQ206" i="6"/>
  <c r="AR206" i="6"/>
  <c r="AS206" i="6"/>
  <c r="AT206" i="6"/>
  <c r="AU206" i="6"/>
  <c r="AV206" i="6"/>
  <c r="AW206" i="6"/>
  <c r="AX206" i="6"/>
  <c r="AY206" i="6"/>
  <c r="AZ206" i="6"/>
  <c r="BA206" i="6"/>
  <c r="BB206" i="6"/>
  <c r="BC206" i="6"/>
  <c r="BD206" i="6"/>
  <c r="AL207" i="6"/>
  <c r="AM207" i="6"/>
  <c r="AN207" i="6"/>
  <c r="AO207" i="6"/>
  <c r="AP207" i="6"/>
  <c r="AQ207" i="6"/>
  <c r="AR207" i="6"/>
  <c r="AS207" i="6"/>
  <c r="AT207" i="6"/>
  <c r="AU207" i="6"/>
  <c r="AV207" i="6"/>
  <c r="AW207" i="6"/>
  <c r="AX207" i="6"/>
  <c r="AY207" i="6"/>
  <c r="AZ207" i="6"/>
  <c r="BA207" i="6"/>
  <c r="BB207" i="6"/>
  <c r="BC207" i="6"/>
  <c r="BD207" i="6"/>
  <c r="AL208" i="6"/>
  <c r="AM208" i="6"/>
  <c r="AN208" i="6"/>
  <c r="AO208" i="6"/>
  <c r="AP208" i="6"/>
  <c r="AQ208" i="6"/>
  <c r="AR208" i="6"/>
  <c r="AS208" i="6"/>
  <c r="AT208" i="6"/>
  <c r="AU208" i="6"/>
  <c r="AV208" i="6"/>
  <c r="AW208" i="6"/>
  <c r="AX208" i="6"/>
  <c r="AY208" i="6"/>
  <c r="AZ208" i="6"/>
  <c r="BA208" i="6"/>
  <c r="BB208" i="6"/>
  <c r="BC208" i="6"/>
  <c r="BD208" i="6"/>
  <c r="AL209" i="6"/>
  <c r="AM209" i="6"/>
  <c r="AN209" i="6"/>
  <c r="AO209" i="6"/>
  <c r="AP209" i="6"/>
  <c r="AQ209" i="6"/>
  <c r="AR209" i="6"/>
  <c r="AS209" i="6"/>
  <c r="AT209" i="6"/>
  <c r="AU209" i="6"/>
  <c r="AV209" i="6"/>
  <c r="AW209" i="6"/>
  <c r="AX209" i="6"/>
  <c r="AY209" i="6"/>
  <c r="AZ209" i="6"/>
  <c r="BA209" i="6"/>
  <c r="BB209" i="6"/>
  <c r="BC209" i="6"/>
  <c r="BD209" i="6"/>
  <c r="AL210" i="6"/>
  <c r="AM210" i="6"/>
  <c r="AN210" i="6"/>
  <c r="AO210" i="6"/>
  <c r="AP210" i="6"/>
  <c r="AQ210" i="6"/>
  <c r="AR210" i="6"/>
  <c r="AS210" i="6"/>
  <c r="AT210" i="6"/>
  <c r="AU210" i="6"/>
  <c r="AV210" i="6"/>
  <c r="AW210" i="6"/>
  <c r="AX210" i="6"/>
  <c r="AY210" i="6"/>
  <c r="AZ210" i="6"/>
  <c r="BA210" i="6"/>
  <c r="BB210" i="6"/>
  <c r="BC210" i="6"/>
  <c r="BD210" i="6"/>
  <c r="AL211" i="6"/>
  <c r="AM211" i="6"/>
  <c r="AN211" i="6"/>
  <c r="AO211" i="6"/>
  <c r="AP211" i="6"/>
  <c r="AQ211" i="6"/>
  <c r="AR211" i="6"/>
  <c r="AS211" i="6"/>
  <c r="AT211" i="6"/>
  <c r="AU211" i="6"/>
  <c r="AV211" i="6"/>
  <c r="AW211" i="6"/>
  <c r="AX211" i="6"/>
  <c r="AY211" i="6"/>
  <c r="AZ211" i="6"/>
  <c r="BA211" i="6"/>
  <c r="BB211" i="6"/>
  <c r="BC211" i="6"/>
  <c r="BD211" i="6"/>
  <c r="AL212" i="6"/>
  <c r="AM212" i="6"/>
  <c r="AN212" i="6"/>
  <c r="AO212" i="6"/>
  <c r="AP212" i="6"/>
  <c r="AQ212" i="6"/>
  <c r="AR212" i="6"/>
  <c r="AS212" i="6"/>
  <c r="AT212" i="6"/>
  <c r="AU212" i="6"/>
  <c r="AV212" i="6"/>
  <c r="AW212" i="6"/>
  <c r="AX212" i="6"/>
  <c r="AY212" i="6"/>
  <c r="AZ212" i="6"/>
  <c r="BA212" i="6"/>
  <c r="BB212" i="6"/>
  <c r="BC212" i="6"/>
  <c r="BD212" i="6"/>
  <c r="AL213" i="6"/>
  <c r="AM213" i="6"/>
  <c r="AN213" i="6"/>
  <c r="AO213" i="6"/>
  <c r="AP213" i="6"/>
  <c r="AQ213" i="6"/>
  <c r="AR213" i="6"/>
  <c r="AS213" i="6"/>
  <c r="AT213" i="6"/>
  <c r="AU213" i="6"/>
  <c r="AV213" i="6"/>
  <c r="AW213" i="6"/>
  <c r="AX213" i="6"/>
  <c r="AY213" i="6"/>
  <c r="AZ213" i="6"/>
  <c r="BA213" i="6"/>
  <c r="BB213" i="6"/>
  <c r="BC213" i="6"/>
  <c r="BD213" i="6"/>
  <c r="AL214" i="6"/>
  <c r="AM214" i="6"/>
  <c r="AN214" i="6"/>
  <c r="AO214" i="6"/>
  <c r="AP214" i="6"/>
  <c r="AQ214" i="6"/>
  <c r="AR214" i="6"/>
  <c r="AS214" i="6"/>
  <c r="AT214" i="6"/>
  <c r="AU214" i="6"/>
  <c r="AV214" i="6"/>
  <c r="AW214" i="6"/>
  <c r="AX214" i="6"/>
  <c r="AY214" i="6"/>
  <c r="AZ214" i="6"/>
  <c r="BA214" i="6"/>
  <c r="BB214" i="6"/>
  <c r="BC214" i="6"/>
  <c r="BD214" i="6"/>
  <c r="AL215" i="6"/>
  <c r="AM215" i="6"/>
  <c r="AN215" i="6"/>
  <c r="AO215" i="6"/>
  <c r="AP215" i="6"/>
  <c r="AQ215" i="6"/>
  <c r="AR215" i="6"/>
  <c r="AS215" i="6"/>
  <c r="AT215" i="6"/>
  <c r="AU215" i="6"/>
  <c r="AV215" i="6"/>
  <c r="AW215" i="6"/>
  <c r="AX215" i="6"/>
  <c r="AY215" i="6"/>
  <c r="AZ215" i="6"/>
  <c r="BA215" i="6"/>
  <c r="BB215" i="6"/>
  <c r="BC215" i="6"/>
  <c r="BD215" i="6"/>
  <c r="AL216" i="6"/>
  <c r="AM216" i="6"/>
  <c r="AN216" i="6"/>
  <c r="AO216" i="6"/>
  <c r="AP216" i="6"/>
  <c r="AQ216" i="6"/>
  <c r="AR216" i="6"/>
  <c r="AS216" i="6"/>
  <c r="AT216" i="6"/>
  <c r="AU216" i="6"/>
  <c r="AV216" i="6"/>
  <c r="AW216" i="6"/>
  <c r="AX216" i="6"/>
  <c r="AY216" i="6"/>
  <c r="AZ216" i="6"/>
  <c r="BA216" i="6"/>
  <c r="BB216" i="6"/>
  <c r="BC216" i="6"/>
  <c r="BD216" i="6"/>
  <c r="AL217" i="6"/>
  <c r="AM217" i="6"/>
  <c r="AN217" i="6"/>
  <c r="AO217" i="6"/>
  <c r="AP217" i="6"/>
  <c r="AQ217" i="6"/>
  <c r="AR217" i="6"/>
  <c r="AS217" i="6"/>
  <c r="AT217" i="6"/>
  <c r="AU217" i="6"/>
  <c r="AV217" i="6"/>
  <c r="AW217" i="6"/>
  <c r="AX217" i="6"/>
  <c r="AY217" i="6"/>
  <c r="AZ217" i="6"/>
  <c r="BA217" i="6"/>
  <c r="BB217" i="6"/>
  <c r="BC217" i="6"/>
  <c r="BD217" i="6"/>
  <c r="AL218" i="6"/>
  <c r="AM218" i="6"/>
  <c r="AN218" i="6"/>
  <c r="AO218" i="6"/>
  <c r="AP218" i="6"/>
  <c r="AQ218" i="6"/>
  <c r="AR218" i="6"/>
  <c r="AS218" i="6"/>
  <c r="AT218" i="6"/>
  <c r="AU218" i="6"/>
  <c r="AV218" i="6"/>
  <c r="AW218" i="6"/>
  <c r="AX218" i="6"/>
  <c r="AY218" i="6"/>
  <c r="AZ218" i="6"/>
  <c r="BA218" i="6"/>
  <c r="BB218" i="6"/>
  <c r="BC218" i="6"/>
  <c r="BD218" i="6"/>
  <c r="AL219" i="6"/>
  <c r="AM219" i="6"/>
  <c r="AN219" i="6"/>
  <c r="AO219" i="6"/>
  <c r="AP219" i="6"/>
  <c r="AQ219" i="6"/>
  <c r="AR219" i="6"/>
  <c r="AS219" i="6"/>
  <c r="AT219" i="6"/>
  <c r="AU219" i="6"/>
  <c r="AV219" i="6"/>
  <c r="AW219" i="6"/>
  <c r="AX219" i="6"/>
  <c r="AY219" i="6"/>
  <c r="AZ219" i="6"/>
  <c r="BA219" i="6"/>
  <c r="BB219" i="6"/>
  <c r="BC219" i="6"/>
  <c r="BD219" i="6"/>
  <c r="AL220" i="6"/>
  <c r="AM220" i="6"/>
  <c r="AN220" i="6"/>
  <c r="AO220" i="6"/>
  <c r="AP220" i="6"/>
  <c r="AQ220" i="6"/>
  <c r="AR220" i="6"/>
  <c r="AS220" i="6"/>
  <c r="AT220" i="6"/>
  <c r="AU220" i="6"/>
  <c r="AV220" i="6"/>
  <c r="AW220" i="6"/>
  <c r="AX220" i="6"/>
  <c r="AY220" i="6"/>
  <c r="AZ220" i="6"/>
  <c r="BA220" i="6"/>
  <c r="BB220" i="6"/>
  <c r="BC220" i="6"/>
  <c r="BD220" i="6"/>
  <c r="AL221" i="6"/>
  <c r="AM221" i="6"/>
  <c r="AN221" i="6"/>
  <c r="AO221" i="6"/>
  <c r="AP221" i="6"/>
  <c r="AQ221" i="6"/>
  <c r="AR221" i="6"/>
  <c r="AS221" i="6"/>
  <c r="AT221" i="6"/>
  <c r="AU221" i="6"/>
  <c r="AV221" i="6"/>
  <c r="AW221" i="6"/>
  <c r="AX221" i="6"/>
  <c r="AY221" i="6"/>
  <c r="AZ221" i="6"/>
  <c r="BA221" i="6"/>
  <c r="BB221" i="6"/>
  <c r="BC221" i="6"/>
  <c r="BD221" i="6"/>
  <c r="AL222" i="6"/>
  <c r="AM222" i="6"/>
  <c r="AN222" i="6"/>
  <c r="AO222" i="6"/>
  <c r="AP222" i="6"/>
  <c r="AQ222" i="6"/>
  <c r="AR222" i="6"/>
  <c r="AS222" i="6"/>
  <c r="AT222" i="6"/>
  <c r="AU222" i="6"/>
  <c r="AV222" i="6"/>
  <c r="AW222" i="6"/>
  <c r="AX222" i="6"/>
  <c r="AY222" i="6"/>
  <c r="AZ222" i="6"/>
  <c r="BA222" i="6"/>
  <c r="BB222" i="6"/>
  <c r="BC222" i="6"/>
  <c r="BD222" i="6"/>
  <c r="AL223" i="6"/>
  <c r="AM223" i="6"/>
  <c r="AN223" i="6"/>
  <c r="AO223" i="6"/>
  <c r="AP223" i="6"/>
  <c r="AQ223" i="6"/>
  <c r="AR223" i="6"/>
  <c r="AS223" i="6"/>
  <c r="AT223" i="6"/>
  <c r="AU223" i="6"/>
  <c r="AV223" i="6"/>
  <c r="AW223" i="6"/>
  <c r="AX223" i="6"/>
  <c r="AY223" i="6"/>
  <c r="AZ223" i="6"/>
  <c r="BA223" i="6"/>
  <c r="BB223" i="6"/>
  <c r="BC223" i="6"/>
  <c r="BD223" i="6"/>
  <c r="AL224" i="6"/>
  <c r="AM224" i="6"/>
  <c r="AN224" i="6"/>
  <c r="AO224" i="6"/>
  <c r="AP224" i="6"/>
  <c r="AQ224" i="6"/>
  <c r="AR224" i="6"/>
  <c r="AS224" i="6"/>
  <c r="AT224" i="6"/>
  <c r="AU224" i="6"/>
  <c r="AV224" i="6"/>
  <c r="AW224" i="6"/>
  <c r="AX224" i="6"/>
  <c r="AY224" i="6"/>
  <c r="AZ224" i="6"/>
  <c r="BA224" i="6"/>
  <c r="BB224" i="6"/>
  <c r="BC224" i="6"/>
  <c r="BD224" i="6"/>
  <c r="AL225" i="6"/>
  <c r="AM225" i="6"/>
  <c r="AN225" i="6"/>
  <c r="AO225" i="6"/>
  <c r="AP225" i="6"/>
  <c r="AQ225" i="6"/>
  <c r="AR225" i="6"/>
  <c r="AS225" i="6"/>
  <c r="AT225" i="6"/>
  <c r="AU225" i="6"/>
  <c r="AV225" i="6"/>
  <c r="AW225" i="6"/>
  <c r="AX225" i="6"/>
  <c r="AY225" i="6"/>
  <c r="AZ225" i="6"/>
  <c r="BA225" i="6"/>
  <c r="BB225" i="6"/>
  <c r="BC225" i="6"/>
  <c r="BD225" i="6"/>
  <c r="AL226" i="6"/>
  <c r="AM226" i="6"/>
  <c r="AN226" i="6"/>
  <c r="AO226" i="6"/>
  <c r="AP226" i="6"/>
  <c r="AQ226" i="6"/>
  <c r="AR226" i="6"/>
  <c r="AS226" i="6"/>
  <c r="AT226" i="6"/>
  <c r="AU226" i="6"/>
  <c r="AV226" i="6"/>
  <c r="AW226" i="6"/>
  <c r="AX226" i="6"/>
  <c r="AY226" i="6"/>
  <c r="AZ226" i="6"/>
  <c r="BA226" i="6"/>
  <c r="BB226" i="6"/>
  <c r="BC226" i="6"/>
  <c r="BD226" i="6"/>
  <c r="AL227" i="6"/>
  <c r="AM227" i="6"/>
  <c r="AN227" i="6"/>
  <c r="AO227" i="6"/>
  <c r="AP227" i="6"/>
  <c r="AQ227" i="6"/>
  <c r="AR227" i="6"/>
  <c r="AS227" i="6"/>
  <c r="AT227" i="6"/>
  <c r="AU227" i="6"/>
  <c r="AV227" i="6"/>
  <c r="AW227" i="6"/>
  <c r="AX227" i="6"/>
  <c r="AY227" i="6"/>
  <c r="AZ227" i="6"/>
  <c r="BA227" i="6"/>
  <c r="BB227" i="6"/>
  <c r="BC227" i="6"/>
  <c r="BD227" i="6"/>
  <c r="AL228" i="6"/>
  <c r="AM228" i="6"/>
  <c r="AN228" i="6"/>
  <c r="AO228" i="6"/>
  <c r="AP228" i="6"/>
  <c r="AQ228" i="6"/>
  <c r="AR228" i="6"/>
  <c r="AS228" i="6"/>
  <c r="AT228" i="6"/>
  <c r="AU228" i="6"/>
  <c r="AV228" i="6"/>
  <c r="AW228" i="6"/>
  <c r="AX228" i="6"/>
  <c r="AY228" i="6"/>
  <c r="AZ228" i="6"/>
  <c r="BA228" i="6"/>
  <c r="BB228" i="6"/>
  <c r="BC228" i="6"/>
  <c r="BD228" i="6"/>
  <c r="AL229" i="6"/>
  <c r="AM229" i="6"/>
  <c r="AN229" i="6"/>
  <c r="AO229" i="6"/>
  <c r="AP229" i="6"/>
  <c r="AQ229" i="6"/>
  <c r="AR229" i="6"/>
  <c r="AS229" i="6"/>
  <c r="AT229" i="6"/>
  <c r="AU229" i="6"/>
  <c r="AV229" i="6"/>
  <c r="AW229" i="6"/>
  <c r="AX229" i="6"/>
  <c r="AY229" i="6"/>
  <c r="AZ229" i="6"/>
  <c r="BA229" i="6"/>
  <c r="BB229" i="6"/>
  <c r="BC229" i="6"/>
  <c r="BD229" i="6"/>
  <c r="AL230" i="6"/>
  <c r="AM230" i="6"/>
  <c r="AN230" i="6"/>
  <c r="AO230" i="6"/>
  <c r="AP230" i="6"/>
  <c r="AQ230" i="6"/>
  <c r="AR230" i="6"/>
  <c r="AS230" i="6"/>
  <c r="AT230" i="6"/>
  <c r="AU230" i="6"/>
  <c r="AV230" i="6"/>
  <c r="AW230" i="6"/>
  <c r="AX230" i="6"/>
  <c r="AY230" i="6"/>
  <c r="AZ230" i="6"/>
  <c r="BA230" i="6"/>
  <c r="BB230" i="6"/>
  <c r="BC230" i="6"/>
  <c r="BD230" i="6"/>
  <c r="AL231" i="6"/>
  <c r="AM231" i="6"/>
  <c r="AN231" i="6"/>
  <c r="AO231" i="6"/>
  <c r="AP231" i="6"/>
  <c r="AQ231" i="6"/>
  <c r="AR231" i="6"/>
  <c r="AS231" i="6"/>
  <c r="AT231" i="6"/>
  <c r="AU231" i="6"/>
  <c r="AV231" i="6"/>
  <c r="AW231" i="6"/>
  <c r="AX231" i="6"/>
  <c r="AY231" i="6"/>
  <c r="AZ231" i="6"/>
  <c r="BA231" i="6"/>
  <c r="BB231" i="6"/>
  <c r="BC231" i="6"/>
  <c r="BD231" i="6"/>
  <c r="AL232" i="6"/>
  <c r="AM232" i="6"/>
  <c r="AN232" i="6"/>
  <c r="AO232" i="6"/>
  <c r="AP232" i="6"/>
  <c r="AQ232" i="6"/>
  <c r="AR232" i="6"/>
  <c r="AS232" i="6"/>
  <c r="AT232" i="6"/>
  <c r="AU232" i="6"/>
  <c r="AV232" i="6"/>
  <c r="AW232" i="6"/>
  <c r="AX232" i="6"/>
  <c r="AY232" i="6"/>
  <c r="AZ232" i="6"/>
  <c r="BA232" i="6"/>
  <c r="BB232" i="6"/>
  <c r="BC232" i="6"/>
  <c r="BD232" i="6"/>
  <c r="AL233" i="6"/>
  <c r="AM233" i="6"/>
  <c r="AN233" i="6"/>
  <c r="AO233" i="6"/>
  <c r="AP233" i="6"/>
  <c r="AQ233" i="6"/>
  <c r="AR233" i="6"/>
  <c r="AS233" i="6"/>
  <c r="AT233" i="6"/>
  <c r="AU233" i="6"/>
  <c r="AV233" i="6"/>
  <c r="AW233" i="6"/>
  <c r="AX233" i="6"/>
  <c r="AY233" i="6"/>
  <c r="AZ233" i="6"/>
  <c r="BA233" i="6"/>
  <c r="BB233" i="6"/>
  <c r="BC233" i="6"/>
  <c r="BD233" i="6"/>
  <c r="AL234" i="6"/>
  <c r="AM234" i="6"/>
  <c r="AN234" i="6"/>
  <c r="AO234" i="6"/>
  <c r="AP234" i="6"/>
  <c r="AQ234" i="6"/>
  <c r="AR234" i="6"/>
  <c r="AS234" i="6"/>
  <c r="AT234" i="6"/>
  <c r="AU234" i="6"/>
  <c r="AV234" i="6"/>
  <c r="AW234" i="6"/>
  <c r="AX234" i="6"/>
  <c r="AY234" i="6"/>
  <c r="AZ234" i="6"/>
  <c r="BA234" i="6"/>
  <c r="BB234" i="6"/>
  <c r="BC234" i="6"/>
  <c r="BD234" i="6"/>
  <c r="AL235" i="6"/>
  <c r="AM235" i="6"/>
  <c r="AN235" i="6"/>
  <c r="AO235" i="6"/>
  <c r="AP235" i="6"/>
  <c r="AQ235" i="6"/>
  <c r="AR235" i="6"/>
  <c r="AS235" i="6"/>
  <c r="AT235" i="6"/>
  <c r="AU235" i="6"/>
  <c r="AV235" i="6"/>
  <c r="AW235" i="6"/>
  <c r="AX235" i="6"/>
  <c r="AY235" i="6"/>
  <c r="AZ235" i="6"/>
  <c r="BA235" i="6"/>
  <c r="BB235" i="6"/>
  <c r="BC235" i="6"/>
  <c r="BD235" i="6"/>
  <c r="AL236" i="6"/>
  <c r="AM236" i="6"/>
  <c r="AN236" i="6"/>
  <c r="AO236" i="6"/>
  <c r="AP236" i="6"/>
  <c r="AQ236" i="6"/>
  <c r="AR236" i="6"/>
  <c r="AS236" i="6"/>
  <c r="AT236" i="6"/>
  <c r="AU236" i="6"/>
  <c r="AV236" i="6"/>
  <c r="AW236" i="6"/>
  <c r="AX236" i="6"/>
  <c r="AY236" i="6"/>
  <c r="AZ236" i="6"/>
  <c r="BA236" i="6"/>
  <c r="BB236" i="6"/>
  <c r="BC236" i="6"/>
  <c r="BD236" i="6"/>
  <c r="AL237" i="6"/>
  <c r="AM237" i="6"/>
  <c r="AN237" i="6"/>
  <c r="AO237" i="6"/>
  <c r="AP237" i="6"/>
  <c r="AQ237" i="6"/>
  <c r="AR237" i="6"/>
  <c r="AS237" i="6"/>
  <c r="AT237" i="6"/>
  <c r="AU237" i="6"/>
  <c r="AV237" i="6"/>
  <c r="AW237" i="6"/>
  <c r="AX237" i="6"/>
  <c r="AY237" i="6"/>
  <c r="AZ237" i="6"/>
  <c r="BA237" i="6"/>
  <c r="BB237" i="6"/>
  <c r="BC237" i="6"/>
  <c r="BD237" i="6"/>
  <c r="AL238" i="6"/>
  <c r="AM238" i="6"/>
  <c r="AN238" i="6"/>
  <c r="AO238" i="6"/>
  <c r="AP238" i="6"/>
  <c r="AQ238" i="6"/>
  <c r="AR238" i="6"/>
  <c r="AS238" i="6"/>
  <c r="AT238" i="6"/>
  <c r="AU238" i="6"/>
  <c r="AV238" i="6"/>
  <c r="AW238" i="6"/>
  <c r="AX238" i="6"/>
  <c r="AY238" i="6"/>
  <c r="AZ238" i="6"/>
  <c r="BA238" i="6"/>
  <c r="BB238" i="6"/>
  <c r="BC238" i="6"/>
  <c r="BD238" i="6"/>
  <c r="AL239" i="6"/>
  <c r="AM239" i="6"/>
  <c r="AN239" i="6"/>
  <c r="AO239" i="6"/>
  <c r="AP239" i="6"/>
  <c r="AQ239" i="6"/>
  <c r="AR239" i="6"/>
  <c r="AS239" i="6"/>
  <c r="AT239" i="6"/>
  <c r="AU239" i="6"/>
  <c r="AV239" i="6"/>
  <c r="AW239" i="6"/>
  <c r="AX239" i="6"/>
  <c r="AY239" i="6"/>
  <c r="AZ239" i="6"/>
  <c r="BA239" i="6"/>
  <c r="BB239" i="6"/>
  <c r="BC239" i="6"/>
  <c r="BD239" i="6"/>
  <c r="AL240" i="6"/>
  <c r="AM240" i="6"/>
  <c r="AN240" i="6"/>
  <c r="AO240" i="6"/>
  <c r="AP240" i="6"/>
  <c r="AQ240" i="6"/>
  <c r="AR240" i="6"/>
  <c r="AS240" i="6"/>
  <c r="AT240" i="6"/>
  <c r="AU240" i="6"/>
  <c r="AV240" i="6"/>
  <c r="AW240" i="6"/>
  <c r="AX240" i="6"/>
  <c r="AY240" i="6"/>
  <c r="AZ240" i="6"/>
  <c r="BA240" i="6"/>
  <c r="BB240" i="6"/>
  <c r="BC240" i="6"/>
  <c r="BD240" i="6"/>
  <c r="AL241" i="6"/>
  <c r="AM241" i="6"/>
  <c r="AN241" i="6"/>
  <c r="AO241" i="6"/>
  <c r="AP241" i="6"/>
  <c r="AQ241" i="6"/>
  <c r="AR241" i="6"/>
  <c r="AS241" i="6"/>
  <c r="AT241" i="6"/>
  <c r="AU241" i="6"/>
  <c r="AV241" i="6"/>
  <c r="AW241" i="6"/>
  <c r="AX241" i="6"/>
  <c r="AY241" i="6"/>
  <c r="AZ241" i="6"/>
  <c r="BA241" i="6"/>
  <c r="BB241" i="6"/>
  <c r="BC241" i="6"/>
  <c r="BD241" i="6"/>
  <c r="AL242" i="6"/>
  <c r="AM242" i="6"/>
  <c r="AN242" i="6"/>
  <c r="AO242" i="6"/>
  <c r="AP242" i="6"/>
  <c r="AQ242" i="6"/>
  <c r="AR242" i="6"/>
  <c r="AS242" i="6"/>
  <c r="AT242" i="6"/>
  <c r="AU242" i="6"/>
  <c r="AV242" i="6"/>
  <c r="AW242" i="6"/>
  <c r="AX242" i="6"/>
  <c r="AY242" i="6"/>
  <c r="AZ242" i="6"/>
  <c r="BA242" i="6"/>
  <c r="BB242" i="6"/>
  <c r="BC242" i="6"/>
  <c r="BD242" i="6"/>
  <c r="AL243" i="6"/>
  <c r="AM243" i="6"/>
  <c r="AN243" i="6"/>
  <c r="AO243" i="6"/>
  <c r="AP243" i="6"/>
  <c r="AQ243" i="6"/>
  <c r="AR243" i="6"/>
  <c r="AS243" i="6"/>
  <c r="AT243" i="6"/>
  <c r="AU243" i="6"/>
  <c r="AV243" i="6"/>
  <c r="AW243" i="6"/>
  <c r="AX243" i="6"/>
  <c r="AY243" i="6"/>
  <c r="AZ243" i="6"/>
  <c r="BA243" i="6"/>
  <c r="BB243" i="6"/>
  <c r="BC243" i="6"/>
  <c r="BD243" i="6"/>
  <c r="AL244" i="6"/>
  <c r="AM244" i="6"/>
  <c r="AN244" i="6"/>
  <c r="AO244" i="6"/>
  <c r="AP244" i="6"/>
  <c r="AQ244" i="6"/>
  <c r="AR244" i="6"/>
  <c r="AS244" i="6"/>
  <c r="AT244" i="6"/>
  <c r="AU244" i="6"/>
  <c r="AV244" i="6"/>
  <c r="AW244" i="6"/>
  <c r="AX244" i="6"/>
  <c r="AY244" i="6"/>
  <c r="AZ244" i="6"/>
  <c r="BA244" i="6"/>
  <c r="BB244" i="6"/>
  <c r="BC244" i="6"/>
  <c r="BD244" i="6"/>
  <c r="AL245" i="6"/>
  <c r="AM245" i="6"/>
  <c r="AN245" i="6"/>
  <c r="AO245" i="6"/>
  <c r="AP245" i="6"/>
  <c r="AQ245" i="6"/>
  <c r="AR245" i="6"/>
  <c r="AS245" i="6"/>
  <c r="AT245" i="6"/>
  <c r="AU245" i="6"/>
  <c r="AV245" i="6"/>
  <c r="AW245" i="6"/>
  <c r="AX245" i="6"/>
  <c r="AY245" i="6"/>
  <c r="AZ245" i="6"/>
  <c r="BA245" i="6"/>
  <c r="BB245" i="6"/>
  <c r="BC245" i="6"/>
  <c r="BD245" i="6"/>
  <c r="AL246" i="6"/>
  <c r="AM246" i="6"/>
  <c r="AN246" i="6"/>
  <c r="AO246" i="6"/>
  <c r="AP246" i="6"/>
  <c r="AQ246" i="6"/>
  <c r="AR246" i="6"/>
  <c r="AS246" i="6"/>
  <c r="AT246" i="6"/>
  <c r="AU246" i="6"/>
  <c r="AV246" i="6"/>
  <c r="AW246" i="6"/>
  <c r="AX246" i="6"/>
  <c r="AY246" i="6"/>
  <c r="AZ246" i="6"/>
  <c r="BA246" i="6"/>
  <c r="BB246" i="6"/>
  <c r="BC246" i="6"/>
  <c r="BD246" i="6"/>
  <c r="AL247" i="6"/>
  <c r="AM247" i="6"/>
  <c r="AN247" i="6"/>
  <c r="AO247" i="6"/>
  <c r="AP247" i="6"/>
  <c r="AQ247" i="6"/>
  <c r="AR247" i="6"/>
  <c r="AS247" i="6"/>
  <c r="AT247" i="6"/>
  <c r="AU247" i="6"/>
  <c r="AV247" i="6"/>
  <c r="AW247" i="6"/>
  <c r="AX247" i="6"/>
  <c r="AY247" i="6"/>
  <c r="AZ247" i="6"/>
  <c r="BA247" i="6"/>
  <c r="BB247" i="6"/>
  <c r="BC247" i="6"/>
  <c r="BD247" i="6"/>
  <c r="AL248" i="6"/>
  <c r="AM248" i="6"/>
  <c r="AN248" i="6"/>
  <c r="AO248" i="6"/>
  <c r="AP248" i="6"/>
  <c r="AQ248" i="6"/>
  <c r="AR248" i="6"/>
  <c r="AS248" i="6"/>
  <c r="AT248" i="6"/>
  <c r="AU248" i="6"/>
  <c r="AV248" i="6"/>
  <c r="AW248" i="6"/>
  <c r="AX248" i="6"/>
  <c r="AY248" i="6"/>
  <c r="AZ248" i="6"/>
  <c r="BA248" i="6"/>
  <c r="BB248" i="6"/>
  <c r="BC248" i="6"/>
  <c r="BD248" i="6"/>
  <c r="AL249" i="6"/>
  <c r="AM249" i="6"/>
  <c r="AN249" i="6"/>
  <c r="AO249" i="6"/>
  <c r="AP249" i="6"/>
  <c r="AQ249" i="6"/>
  <c r="AR249" i="6"/>
  <c r="AS249" i="6"/>
  <c r="AT249" i="6"/>
  <c r="AU249" i="6"/>
  <c r="AV249" i="6"/>
  <c r="AW249" i="6"/>
  <c r="AX249" i="6"/>
  <c r="AY249" i="6"/>
  <c r="AZ249" i="6"/>
  <c r="BA249" i="6"/>
  <c r="BB249" i="6"/>
  <c r="BC249" i="6"/>
  <c r="BD249" i="6"/>
  <c r="AL250" i="6"/>
  <c r="AM250" i="6"/>
  <c r="AN250" i="6"/>
  <c r="AO250" i="6"/>
  <c r="AP250" i="6"/>
  <c r="AQ250" i="6"/>
  <c r="AR250" i="6"/>
  <c r="AS250" i="6"/>
  <c r="AT250" i="6"/>
  <c r="AU250" i="6"/>
  <c r="AV250" i="6"/>
  <c r="AW250" i="6"/>
  <c r="AX250" i="6"/>
  <c r="AY250" i="6"/>
  <c r="AZ250" i="6"/>
  <c r="BA250" i="6"/>
  <c r="BB250" i="6"/>
  <c r="BC250" i="6"/>
  <c r="BD250" i="6"/>
  <c r="AL251" i="6"/>
  <c r="AM251" i="6"/>
  <c r="AN251" i="6"/>
  <c r="AO251" i="6"/>
  <c r="AP251" i="6"/>
  <c r="AQ251" i="6"/>
  <c r="AR251" i="6"/>
  <c r="AS251" i="6"/>
  <c r="AT251" i="6"/>
  <c r="AU251" i="6"/>
  <c r="AV251" i="6"/>
  <c r="AW251" i="6"/>
  <c r="AX251" i="6"/>
  <c r="AY251" i="6"/>
  <c r="AZ251" i="6"/>
  <c r="BA251" i="6"/>
  <c r="BB251" i="6"/>
  <c r="BC251" i="6"/>
  <c r="BD251" i="6"/>
  <c r="AL252" i="6"/>
  <c r="AM252" i="6"/>
  <c r="AN252" i="6"/>
  <c r="AO252" i="6"/>
  <c r="AP252" i="6"/>
  <c r="AQ252" i="6"/>
  <c r="AR252" i="6"/>
  <c r="AS252" i="6"/>
  <c r="AT252" i="6"/>
  <c r="AU252" i="6"/>
  <c r="AV252" i="6"/>
  <c r="AW252" i="6"/>
  <c r="AX252" i="6"/>
  <c r="AY252" i="6"/>
  <c r="AZ252" i="6"/>
  <c r="BA252" i="6"/>
  <c r="BB252" i="6"/>
  <c r="BC252" i="6"/>
  <c r="BD252" i="6"/>
  <c r="AL253" i="6"/>
  <c r="AM253" i="6"/>
  <c r="AN253" i="6"/>
  <c r="AO253" i="6"/>
  <c r="AP253" i="6"/>
  <c r="AQ253" i="6"/>
  <c r="AR253" i="6"/>
  <c r="AS253" i="6"/>
  <c r="AT253" i="6"/>
  <c r="AU253" i="6"/>
  <c r="AV253" i="6"/>
  <c r="AW253" i="6"/>
  <c r="AX253" i="6"/>
  <c r="AY253" i="6"/>
  <c r="AZ253" i="6"/>
  <c r="BA253" i="6"/>
  <c r="BB253" i="6"/>
  <c r="BC253" i="6"/>
  <c r="BD253" i="6"/>
  <c r="AL254" i="6"/>
  <c r="AM254" i="6"/>
  <c r="AN254" i="6"/>
  <c r="AO254" i="6"/>
  <c r="AP254" i="6"/>
  <c r="AQ254" i="6"/>
  <c r="AR254" i="6"/>
  <c r="AS254" i="6"/>
  <c r="AT254" i="6"/>
  <c r="AU254" i="6"/>
  <c r="AV254" i="6"/>
  <c r="AW254" i="6"/>
  <c r="AX254" i="6"/>
  <c r="AY254" i="6"/>
  <c r="AZ254" i="6"/>
  <c r="BA254" i="6"/>
  <c r="BB254" i="6"/>
  <c r="BC254" i="6"/>
  <c r="BD254" i="6"/>
  <c r="AL255" i="6"/>
  <c r="AM255" i="6"/>
  <c r="AN255" i="6"/>
  <c r="AO255" i="6"/>
  <c r="AP255" i="6"/>
  <c r="AQ255" i="6"/>
  <c r="AR255" i="6"/>
  <c r="AS255" i="6"/>
  <c r="AT255" i="6"/>
  <c r="AU255" i="6"/>
  <c r="AV255" i="6"/>
  <c r="AW255" i="6"/>
  <c r="AX255" i="6"/>
  <c r="AY255" i="6"/>
  <c r="AZ255" i="6"/>
  <c r="BA255" i="6"/>
  <c r="BB255" i="6"/>
  <c r="BC255" i="6"/>
  <c r="BD255" i="6"/>
  <c r="AL256" i="6"/>
  <c r="AM256" i="6"/>
  <c r="AN256" i="6"/>
  <c r="AO256" i="6"/>
  <c r="AP256" i="6"/>
  <c r="AQ256" i="6"/>
  <c r="AR256" i="6"/>
  <c r="AS256" i="6"/>
  <c r="AT256" i="6"/>
  <c r="AU256" i="6"/>
  <c r="AV256" i="6"/>
  <c r="AW256" i="6"/>
  <c r="AX256" i="6"/>
  <c r="AY256" i="6"/>
  <c r="AZ256" i="6"/>
  <c r="BA256" i="6"/>
  <c r="BB256" i="6"/>
  <c r="BC256" i="6"/>
  <c r="BD256" i="6"/>
  <c r="AL257" i="6"/>
  <c r="AM257" i="6"/>
  <c r="AN257" i="6"/>
  <c r="AO257" i="6"/>
  <c r="AP257" i="6"/>
  <c r="AQ257" i="6"/>
  <c r="AR257" i="6"/>
  <c r="AS257" i="6"/>
  <c r="AT257" i="6"/>
  <c r="AU257" i="6"/>
  <c r="AV257" i="6"/>
  <c r="AW257" i="6"/>
  <c r="AX257" i="6"/>
  <c r="AY257" i="6"/>
  <c r="AZ257" i="6"/>
  <c r="BA257" i="6"/>
  <c r="BB257" i="6"/>
  <c r="BC257" i="6"/>
  <c r="BD257" i="6"/>
  <c r="AL258" i="6"/>
  <c r="AM258" i="6"/>
  <c r="AN258" i="6"/>
  <c r="AO258" i="6"/>
  <c r="AP258" i="6"/>
  <c r="AQ258" i="6"/>
  <c r="AR258" i="6"/>
  <c r="AS258" i="6"/>
  <c r="AT258" i="6"/>
  <c r="AU258" i="6"/>
  <c r="AV258" i="6"/>
  <c r="AW258" i="6"/>
  <c r="AX258" i="6"/>
  <c r="AY258" i="6"/>
  <c r="AZ258" i="6"/>
  <c r="BA258" i="6"/>
  <c r="BB258" i="6"/>
  <c r="BC258" i="6"/>
  <c r="BD258" i="6"/>
  <c r="AL259" i="6"/>
  <c r="AM259" i="6"/>
  <c r="AN259" i="6"/>
  <c r="AO259" i="6"/>
  <c r="AP259" i="6"/>
  <c r="AQ259" i="6"/>
  <c r="AR259" i="6"/>
  <c r="AS259" i="6"/>
  <c r="AT259" i="6"/>
  <c r="AU259" i="6"/>
  <c r="AV259" i="6"/>
  <c r="AW259" i="6"/>
  <c r="AX259" i="6"/>
  <c r="AY259" i="6"/>
  <c r="AZ259" i="6"/>
  <c r="BA259" i="6"/>
  <c r="BB259" i="6"/>
  <c r="BC259" i="6"/>
  <c r="BD259" i="6"/>
  <c r="AL260" i="6"/>
  <c r="AM260" i="6"/>
  <c r="AN260" i="6"/>
  <c r="AO260" i="6"/>
  <c r="AP260" i="6"/>
  <c r="AQ260" i="6"/>
  <c r="AR260" i="6"/>
  <c r="AS260" i="6"/>
  <c r="AT260" i="6"/>
  <c r="AU260" i="6"/>
  <c r="AV260" i="6"/>
  <c r="AW260" i="6"/>
  <c r="AX260" i="6"/>
  <c r="AY260" i="6"/>
  <c r="AZ260" i="6"/>
  <c r="BA260" i="6"/>
  <c r="BB260" i="6"/>
  <c r="BC260" i="6"/>
  <c r="BD260" i="6"/>
  <c r="AL261" i="6"/>
  <c r="AM261" i="6"/>
  <c r="AN261" i="6"/>
  <c r="AO261" i="6"/>
  <c r="AP261" i="6"/>
  <c r="AQ261" i="6"/>
  <c r="AR261" i="6"/>
  <c r="AS261" i="6"/>
  <c r="AT261" i="6"/>
  <c r="AU261" i="6"/>
  <c r="AV261" i="6"/>
  <c r="AW261" i="6"/>
  <c r="AX261" i="6"/>
  <c r="AY261" i="6"/>
  <c r="AZ261" i="6"/>
  <c r="BA261" i="6"/>
  <c r="BB261" i="6"/>
  <c r="BC261" i="6"/>
  <c r="BD261" i="6"/>
  <c r="AL262" i="6"/>
  <c r="AM262" i="6"/>
  <c r="AN262" i="6"/>
  <c r="AO262" i="6"/>
  <c r="AP262" i="6"/>
  <c r="AQ262" i="6"/>
  <c r="AR262" i="6"/>
  <c r="AS262" i="6"/>
  <c r="AT262" i="6"/>
  <c r="AU262" i="6"/>
  <c r="AV262" i="6"/>
  <c r="AW262" i="6"/>
  <c r="AX262" i="6"/>
  <c r="AY262" i="6"/>
  <c r="AZ262" i="6"/>
  <c r="BA262" i="6"/>
  <c r="BB262" i="6"/>
  <c r="BC262" i="6"/>
  <c r="BD262" i="6"/>
  <c r="AL263" i="6"/>
  <c r="AM263" i="6"/>
  <c r="AN263" i="6"/>
  <c r="AO263" i="6"/>
  <c r="AP263" i="6"/>
  <c r="AQ263" i="6"/>
  <c r="AR263" i="6"/>
  <c r="AS263" i="6"/>
  <c r="AT263" i="6"/>
  <c r="AU263" i="6"/>
  <c r="AV263" i="6"/>
  <c r="AW263" i="6"/>
  <c r="AX263" i="6"/>
  <c r="AY263" i="6"/>
  <c r="AZ263" i="6"/>
  <c r="BA263" i="6"/>
  <c r="BB263" i="6"/>
  <c r="BC263" i="6"/>
  <c r="BD263" i="6"/>
  <c r="AL264" i="6"/>
  <c r="AM264" i="6"/>
  <c r="AN264" i="6"/>
  <c r="AO264" i="6"/>
  <c r="AP264" i="6"/>
  <c r="AQ264" i="6"/>
  <c r="AR264" i="6"/>
  <c r="AS264" i="6"/>
  <c r="AT264" i="6"/>
  <c r="AU264" i="6"/>
  <c r="AV264" i="6"/>
  <c r="AW264" i="6"/>
  <c r="AX264" i="6"/>
  <c r="AY264" i="6"/>
  <c r="AZ264" i="6"/>
  <c r="BA264" i="6"/>
  <c r="BB264" i="6"/>
  <c r="BC264" i="6"/>
  <c r="BD264" i="6"/>
  <c r="AL265" i="6"/>
  <c r="AM265" i="6"/>
  <c r="AN265" i="6"/>
  <c r="AO265" i="6"/>
  <c r="AP265" i="6"/>
  <c r="AQ265" i="6"/>
  <c r="AR265" i="6"/>
  <c r="AS265" i="6"/>
  <c r="AT265" i="6"/>
  <c r="AU265" i="6"/>
  <c r="AV265" i="6"/>
  <c r="AW265" i="6"/>
  <c r="AX265" i="6"/>
  <c r="AY265" i="6"/>
  <c r="AZ265" i="6"/>
  <c r="BA265" i="6"/>
  <c r="BB265" i="6"/>
  <c r="BC265" i="6"/>
  <c r="BD265" i="6"/>
  <c r="AL266" i="6"/>
  <c r="AM266" i="6"/>
  <c r="AN266" i="6"/>
  <c r="AO266" i="6"/>
  <c r="AP266" i="6"/>
  <c r="AQ266" i="6"/>
  <c r="AR266" i="6"/>
  <c r="AS266" i="6"/>
  <c r="AT266" i="6"/>
  <c r="AU266" i="6"/>
  <c r="AV266" i="6"/>
  <c r="AW266" i="6"/>
  <c r="AX266" i="6"/>
  <c r="AY266" i="6"/>
  <c r="AZ266" i="6"/>
  <c r="BA266" i="6"/>
  <c r="BB266" i="6"/>
  <c r="BC266" i="6"/>
  <c r="BD266" i="6"/>
  <c r="AL267" i="6"/>
  <c r="AM267" i="6"/>
  <c r="AN267" i="6"/>
  <c r="AO267" i="6"/>
  <c r="AP267" i="6"/>
  <c r="AQ267" i="6"/>
  <c r="AR267" i="6"/>
  <c r="AS267" i="6"/>
  <c r="AT267" i="6"/>
  <c r="AU267" i="6"/>
  <c r="AV267" i="6"/>
  <c r="AW267" i="6"/>
  <c r="AX267" i="6"/>
  <c r="AY267" i="6"/>
  <c r="AZ267" i="6"/>
  <c r="BA267" i="6"/>
  <c r="BB267" i="6"/>
  <c r="BC267" i="6"/>
  <c r="BD267" i="6"/>
  <c r="AL268" i="6"/>
  <c r="AM268" i="6"/>
  <c r="AN268" i="6"/>
  <c r="AO268" i="6"/>
  <c r="AP268" i="6"/>
  <c r="AQ268" i="6"/>
  <c r="AR268" i="6"/>
  <c r="AS268" i="6"/>
  <c r="AT268" i="6"/>
  <c r="AU268" i="6"/>
  <c r="AV268" i="6"/>
  <c r="AW268" i="6"/>
  <c r="AX268" i="6"/>
  <c r="AY268" i="6"/>
  <c r="AZ268" i="6"/>
  <c r="BA268" i="6"/>
  <c r="BB268" i="6"/>
  <c r="BC268" i="6"/>
  <c r="BD268" i="6"/>
  <c r="AL269" i="6"/>
  <c r="AM269" i="6"/>
  <c r="AN269" i="6"/>
  <c r="AO269" i="6"/>
  <c r="AP269" i="6"/>
  <c r="AQ269" i="6"/>
  <c r="AR269" i="6"/>
  <c r="AS269" i="6"/>
  <c r="AT269" i="6"/>
  <c r="AU269" i="6"/>
  <c r="AV269" i="6"/>
  <c r="AW269" i="6"/>
  <c r="AX269" i="6"/>
  <c r="AY269" i="6"/>
  <c r="AZ269" i="6"/>
  <c r="BA269" i="6"/>
  <c r="BB269" i="6"/>
  <c r="BC269" i="6"/>
  <c r="BD269" i="6"/>
  <c r="AL270" i="6"/>
  <c r="AM270" i="6"/>
  <c r="AN270" i="6"/>
  <c r="AO270" i="6"/>
  <c r="AP270" i="6"/>
  <c r="AQ270" i="6"/>
  <c r="AR270" i="6"/>
  <c r="AS270" i="6"/>
  <c r="AT270" i="6"/>
  <c r="AU270" i="6"/>
  <c r="AV270" i="6"/>
  <c r="AW270" i="6"/>
  <c r="AX270" i="6"/>
  <c r="AY270" i="6"/>
  <c r="AZ270" i="6"/>
  <c r="BA270" i="6"/>
  <c r="BB270" i="6"/>
  <c r="BC270" i="6"/>
  <c r="BD270" i="6"/>
  <c r="AL271" i="6"/>
  <c r="AM271" i="6"/>
  <c r="AN271" i="6"/>
  <c r="AO271" i="6"/>
  <c r="AP271" i="6"/>
  <c r="AQ271" i="6"/>
  <c r="AR271" i="6"/>
  <c r="AS271" i="6"/>
  <c r="AT271" i="6"/>
  <c r="AU271" i="6"/>
  <c r="AV271" i="6"/>
  <c r="AW271" i="6"/>
  <c r="AX271" i="6"/>
  <c r="AY271" i="6"/>
  <c r="AZ271" i="6"/>
  <c r="BA271" i="6"/>
  <c r="BB271" i="6"/>
  <c r="BC271" i="6"/>
  <c r="BD271" i="6"/>
  <c r="AL272" i="6"/>
  <c r="AM272" i="6"/>
  <c r="AN272" i="6"/>
  <c r="AO272" i="6"/>
  <c r="AP272" i="6"/>
  <c r="AQ272" i="6"/>
  <c r="AR272" i="6"/>
  <c r="AS272" i="6"/>
  <c r="AT272" i="6"/>
  <c r="AU272" i="6"/>
  <c r="AV272" i="6"/>
  <c r="AW272" i="6"/>
  <c r="AX272" i="6"/>
  <c r="AY272" i="6"/>
  <c r="AZ272" i="6"/>
  <c r="BA272" i="6"/>
  <c r="BB272" i="6"/>
  <c r="BC272" i="6"/>
  <c r="BD272" i="6"/>
  <c r="AL273" i="6"/>
  <c r="AM273" i="6"/>
  <c r="AN273" i="6"/>
  <c r="AO273" i="6"/>
  <c r="AP273" i="6"/>
  <c r="AQ273" i="6"/>
  <c r="AR273" i="6"/>
  <c r="AS273" i="6"/>
  <c r="AT273" i="6"/>
  <c r="AU273" i="6"/>
  <c r="AV273" i="6"/>
  <c r="AW273" i="6"/>
  <c r="AX273" i="6"/>
  <c r="AY273" i="6"/>
  <c r="AZ273" i="6"/>
  <c r="BA273" i="6"/>
  <c r="BB273" i="6"/>
  <c r="BC273" i="6"/>
  <c r="BD273" i="6"/>
  <c r="AL274" i="6"/>
  <c r="AM274" i="6"/>
  <c r="AN274" i="6"/>
  <c r="AO274" i="6"/>
  <c r="AP274" i="6"/>
  <c r="AQ274" i="6"/>
  <c r="AR274" i="6"/>
  <c r="AS274" i="6"/>
  <c r="AT274" i="6"/>
  <c r="AU274" i="6"/>
  <c r="AV274" i="6"/>
  <c r="AW274" i="6"/>
  <c r="AX274" i="6"/>
  <c r="AY274" i="6"/>
  <c r="AZ274" i="6"/>
  <c r="BA274" i="6"/>
  <c r="BB274" i="6"/>
  <c r="BC274" i="6"/>
  <c r="BD274" i="6"/>
  <c r="AL275" i="6"/>
  <c r="AM275" i="6"/>
  <c r="AN275" i="6"/>
  <c r="AO275" i="6"/>
  <c r="AP275" i="6"/>
  <c r="AQ275" i="6"/>
  <c r="AR275" i="6"/>
  <c r="AS275" i="6"/>
  <c r="AT275" i="6"/>
  <c r="AU275" i="6"/>
  <c r="AV275" i="6"/>
  <c r="AW275" i="6"/>
  <c r="AX275" i="6"/>
  <c r="AY275" i="6"/>
  <c r="AZ275" i="6"/>
  <c r="BA275" i="6"/>
  <c r="BB275" i="6"/>
  <c r="BC275" i="6"/>
  <c r="BD275" i="6"/>
  <c r="AL276" i="6"/>
  <c r="AM276" i="6"/>
  <c r="AN276" i="6"/>
  <c r="AO276" i="6"/>
  <c r="AP276" i="6"/>
  <c r="AQ276" i="6"/>
  <c r="AR276" i="6"/>
  <c r="AS276" i="6"/>
  <c r="AT276" i="6"/>
  <c r="AU276" i="6"/>
  <c r="AV276" i="6"/>
  <c r="AW276" i="6"/>
  <c r="AX276" i="6"/>
  <c r="AY276" i="6"/>
  <c r="AZ276" i="6"/>
  <c r="BA276" i="6"/>
  <c r="BB276" i="6"/>
  <c r="BC276" i="6"/>
  <c r="BD276" i="6"/>
  <c r="AL277" i="6"/>
  <c r="AM277" i="6"/>
  <c r="AN277" i="6"/>
  <c r="AO277" i="6"/>
  <c r="AP277" i="6"/>
  <c r="AQ277" i="6"/>
  <c r="AR277" i="6"/>
  <c r="AS277" i="6"/>
  <c r="AT277" i="6"/>
  <c r="AU277" i="6"/>
  <c r="AV277" i="6"/>
  <c r="AW277" i="6"/>
  <c r="AX277" i="6"/>
  <c r="AY277" i="6"/>
  <c r="AZ277" i="6"/>
  <c r="BA277" i="6"/>
  <c r="BB277" i="6"/>
  <c r="BC277" i="6"/>
  <c r="BD277" i="6"/>
  <c r="AL278" i="6"/>
  <c r="AM278" i="6"/>
  <c r="AN278" i="6"/>
  <c r="AO278" i="6"/>
  <c r="AP278" i="6"/>
  <c r="AQ278" i="6"/>
  <c r="AR278" i="6"/>
  <c r="AS278" i="6"/>
  <c r="AT278" i="6"/>
  <c r="AU278" i="6"/>
  <c r="AV278" i="6"/>
  <c r="AW278" i="6"/>
  <c r="AX278" i="6"/>
  <c r="AY278" i="6"/>
  <c r="AZ278" i="6"/>
  <c r="BA278" i="6"/>
  <c r="BB278" i="6"/>
  <c r="BC278" i="6"/>
  <c r="BD278" i="6"/>
  <c r="AL279" i="6"/>
  <c r="AM279" i="6"/>
  <c r="AN279" i="6"/>
  <c r="AO279" i="6"/>
  <c r="AP279" i="6"/>
  <c r="AQ279" i="6"/>
  <c r="AR279" i="6"/>
  <c r="AS279" i="6"/>
  <c r="AT279" i="6"/>
  <c r="AU279" i="6"/>
  <c r="AV279" i="6"/>
  <c r="AW279" i="6"/>
  <c r="AX279" i="6"/>
  <c r="AY279" i="6"/>
  <c r="AZ279" i="6"/>
  <c r="BA279" i="6"/>
  <c r="BB279" i="6"/>
  <c r="BC279" i="6"/>
  <c r="BD279" i="6"/>
  <c r="AL280" i="6"/>
  <c r="AM280" i="6"/>
  <c r="AN280" i="6"/>
  <c r="AO280" i="6"/>
  <c r="AP280" i="6"/>
  <c r="AQ280" i="6"/>
  <c r="AR280" i="6"/>
  <c r="AS280" i="6"/>
  <c r="AT280" i="6"/>
  <c r="AU280" i="6"/>
  <c r="AV280" i="6"/>
  <c r="AW280" i="6"/>
  <c r="AX280" i="6"/>
  <c r="AY280" i="6"/>
  <c r="AZ280" i="6"/>
  <c r="BA280" i="6"/>
  <c r="BB280" i="6"/>
  <c r="BC280" i="6"/>
  <c r="BD280" i="6"/>
  <c r="AL281" i="6"/>
  <c r="AM281" i="6"/>
  <c r="AN281" i="6"/>
  <c r="AO281" i="6"/>
  <c r="AP281" i="6"/>
  <c r="AQ281" i="6"/>
  <c r="AR281" i="6"/>
  <c r="AS281" i="6"/>
  <c r="AT281" i="6"/>
  <c r="AU281" i="6"/>
  <c r="AV281" i="6"/>
  <c r="AW281" i="6"/>
  <c r="AX281" i="6"/>
  <c r="AY281" i="6"/>
  <c r="AZ281" i="6"/>
  <c r="BA281" i="6"/>
  <c r="BB281" i="6"/>
  <c r="BC281" i="6"/>
  <c r="BD281" i="6"/>
  <c r="AL282" i="6"/>
  <c r="AM282" i="6"/>
  <c r="AN282" i="6"/>
  <c r="AO282" i="6"/>
  <c r="AP282" i="6"/>
  <c r="AQ282" i="6"/>
  <c r="AR282" i="6"/>
  <c r="AS282" i="6"/>
  <c r="AT282" i="6"/>
  <c r="AU282" i="6"/>
  <c r="AV282" i="6"/>
  <c r="AW282" i="6"/>
  <c r="AX282" i="6"/>
  <c r="AY282" i="6"/>
  <c r="AZ282" i="6"/>
  <c r="BA282" i="6"/>
  <c r="BB282" i="6"/>
  <c r="BC282" i="6"/>
  <c r="BD282" i="6"/>
  <c r="AL283" i="6"/>
  <c r="AM283" i="6"/>
  <c r="AN283" i="6"/>
  <c r="AO283" i="6"/>
  <c r="AP283" i="6"/>
  <c r="AQ283" i="6"/>
  <c r="AR283" i="6"/>
  <c r="AS283" i="6"/>
  <c r="AT283" i="6"/>
  <c r="AU283" i="6"/>
  <c r="AV283" i="6"/>
  <c r="AW283" i="6"/>
  <c r="AX283" i="6"/>
  <c r="AY283" i="6"/>
  <c r="AZ283" i="6"/>
  <c r="BA283" i="6"/>
  <c r="BB283" i="6"/>
  <c r="BC283" i="6"/>
  <c r="BD283" i="6"/>
  <c r="AL284" i="6"/>
  <c r="AM284" i="6"/>
  <c r="AN284" i="6"/>
  <c r="AO284" i="6"/>
  <c r="AP284" i="6"/>
  <c r="AQ284" i="6"/>
  <c r="AR284" i="6"/>
  <c r="AS284" i="6"/>
  <c r="AT284" i="6"/>
  <c r="AU284" i="6"/>
  <c r="AV284" i="6"/>
  <c r="AW284" i="6"/>
  <c r="AX284" i="6"/>
  <c r="AY284" i="6"/>
  <c r="AZ284" i="6"/>
  <c r="BA284" i="6"/>
  <c r="BB284" i="6"/>
  <c r="BC284" i="6"/>
  <c r="BD284" i="6"/>
  <c r="AL285" i="6"/>
  <c r="AM285" i="6"/>
  <c r="AN285" i="6"/>
  <c r="AO285" i="6"/>
  <c r="AP285" i="6"/>
  <c r="AQ285" i="6"/>
  <c r="AR285" i="6"/>
  <c r="AS285" i="6"/>
  <c r="AT285" i="6"/>
  <c r="AU285" i="6"/>
  <c r="AV285" i="6"/>
  <c r="AW285" i="6"/>
  <c r="AX285" i="6"/>
  <c r="AY285" i="6"/>
  <c r="AZ285" i="6"/>
  <c r="BA285" i="6"/>
  <c r="BB285" i="6"/>
  <c r="BC285" i="6"/>
  <c r="BD285" i="6"/>
  <c r="AL286" i="6"/>
  <c r="AM286" i="6"/>
  <c r="AN286" i="6"/>
  <c r="AO286" i="6"/>
  <c r="AP286" i="6"/>
  <c r="AQ286" i="6"/>
  <c r="AR286" i="6"/>
  <c r="AS286" i="6"/>
  <c r="AT286" i="6"/>
  <c r="AU286" i="6"/>
  <c r="AV286" i="6"/>
  <c r="AW286" i="6"/>
  <c r="AX286" i="6"/>
  <c r="AY286" i="6"/>
  <c r="AZ286" i="6"/>
  <c r="BA286" i="6"/>
  <c r="BB286" i="6"/>
  <c r="BC286" i="6"/>
  <c r="BD286" i="6"/>
  <c r="AL287" i="6"/>
  <c r="AM287" i="6"/>
  <c r="AN287" i="6"/>
  <c r="AO287" i="6"/>
  <c r="AP287" i="6"/>
  <c r="AQ287" i="6"/>
  <c r="AR287" i="6"/>
  <c r="AS287" i="6"/>
  <c r="AT287" i="6"/>
  <c r="AU287" i="6"/>
  <c r="AV287" i="6"/>
  <c r="AW287" i="6"/>
  <c r="AX287" i="6"/>
  <c r="AY287" i="6"/>
  <c r="AZ287" i="6"/>
  <c r="BA287" i="6"/>
  <c r="BB287" i="6"/>
  <c r="BC287" i="6"/>
  <c r="BD287" i="6"/>
  <c r="AL288" i="6"/>
  <c r="AM288" i="6"/>
  <c r="AN288" i="6"/>
  <c r="AO288" i="6"/>
  <c r="AP288" i="6"/>
  <c r="AQ288" i="6"/>
  <c r="AR288" i="6"/>
  <c r="AS288" i="6"/>
  <c r="AT288" i="6"/>
  <c r="AU288" i="6"/>
  <c r="AV288" i="6"/>
  <c r="AW288" i="6"/>
  <c r="AX288" i="6"/>
  <c r="AY288" i="6"/>
  <c r="AZ288" i="6"/>
  <c r="BA288" i="6"/>
  <c r="BB288" i="6"/>
  <c r="BC288" i="6"/>
  <c r="BD288" i="6"/>
  <c r="AL289" i="6"/>
  <c r="AM289" i="6"/>
  <c r="AN289" i="6"/>
  <c r="AO289" i="6"/>
  <c r="AP289" i="6"/>
  <c r="AQ289" i="6"/>
  <c r="AR289" i="6"/>
  <c r="AS289" i="6"/>
  <c r="AT289" i="6"/>
  <c r="AU289" i="6"/>
  <c r="AV289" i="6"/>
  <c r="AW289" i="6"/>
  <c r="AX289" i="6"/>
  <c r="AY289" i="6"/>
  <c r="AZ289" i="6"/>
  <c r="BA289" i="6"/>
  <c r="BB289" i="6"/>
  <c r="BC289" i="6"/>
  <c r="BD289" i="6"/>
  <c r="AL290" i="6"/>
  <c r="AM290" i="6"/>
  <c r="AN290" i="6"/>
  <c r="AO290" i="6"/>
  <c r="AP290" i="6"/>
  <c r="AQ290" i="6"/>
  <c r="AR290" i="6"/>
  <c r="AS290" i="6"/>
  <c r="AT290" i="6"/>
  <c r="AU290" i="6"/>
  <c r="AV290" i="6"/>
  <c r="AW290" i="6"/>
  <c r="AX290" i="6"/>
  <c r="AY290" i="6"/>
  <c r="AZ290" i="6"/>
  <c r="BA290" i="6"/>
  <c r="BB290" i="6"/>
  <c r="BC290" i="6"/>
  <c r="BD290" i="6"/>
  <c r="AL291" i="6"/>
  <c r="AM291" i="6"/>
  <c r="AN291" i="6"/>
  <c r="AO291" i="6"/>
  <c r="AP291" i="6"/>
  <c r="AQ291" i="6"/>
  <c r="AR291" i="6"/>
  <c r="AS291" i="6"/>
  <c r="AT291" i="6"/>
  <c r="AU291" i="6"/>
  <c r="AV291" i="6"/>
  <c r="AW291" i="6"/>
  <c r="AX291" i="6"/>
  <c r="AY291" i="6"/>
  <c r="AZ291" i="6"/>
  <c r="BA291" i="6"/>
  <c r="BB291" i="6"/>
  <c r="BC291" i="6"/>
  <c r="BD291" i="6"/>
  <c r="AL292" i="6"/>
  <c r="AM292" i="6"/>
  <c r="AN292" i="6"/>
  <c r="AO292" i="6"/>
  <c r="AP292" i="6"/>
  <c r="AQ292" i="6"/>
  <c r="AR292" i="6"/>
  <c r="AS292" i="6"/>
  <c r="AT292" i="6"/>
  <c r="AU292" i="6"/>
  <c r="AV292" i="6"/>
  <c r="AW292" i="6"/>
  <c r="AX292" i="6"/>
  <c r="AY292" i="6"/>
  <c r="AZ292" i="6"/>
  <c r="BA292" i="6"/>
  <c r="BB292" i="6"/>
  <c r="BC292" i="6"/>
  <c r="BD292" i="6"/>
  <c r="AL293" i="6"/>
  <c r="AM293" i="6"/>
  <c r="AN293" i="6"/>
  <c r="AO293" i="6"/>
  <c r="AP293" i="6"/>
  <c r="AQ293" i="6"/>
  <c r="AR293" i="6"/>
  <c r="AS293" i="6"/>
  <c r="AT293" i="6"/>
  <c r="AU293" i="6"/>
  <c r="AV293" i="6"/>
  <c r="AW293" i="6"/>
  <c r="AX293" i="6"/>
  <c r="AY293" i="6"/>
  <c r="AZ293" i="6"/>
  <c r="BA293" i="6"/>
  <c r="BB293" i="6"/>
  <c r="BC293" i="6"/>
  <c r="BD293" i="6"/>
  <c r="AL294" i="6"/>
  <c r="AM294" i="6"/>
  <c r="AN294" i="6"/>
  <c r="AO294" i="6"/>
  <c r="AP294" i="6"/>
  <c r="AQ294" i="6"/>
  <c r="AR294" i="6"/>
  <c r="AS294" i="6"/>
  <c r="AT294" i="6"/>
  <c r="AU294" i="6"/>
  <c r="AV294" i="6"/>
  <c r="AW294" i="6"/>
  <c r="AX294" i="6"/>
  <c r="AY294" i="6"/>
  <c r="AZ294" i="6"/>
  <c r="BA294" i="6"/>
  <c r="BB294" i="6"/>
  <c r="BC294" i="6"/>
  <c r="BD294" i="6"/>
  <c r="AL295" i="6"/>
  <c r="AM295" i="6"/>
  <c r="AN295" i="6"/>
  <c r="AO295" i="6"/>
  <c r="AP295" i="6"/>
  <c r="AQ295" i="6"/>
  <c r="AR295" i="6"/>
  <c r="AS295" i="6"/>
  <c r="AT295" i="6"/>
  <c r="AU295" i="6"/>
  <c r="AV295" i="6"/>
  <c r="AW295" i="6"/>
  <c r="AX295" i="6"/>
  <c r="AY295" i="6"/>
  <c r="AZ295" i="6"/>
  <c r="BA295" i="6"/>
  <c r="BB295" i="6"/>
  <c r="BC295" i="6"/>
  <c r="BD295" i="6"/>
  <c r="AL296" i="6"/>
  <c r="AM296" i="6"/>
  <c r="AN296" i="6"/>
  <c r="AO296" i="6"/>
  <c r="AP296" i="6"/>
  <c r="AQ296" i="6"/>
  <c r="AR296" i="6"/>
  <c r="AS296" i="6"/>
  <c r="AT296" i="6"/>
  <c r="AU296" i="6"/>
  <c r="AV296" i="6"/>
  <c r="AW296" i="6"/>
  <c r="AX296" i="6"/>
  <c r="AY296" i="6"/>
  <c r="AZ296" i="6"/>
  <c r="BA296" i="6"/>
  <c r="BB296" i="6"/>
  <c r="BC296" i="6"/>
  <c r="BD296" i="6"/>
  <c r="AL297" i="6"/>
  <c r="AM297" i="6"/>
  <c r="AN297" i="6"/>
  <c r="AO297" i="6"/>
  <c r="AP297" i="6"/>
  <c r="AQ297" i="6"/>
  <c r="AR297" i="6"/>
  <c r="AS297" i="6"/>
  <c r="AT297" i="6"/>
  <c r="AU297" i="6"/>
  <c r="AV297" i="6"/>
  <c r="AW297" i="6"/>
  <c r="AX297" i="6"/>
  <c r="AY297" i="6"/>
  <c r="AZ297" i="6"/>
  <c r="BA297" i="6"/>
  <c r="BB297" i="6"/>
  <c r="BC297" i="6"/>
  <c r="BD297" i="6"/>
  <c r="AL298" i="6"/>
  <c r="AM298" i="6"/>
  <c r="AN298" i="6"/>
  <c r="AO298" i="6"/>
  <c r="AP298" i="6"/>
  <c r="AQ298" i="6"/>
  <c r="AR298" i="6"/>
  <c r="AS298" i="6"/>
  <c r="AT298" i="6"/>
  <c r="AU298" i="6"/>
  <c r="AV298" i="6"/>
  <c r="AW298" i="6"/>
  <c r="AX298" i="6"/>
  <c r="AY298" i="6"/>
  <c r="AZ298" i="6"/>
  <c r="BA298" i="6"/>
  <c r="BB298" i="6"/>
  <c r="BC298" i="6"/>
  <c r="BD298" i="6"/>
  <c r="AL299" i="6"/>
  <c r="AM299" i="6"/>
  <c r="AN299" i="6"/>
  <c r="AO299" i="6"/>
  <c r="AP299" i="6"/>
  <c r="AQ299" i="6"/>
  <c r="AR299" i="6"/>
  <c r="AS299" i="6"/>
  <c r="AT299" i="6"/>
  <c r="AU299" i="6"/>
  <c r="AV299" i="6"/>
  <c r="AW299" i="6"/>
  <c r="AX299" i="6"/>
  <c r="AY299" i="6"/>
  <c r="AZ299" i="6"/>
  <c r="BA299" i="6"/>
  <c r="BB299" i="6"/>
  <c r="BC299" i="6"/>
  <c r="BD299" i="6"/>
  <c r="AL300" i="6"/>
  <c r="AM300" i="6"/>
  <c r="AN300" i="6"/>
  <c r="AO300" i="6"/>
  <c r="AP300" i="6"/>
  <c r="AQ300" i="6"/>
  <c r="AR300" i="6"/>
  <c r="AS300" i="6"/>
  <c r="AT300" i="6"/>
  <c r="AU300" i="6"/>
  <c r="AV300" i="6"/>
  <c r="AW300" i="6"/>
  <c r="AX300" i="6"/>
  <c r="AY300" i="6"/>
  <c r="AZ300" i="6"/>
  <c r="BA300" i="6"/>
  <c r="BB300" i="6"/>
  <c r="BC300" i="6"/>
  <c r="BD300" i="6"/>
  <c r="AL301" i="6"/>
  <c r="AM301" i="6"/>
  <c r="AN301" i="6"/>
  <c r="AO301" i="6"/>
  <c r="AP301" i="6"/>
  <c r="AQ301" i="6"/>
  <c r="AR301" i="6"/>
  <c r="AS301" i="6"/>
  <c r="AT301" i="6"/>
  <c r="AU301" i="6"/>
  <c r="AV301" i="6"/>
  <c r="AW301" i="6"/>
  <c r="AX301" i="6"/>
  <c r="AY301" i="6"/>
  <c r="AZ301" i="6"/>
  <c r="BA301" i="6"/>
  <c r="BB301" i="6"/>
  <c r="BC301" i="6"/>
  <c r="BD301" i="6"/>
  <c r="AL302" i="6"/>
  <c r="AM302" i="6"/>
  <c r="AN302" i="6"/>
  <c r="AO302" i="6"/>
  <c r="AP302" i="6"/>
  <c r="AQ302" i="6"/>
  <c r="AR302" i="6"/>
  <c r="AS302" i="6"/>
  <c r="AT302" i="6"/>
  <c r="AU302" i="6"/>
  <c r="AV302" i="6"/>
  <c r="AW302" i="6"/>
  <c r="AX302" i="6"/>
  <c r="AY302" i="6"/>
  <c r="AZ302" i="6"/>
  <c r="BA302" i="6"/>
  <c r="BB302" i="6"/>
  <c r="BC302" i="6"/>
  <c r="BD302" i="6"/>
  <c r="AL303" i="6"/>
  <c r="AM303" i="6"/>
  <c r="AN303" i="6"/>
  <c r="AO303" i="6"/>
  <c r="AP303" i="6"/>
  <c r="AQ303" i="6"/>
  <c r="AR303" i="6"/>
  <c r="AS303" i="6"/>
  <c r="AT303" i="6"/>
  <c r="AU303" i="6"/>
  <c r="AV303" i="6"/>
  <c r="AW303" i="6"/>
  <c r="AX303" i="6"/>
  <c r="AY303" i="6"/>
  <c r="AZ303" i="6"/>
  <c r="BA303" i="6"/>
  <c r="BB303" i="6"/>
  <c r="BC303" i="6"/>
  <c r="BD303" i="6"/>
  <c r="AL304" i="6"/>
  <c r="AM304" i="6"/>
  <c r="AN304" i="6"/>
  <c r="AO304" i="6"/>
  <c r="AP304" i="6"/>
  <c r="AQ304" i="6"/>
  <c r="AR304" i="6"/>
  <c r="AS304" i="6"/>
  <c r="AT304" i="6"/>
  <c r="AU304" i="6"/>
  <c r="AV304" i="6"/>
  <c r="AW304" i="6"/>
  <c r="AX304" i="6"/>
  <c r="AY304" i="6"/>
  <c r="AZ304" i="6"/>
  <c r="BA304" i="6"/>
  <c r="BB304" i="6"/>
  <c r="BC304" i="6"/>
  <c r="BD304" i="6"/>
  <c r="AL305" i="6"/>
  <c r="AM305" i="6"/>
  <c r="AN305" i="6"/>
  <c r="AO305" i="6"/>
  <c r="AP305" i="6"/>
  <c r="AQ305" i="6"/>
  <c r="AR305" i="6"/>
  <c r="AS305" i="6"/>
  <c r="AT305" i="6"/>
  <c r="AU305" i="6"/>
  <c r="AV305" i="6"/>
  <c r="AW305" i="6"/>
  <c r="AX305" i="6"/>
  <c r="AY305" i="6"/>
  <c r="AZ305" i="6"/>
  <c r="BA305" i="6"/>
  <c r="BB305" i="6"/>
  <c r="BC305" i="6"/>
  <c r="BD305" i="6"/>
  <c r="AL306" i="6"/>
  <c r="AM306" i="6"/>
  <c r="AN306" i="6"/>
  <c r="AO306" i="6"/>
  <c r="AP306" i="6"/>
  <c r="AQ306" i="6"/>
  <c r="AR306" i="6"/>
  <c r="AS306" i="6"/>
  <c r="AT306" i="6"/>
  <c r="AU306" i="6"/>
  <c r="AV306" i="6"/>
  <c r="AW306" i="6"/>
  <c r="AX306" i="6"/>
  <c r="AY306" i="6"/>
  <c r="AZ306" i="6"/>
  <c r="BA306" i="6"/>
  <c r="BB306" i="6"/>
  <c r="BC306" i="6"/>
  <c r="BD306" i="6"/>
  <c r="AL307" i="6"/>
  <c r="AM307" i="6"/>
  <c r="AN307" i="6"/>
  <c r="AO307" i="6"/>
  <c r="AP307" i="6"/>
  <c r="AQ307" i="6"/>
  <c r="AR307" i="6"/>
  <c r="AS307" i="6"/>
  <c r="AT307" i="6"/>
  <c r="AU307" i="6"/>
  <c r="AV307" i="6"/>
  <c r="AW307" i="6"/>
  <c r="AX307" i="6"/>
  <c r="AY307" i="6"/>
  <c r="AZ307" i="6"/>
  <c r="BA307" i="6"/>
  <c r="BB307" i="6"/>
  <c r="BC307" i="6"/>
  <c r="BD307" i="6"/>
  <c r="AL308" i="6"/>
  <c r="AM308" i="6"/>
  <c r="AN308" i="6"/>
  <c r="AO308" i="6"/>
  <c r="AP308" i="6"/>
  <c r="AQ308" i="6"/>
  <c r="AR308" i="6"/>
  <c r="AS308" i="6"/>
  <c r="AT308" i="6"/>
  <c r="AU308" i="6"/>
  <c r="AV308" i="6"/>
  <c r="AW308" i="6"/>
  <c r="AX308" i="6"/>
  <c r="AY308" i="6"/>
  <c r="AZ308" i="6"/>
  <c r="BA308" i="6"/>
  <c r="BB308" i="6"/>
  <c r="BC308" i="6"/>
  <c r="BD308" i="6"/>
  <c r="AL309" i="6"/>
  <c r="AM309" i="6"/>
  <c r="AN309" i="6"/>
  <c r="AO309" i="6"/>
  <c r="AP309" i="6"/>
  <c r="AQ309" i="6"/>
  <c r="AR309" i="6"/>
  <c r="AS309" i="6"/>
  <c r="AT309" i="6"/>
  <c r="AU309" i="6"/>
  <c r="AV309" i="6"/>
  <c r="AW309" i="6"/>
  <c r="AX309" i="6"/>
  <c r="AY309" i="6"/>
  <c r="AZ309" i="6"/>
  <c r="BA309" i="6"/>
  <c r="BB309" i="6"/>
  <c r="BC309" i="6"/>
  <c r="BD309" i="6"/>
  <c r="C286" i="6"/>
  <c r="D286" i="6"/>
  <c r="E286" i="6"/>
  <c r="F286" i="6"/>
  <c r="G286" i="6"/>
  <c r="H286" i="6"/>
  <c r="I286" i="6"/>
  <c r="J286" i="6"/>
  <c r="K286" i="6"/>
  <c r="L286" i="6"/>
  <c r="M286" i="6"/>
  <c r="N286" i="6"/>
  <c r="O286" i="6"/>
  <c r="P286" i="6"/>
  <c r="Q286" i="6"/>
  <c r="R286" i="6"/>
  <c r="S286" i="6"/>
  <c r="T286" i="6"/>
  <c r="U286" i="6"/>
  <c r="V286" i="6"/>
  <c r="W286" i="6"/>
  <c r="X286" i="6"/>
  <c r="Y286" i="6"/>
  <c r="Z286" i="6"/>
  <c r="AA286" i="6"/>
  <c r="AB286" i="6"/>
  <c r="AC286" i="6"/>
  <c r="AD286" i="6"/>
  <c r="AE286" i="6"/>
  <c r="AF286" i="6"/>
  <c r="AG286" i="6"/>
  <c r="AH286" i="6"/>
  <c r="AI286" i="6"/>
  <c r="AJ286" i="6"/>
  <c r="AK286" i="6"/>
  <c r="C287" i="6"/>
  <c r="D287" i="6"/>
  <c r="E287" i="6"/>
  <c r="F287" i="6"/>
  <c r="G287" i="6"/>
  <c r="H287" i="6"/>
  <c r="I287" i="6"/>
  <c r="J287" i="6"/>
  <c r="K287" i="6"/>
  <c r="L287" i="6"/>
  <c r="M287" i="6"/>
  <c r="N287" i="6"/>
  <c r="O287" i="6"/>
  <c r="P287" i="6"/>
  <c r="Q287" i="6"/>
  <c r="R287" i="6"/>
  <c r="S287" i="6"/>
  <c r="T287" i="6"/>
  <c r="U287" i="6"/>
  <c r="V287" i="6"/>
  <c r="W287" i="6"/>
  <c r="X287" i="6"/>
  <c r="Y287" i="6"/>
  <c r="Z287" i="6"/>
  <c r="AA287" i="6"/>
  <c r="AB287" i="6"/>
  <c r="AC287" i="6"/>
  <c r="AD287" i="6"/>
  <c r="AE287" i="6"/>
  <c r="AF287" i="6"/>
  <c r="AG287" i="6"/>
  <c r="AH287" i="6"/>
  <c r="AI287" i="6"/>
  <c r="AJ287" i="6"/>
  <c r="AK287" i="6"/>
  <c r="C288" i="6"/>
  <c r="D288" i="6"/>
  <c r="E288" i="6"/>
  <c r="F288" i="6"/>
  <c r="G288" i="6"/>
  <c r="H288" i="6"/>
  <c r="I288" i="6"/>
  <c r="J288" i="6"/>
  <c r="K288" i="6"/>
  <c r="L288" i="6"/>
  <c r="M288" i="6"/>
  <c r="N288" i="6"/>
  <c r="O288" i="6"/>
  <c r="P288" i="6"/>
  <c r="Q288" i="6"/>
  <c r="R288" i="6"/>
  <c r="S288" i="6"/>
  <c r="T288" i="6"/>
  <c r="U288" i="6"/>
  <c r="V288" i="6"/>
  <c r="W288" i="6"/>
  <c r="X288" i="6"/>
  <c r="Y288" i="6"/>
  <c r="Z288" i="6"/>
  <c r="AA288" i="6"/>
  <c r="AB288" i="6"/>
  <c r="AC288" i="6"/>
  <c r="AD288" i="6"/>
  <c r="AE288" i="6"/>
  <c r="AF288" i="6"/>
  <c r="AG288" i="6"/>
  <c r="AH288" i="6"/>
  <c r="AI288" i="6"/>
  <c r="AJ288" i="6"/>
  <c r="AK288" i="6"/>
  <c r="C289" i="6"/>
  <c r="D289" i="6"/>
  <c r="E289" i="6"/>
  <c r="F289" i="6"/>
  <c r="G289" i="6"/>
  <c r="H289" i="6"/>
  <c r="I289" i="6"/>
  <c r="J289" i="6"/>
  <c r="K289" i="6"/>
  <c r="L289" i="6"/>
  <c r="M289" i="6"/>
  <c r="N289" i="6"/>
  <c r="O289" i="6"/>
  <c r="P289" i="6"/>
  <c r="Q289" i="6"/>
  <c r="R289" i="6"/>
  <c r="S289" i="6"/>
  <c r="T289" i="6"/>
  <c r="U289" i="6"/>
  <c r="V289" i="6"/>
  <c r="W289" i="6"/>
  <c r="X289" i="6"/>
  <c r="Y289" i="6"/>
  <c r="Z289" i="6"/>
  <c r="AA289" i="6"/>
  <c r="AB289" i="6"/>
  <c r="AC289" i="6"/>
  <c r="AD289" i="6"/>
  <c r="AE289" i="6"/>
  <c r="AF289" i="6"/>
  <c r="AG289" i="6"/>
  <c r="AH289" i="6"/>
  <c r="AI289" i="6"/>
  <c r="AJ289" i="6"/>
  <c r="AK289" i="6"/>
  <c r="C290" i="6"/>
  <c r="D290" i="6"/>
  <c r="E290" i="6"/>
  <c r="F290" i="6"/>
  <c r="G290" i="6"/>
  <c r="H290" i="6"/>
  <c r="I290" i="6"/>
  <c r="J290" i="6"/>
  <c r="K290" i="6"/>
  <c r="L290" i="6"/>
  <c r="M290" i="6"/>
  <c r="N290" i="6"/>
  <c r="O290" i="6"/>
  <c r="P290" i="6"/>
  <c r="Q290" i="6"/>
  <c r="R290" i="6"/>
  <c r="S290" i="6"/>
  <c r="T290" i="6"/>
  <c r="U290" i="6"/>
  <c r="V290" i="6"/>
  <c r="W290" i="6"/>
  <c r="X290" i="6"/>
  <c r="Y290" i="6"/>
  <c r="Z290" i="6"/>
  <c r="AA290" i="6"/>
  <c r="AB290" i="6"/>
  <c r="AC290" i="6"/>
  <c r="AD290" i="6"/>
  <c r="AE290" i="6"/>
  <c r="AF290" i="6"/>
  <c r="AG290" i="6"/>
  <c r="AH290" i="6"/>
  <c r="AI290" i="6"/>
  <c r="AJ290" i="6"/>
  <c r="AK290" i="6"/>
  <c r="C291" i="6"/>
  <c r="D291" i="6"/>
  <c r="E291" i="6"/>
  <c r="F291" i="6"/>
  <c r="G291" i="6"/>
  <c r="H291" i="6"/>
  <c r="I291" i="6"/>
  <c r="J291" i="6"/>
  <c r="K291" i="6"/>
  <c r="L291" i="6"/>
  <c r="M291" i="6"/>
  <c r="N291" i="6"/>
  <c r="O291" i="6"/>
  <c r="P291" i="6"/>
  <c r="Q291" i="6"/>
  <c r="R291" i="6"/>
  <c r="S291" i="6"/>
  <c r="T291" i="6"/>
  <c r="U291" i="6"/>
  <c r="V291" i="6"/>
  <c r="W291" i="6"/>
  <c r="X291" i="6"/>
  <c r="Y291" i="6"/>
  <c r="Z291" i="6"/>
  <c r="AA291" i="6"/>
  <c r="AB291" i="6"/>
  <c r="AC291" i="6"/>
  <c r="AD291" i="6"/>
  <c r="AE291" i="6"/>
  <c r="AF291" i="6"/>
  <c r="AG291" i="6"/>
  <c r="AH291" i="6"/>
  <c r="AI291" i="6"/>
  <c r="AJ291" i="6"/>
  <c r="AK291" i="6"/>
  <c r="C292" i="6"/>
  <c r="D292" i="6"/>
  <c r="E292" i="6"/>
  <c r="F292" i="6"/>
  <c r="G292" i="6"/>
  <c r="H292" i="6"/>
  <c r="I292" i="6"/>
  <c r="J292" i="6"/>
  <c r="K292" i="6"/>
  <c r="L292" i="6"/>
  <c r="M292" i="6"/>
  <c r="N292" i="6"/>
  <c r="O292" i="6"/>
  <c r="P292" i="6"/>
  <c r="Q292" i="6"/>
  <c r="R292" i="6"/>
  <c r="S292" i="6"/>
  <c r="T292" i="6"/>
  <c r="U292" i="6"/>
  <c r="V292" i="6"/>
  <c r="W292" i="6"/>
  <c r="X292" i="6"/>
  <c r="Y292" i="6"/>
  <c r="Z292" i="6"/>
  <c r="AA292" i="6"/>
  <c r="AB292" i="6"/>
  <c r="AC292" i="6"/>
  <c r="AD292" i="6"/>
  <c r="AE292" i="6"/>
  <c r="AF292" i="6"/>
  <c r="AG292" i="6"/>
  <c r="AH292" i="6"/>
  <c r="AI292" i="6"/>
  <c r="AJ292" i="6"/>
  <c r="AK292" i="6"/>
  <c r="C293" i="6"/>
  <c r="D293" i="6"/>
  <c r="E293" i="6"/>
  <c r="F293" i="6"/>
  <c r="G293" i="6"/>
  <c r="H293" i="6"/>
  <c r="I293" i="6"/>
  <c r="J293" i="6"/>
  <c r="K293" i="6"/>
  <c r="L293" i="6"/>
  <c r="M293" i="6"/>
  <c r="N293" i="6"/>
  <c r="O293" i="6"/>
  <c r="P293" i="6"/>
  <c r="Q293" i="6"/>
  <c r="R293" i="6"/>
  <c r="S293" i="6"/>
  <c r="T293" i="6"/>
  <c r="U293" i="6"/>
  <c r="V293" i="6"/>
  <c r="W293" i="6"/>
  <c r="X293" i="6"/>
  <c r="Y293" i="6"/>
  <c r="Z293" i="6"/>
  <c r="AA293" i="6"/>
  <c r="AB293" i="6"/>
  <c r="AC293" i="6"/>
  <c r="AD293" i="6"/>
  <c r="AE293" i="6"/>
  <c r="AF293" i="6"/>
  <c r="AG293" i="6"/>
  <c r="AH293" i="6"/>
  <c r="AI293" i="6"/>
  <c r="AJ293" i="6"/>
  <c r="AK293" i="6"/>
  <c r="C294" i="6"/>
  <c r="D294" i="6"/>
  <c r="E294" i="6"/>
  <c r="F294" i="6"/>
  <c r="G294" i="6"/>
  <c r="H294" i="6"/>
  <c r="I294" i="6"/>
  <c r="J294" i="6"/>
  <c r="K294" i="6"/>
  <c r="L294" i="6"/>
  <c r="M294" i="6"/>
  <c r="N294" i="6"/>
  <c r="O294" i="6"/>
  <c r="P294" i="6"/>
  <c r="Q294" i="6"/>
  <c r="R294" i="6"/>
  <c r="S294" i="6"/>
  <c r="T294" i="6"/>
  <c r="U294" i="6"/>
  <c r="V294" i="6"/>
  <c r="W294" i="6"/>
  <c r="X294" i="6"/>
  <c r="Y294" i="6"/>
  <c r="Z294" i="6"/>
  <c r="AA294" i="6"/>
  <c r="AB294" i="6"/>
  <c r="AC294" i="6"/>
  <c r="AD294" i="6"/>
  <c r="AE294" i="6"/>
  <c r="AF294" i="6"/>
  <c r="AG294" i="6"/>
  <c r="AH294" i="6"/>
  <c r="AI294" i="6"/>
  <c r="AJ294" i="6"/>
  <c r="AK294" i="6"/>
  <c r="C295" i="6"/>
  <c r="D295" i="6"/>
  <c r="E295" i="6"/>
  <c r="F295" i="6"/>
  <c r="G295" i="6"/>
  <c r="H295" i="6"/>
  <c r="I295" i="6"/>
  <c r="J295" i="6"/>
  <c r="K295" i="6"/>
  <c r="L295" i="6"/>
  <c r="M295" i="6"/>
  <c r="N295" i="6"/>
  <c r="O295" i="6"/>
  <c r="P295" i="6"/>
  <c r="Q295" i="6"/>
  <c r="R295" i="6"/>
  <c r="S295" i="6"/>
  <c r="T295" i="6"/>
  <c r="U295" i="6"/>
  <c r="V295" i="6"/>
  <c r="W295" i="6"/>
  <c r="X295" i="6"/>
  <c r="Y295" i="6"/>
  <c r="Z295" i="6"/>
  <c r="AA295" i="6"/>
  <c r="AB295" i="6"/>
  <c r="AC295" i="6"/>
  <c r="AD295" i="6"/>
  <c r="AE295" i="6"/>
  <c r="AF295" i="6"/>
  <c r="AG295" i="6"/>
  <c r="AH295" i="6"/>
  <c r="AI295" i="6"/>
  <c r="AJ295" i="6"/>
  <c r="AK295" i="6"/>
  <c r="C296" i="6"/>
  <c r="D296" i="6"/>
  <c r="E296" i="6"/>
  <c r="F296" i="6"/>
  <c r="G296" i="6"/>
  <c r="H296" i="6"/>
  <c r="I296" i="6"/>
  <c r="J296" i="6"/>
  <c r="K296" i="6"/>
  <c r="L296" i="6"/>
  <c r="M296" i="6"/>
  <c r="N296" i="6"/>
  <c r="O296" i="6"/>
  <c r="P296" i="6"/>
  <c r="Q296" i="6"/>
  <c r="R296" i="6"/>
  <c r="S296" i="6"/>
  <c r="T296" i="6"/>
  <c r="U296" i="6"/>
  <c r="V296" i="6"/>
  <c r="W296" i="6"/>
  <c r="X296" i="6"/>
  <c r="Y296" i="6"/>
  <c r="Z296" i="6"/>
  <c r="AA296" i="6"/>
  <c r="AB296" i="6"/>
  <c r="AC296" i="6"/>
  <c r="AD296" i="6"/>
  <c r="AE296" i="6"/>
  <c r="AF296" i="6"/>
  <c r="AG296" i="6"/>
  <c r="AH296" i="6"/>
  <c r="AI296" i="6"/>
  <c r="AJ296" i="6"/>
  <c r="AK296" i="6"/>
  <c r="C297" i="6"/>
  <c r="D297" i="6"/>
  <c r="E297" i="6"/>
  <c r="F297" i="6"/>
  <c r="G297" i="6"/>
  <c r="H297" i="6"/>
  <c r="I297" i="6"/>
  <c r="J297" i="6"/>
  <c r="K297" i="6"/>
  <c r="L297" i="6"/>
  <c r="M297" i="6"/>
  <c r="N297" i="6"/>
  <c r="O297" i="6"/>
  <c r="P297" i="6"/>
  <c r="Q297" i="6"/>
  <c r="R297" i="6"/>
  <c r="S297" i="6"/>
  <c r="T297" i="6"/>
  <c r="U297" i="6"/>
  <c r="V297" i="6"/>
  <c r="W297" i="6"/>
  <c r="X297" i="6"/>
  <c r="Y297" i="6"/>
  <c r="Z297" i="6"/>
  <c r="AA297" i="6"/>
  <c r="AB297" i="6"/>
  <c r="AC297" i="6"/>
  <c r="AD297" i="6"/>
  <c r="AE297" i="6"/>
  <c r="AF297" i="6"/>
  <c r="AG297" i="6"/>
  <c r="AH297" i="6"/>
  <c r="AI297" i="6"/>
  <c r="AJ297" i="6"/>
  <c r="AK297" i="6"/>
  <c r="C298" i="6"/>
  <c r="D298" i="6"/>
  <c r="E298" i="6"/>
  <c r="F298" i="6"/>
  <c r="G298" i="6"/>
  <c r="H298" i="6"/>
  <c r="I298" i="6"/>
  <c r="J298" i="6"/>
  <c r="K298" i="6"/>
  <c r="L298" i="6"/>
  <c r="M298" i="6"/>
  <c r="N298" i="6"/>
  <c r="O298" i="6"/>
  <c r="P298" i="6"/>
  <c r="Q298" i="6"/>
  <c r="R298" i="6"/>
  <c r="S298" i="6"/>
  <c r="T298" i="6"/>
  <c r="U298" i="6"/>
  <c r="V298" i="6"/>
  <c r="W298" i="6"/>
  <c r="X298" i="6"/>
  <c r="Y298" i="6"/>
  <c r="Z298" i="6"/>
  <c r="AA298" i="6"/>
  <c r="AB298" i="6"/>
  <c r="AC298" i="6"/>
  <c r="AD298" i="6"/>
  <c r="AE298" i="6"/>
  <c r="AF298" i="6"/>
  <c r="AG298" i="6"/>
  <c r="AH298" i="6"/>
  <c r="AI298" i="6"/>
  <c r="AJ298" i="6"/>
  <c r="AK298" i="6"/>
  <c r="C299" i="6"/>
  <c r="D299" i="6"/>
  <c r="E299" i="6"/>
  <c r="F299" i="6"/>
  <c r="G299" i="6"/>
  <c r="H299" i="6"/>
  <c r="I299" i="6"/>
  <c r="J299" i="6"/>
  <c r="K299" i="6"/>
  <c r="L299" i="6"/>
  <c r="M299" i="6"/>
  <c r="N299" i="6"/>
  <c r="O299" i="6"/>
  <c r="P299" i="6"/>
  <c r="Q299" i="6"/>
  <c r="R299" i="6"/>
  <c r="S299" i="6"/>
  <c r="T299" i="6"/>
  <c r="U299" i="6"/>
  <c r="V299" i="6"/>
  <c r="W299" i="6"/>
  <c r="X299" i="6"/>
  <c r="Y299" i="6"/>
  <c r="Z299" i="6"/>
  <c r="AA299" i="6"/>
  <c r="AB299" i="6"/>
  <c r="AC299" i="6"/>
  <c r="AD299" i="6"/>
  <c r="AE299" i="6"/>
  <c r="AF299" i="6"/>
  <c r="AG299" i="6"/>
  <c r="AH299" i="6"/>
  <c r="AI299" i="6"/>
  <c r="AJ299" i="6"/>
  <c r="AK299" i="6"/>
  <c r="C300" i="6"/>
  <c r="D300" i="6"/>
  <c r="E300" i="6"/>
  <c r="F300" i="6"/>
  <c r="G300" i="6"/>
  <c r="H300" i="6"/>
  <c r="I300" i="6"/>
  <c r="J300" i="6"/>
  <c r="K300" i="6"/>
  <c r="L300" i="6"/>
  <c r="M300" i="6"/>
  <c r="N300" i="6"/>
  <c r="O300" i="6"/>
  <c r="P300" i="6"/>
  <c r="Q300" i="6"/>
  <c r="R300" i="6"/>
  <c r="S300" i="6"/>
  <c r="T300" i="6"/>
  <c r="U300" i="6"/>
  <c r="V300" i="6"/>
  <c r="W300" i="6"/>
  <c r="X300" i="6"/>
  <c r="Y300" i="6"/>
  <c r="Z300" i="6"/>
  <c r="AA300" i="6"/>
  <c r="AB300" i="6"/>
  <c r="AC300" i="6"/>
  <c r="AD300" i="6"/>
  <c r="AE300" i="6"/>
  <c r="AF300" i="6"/>
  <c r="AG300" i="6"/>
  <c r="AH300" i="6"/>
  <c r="AI300" i="6"/>
  <c r="AJ300" i="6"/>
  <c r="AK300" i="6"/>
  <c r="C301" i="6"/>
  <c r="D301" i="6"/>
  <c r="E301" i="6"/>
  <c r="F301" i="6"/>
  <c r="G301" i="6"/>
  <c r="H301" i="6"/>
  <c r="I301" i="6"/>
  <c r="J301" i="6"/>
  <c r="K301" i="6"/>
  <c r="L301" i="6"/>
  <c r="M301" i="6"/>
  <c r="N301" i="6"/>
  <c r="O301" i="6"/>
  <c r="P301" i="6"/>
  <c r="Q301" i="6"/>
  <c r="R301" i="6"/>
  <c r="S301" i="6"/>
  <c r="T301" i="6"/>
  <c r="U301" i="6"/>
  <c r="V301" i="6"/>
  <c r="W301" i="6"/>
  <c r="X301" i="6"/>
  <c r="Y301" i="6"/>
  <c r="Z301" i="6"/>
  <c r="AA301" i="6"/>
  <c r="AB301" i="6"/>
  <c r="AC301" i="6"/>
  <c r="AD301" i="6"/>
  <c r="AE301" i="6"/>
  <c r="AF301" i="6"/>
  <c r="AG301" i="6"/>
  <c r="AH301" i="6"/>
  <c r="AI301" i="6"/>
  <c r="AJ301" i="6"/>
  <c r="AK301" i="6"/>
  <c r="C302" i="6"/>
  <c r="D302" i="6"/>
  <c r="E302" i="6"/>
  <c r="F302" i="6"/>
  <c r="G302" i="6"/>
  <c r="H302" i="6"/>
  <c r="I302" i="6"/>
  <c r="J302" i="6"/>
  <c r="K302" i="6"/>
  <c r="L302" i="6"/>
  <c r="M302" i="6"/>
  <c r="N302" i="6"/>
  <c r="O302" i="6"/>
  <c r="P302" i="6"/>
  <c r="Q302" i="6"/>
  <c r="R302" i="6"/>
  <c r="S302" i="6"/>
  <c r="T302" i="6"/>
  <c r="U302" i="6"/>
  <c r="V302" i="6"/>
  <c r="W302" i="6"/>
  <c r="X302" i="6"/>
  <c r="Y302" i="6"/>
  <c r="Z302" i="6"/>
  <c r="AA302" i="6"/>
  <c r="AB302" i="6"/>
  <c r="AC302" i="6"/>
  <c r="AD302" i="6"/>
  <c r="AE302" i="6"/>
  <c r="AF302" i="6"/>
  <c r="AG302" i="6"/>
  <c r="AH302" i="6"/>
  <c r="AI302" i="6"/>
  <c r="AJ302" i="6"/>
  <c r="AK302" i="6"/>
  <c r="C303" i="6"/>
  <c r="D303" i="6"/>
  <c r="E303" i="6"/>
  <c r="F303" i="6"/>
  <c r="G303" i="6"/>
  <c r="H303" i="6"/>
  <c r="I303" i="6"/>
  <c r="J303" i="6"/>
  <c r="K303" i="6"/>
  <c r="L303" i="6"/>
  <c r="M303" i="6"/>
  <c r="N303" i="6"/>
  <c r="O303" i="6"/>
  <c r="P303" i="6"/>
  <c r="Q303" i="6"/>
  <c r="R303" i="6"/>
  <c r="S303" i="6"/>
  <c r="T303" i="6"/>
  <c r="U303" i="6"/>
  <c r="V303" i="6"/>
  <c r="W303" i="6"/>
  <c r="X303" i="6"/>
  <c r="Y303" i="6"/>
  <c r="Z303" i="6"/>
  <c r="AA303" i="6"/>
  <c r="AB303" i="6"/>
  <c r="AC303" i="6"/>
  <c r="AD303" i="6"/>
  <c r="AE303" i="6"/>
  <c r="AF303" i="6"/>
  <c r="AG303" i="6"/>
  <c r="AH303" i="6"/>
  <c r="AI303" i="6"/>
  <c r="AJ303" i="6"/>
  <c r="AK303" i="6"/>
  <c r="C304" i="6"/>
  <c r="D304" i="6"/>
  <c r="E304" i="6"/>
  <c r="F304" i="6"/>
  <c r="G304" i="6"/>
  <c r="H304" i="6"/>
  <c r="I304" i="6"/>
  <c r="J304" i="6"/>
  <c r="K304" i="6"/>
  <c r="L304" i="6"/>
  <c r="M304" i="6"/>
  <c r="N304" i="6"/>
  <c r="O304" i="6"/>
  <c r="P304" i="6"/>
  <c r="Q304" i="6"/>
  <c r="R304" i="6"/>
  <c r="S304" i="6"/>
  <c r="T304" i="6"/>
  <c r="U304" i="6"/>
  <c r="V304" i="6"/>
  <c r="W304" i="6"/>
  <c r="X304" i="6"/>
  <c r="Y304" i="6"/>
  <c r="Z304" i="6"/>
  <c r="AA304" i="6"/>
  <c r="AB304" i="6"/>
  <c r="AC304" i="6"/>
  <c r="AD304" i="6"/>
  <c r="AE304" i="6"/>
  <c r="AF304" i="6"/>
  <c r="AG304" i="6"/>
  <c r="AH304" i="6"/>
  <c r="AI304" i="6"/>
  <c r="AJ304" i="6"/>
  <c r="AK304" i="6"/>
  <c r="C305" i="6"/>
  <c r="D305" i="6"/>
  <c r="E305" i="6"/>
  <c r="F305" i="6"/>
  <c r="G305" i="6"/>
  <c r="H305" i="6"/>
  <c r="I305" i="6"/>
  <c r="J305" i="6"/>
  <c r="K305" i="6"/>
  <c r="L305" i="6"/>
  <c r="M305" i="6"/>
  <c r="N305" i="6"/>
  <c r="O305" i="6"/>
  <c r="P305" i="6"/>
  <c r="Q305" i="6"/>
  <c r="R305" i="6"/>
  <c r="S305" i="6"/>
  <c r="T305" i="6"/>
  <c r="U305" i="6"/>
  <c r="V305" i="6"/>
  <c r="W305" i="6"/>
  <c r="X305" i="6"/>
  <c r="Y305" i="6"/>
  <c r="Z305" i="6"/>
  <c r="AA305" i="6"/>
  <c r="AB305" i="6"/>
  <c r="AC305" i="6"/>
  <c r="AD305" i="6"/>
  <c r="AE305" i="6"/>
  <c r="AF305" i="6"/>
  <c r="AG305" i="6"/>
  <c r="AH305" i="6"/>
  <c r="AI305" i="6"/>
  <c r="AJ305" i="6"/>
  <c r="AK305" i="6"/>
  <c r="C306" i="6"/>
  <c r="D306" i="6"/>
  <c r="E306" i="6"/>
  <c r="F306" i="6"/>
  <c r="G306" i="6"/>
  <c r="H306" i="6"/>
  <c r="I306" i="6"/>
  <c r="J306" i="6"/>
  <c r="K306" i="6"/>
  <c r="L306" i="6"/>
  <c r="M306" i="6"/>
  <c r="N306" i="6"/>
  <c r="O306" i="6"/>
  <c r="P306" i="6"/>
  <c r="Q306" i="6"/>
  <c r="R306" i="6"/>
  <c r="S306" i="6"/>
  <c r="T306" i="6"/>
  <c r="U306" i="6"/>
  <c r="V306" i="6"/>
  <c r="W306" i="6"/>
  <c r="X306" i="6"/>
  <c r="Y306" i="6"/>
  <c r="Z306" i="6"/>
  <c r="AA306" i="6"/>
  <c r="AB306" i="6"/>
  <c r="AC306" i="6"/>
  <c r="AD306" i="6"/>
  <c r="AE306" i="6"/>
  <c r="AF306" i="6"/>
  <c r="AG306" i="6"/>
  <c r="AH306" i="6"/>
  <c r="AI306" i="6"/>
  <c r="AJ306" i="6"/>
  <c r="AK306" i="6"/>
  <c r="C307" i="6"/>
  <c r="D307" i="6"/>
  <c r="E307" i="6"/>
  <c r="F307" i="6"/>
  <c r="G307" i="6"/>
  <c r="H307" i="6"/>
  <c r="I307" i="6"/>
  <c r="J307" i="6"/>
  <c r="K307" i="6"/>
  <c r="L307" i="6"/>
  <c r="M307" i="6"/>
  <c r="N307" i="6"/>
  <c r="O307" i="6"/>
  <c r="P307" i="6"/>
  <c r="Q307" i="6"/>
  <c r="R307" i="6"/>
  <c r="S307" i="6"/>
  <c r="T307" i="6"/>
  <c r="U307" i="6"/>
  <c r="V307" i="6"/>
  <c r="W307" i="6"/>
  <c r="X307" i="6"/>
  <c r="Y307" i="6"/>
  <c r="Z307" i="6"/>
  <c r="AA307" i="6"/>
  <c r="AB307" i="6"/>
  <c r="AC307" i="6"/>
  <c r="AD307" i="6"/>
  <c r="AE307" i="6"/>
  <c r="AF307" i="6"/>
  <c r="AG307" i="6"/>
  <c r="AH307" i="6"/>
  <c r="AI307" i="6"/>
  <c r="AJ307" i="6"/>
  <c r="AK307" i="6"/>
  <c r="C308" i="6"/>
  <c r="D308" i="6"/>
  <c r="E308" i="6"/>
  <c r="F308" i="6"/>
  <c r="G308" i="6"/>
  <c r="H308" i="6"/>
  <c r="I308" i="6"/>
  <c r="J308" i="6"/>
  <c r="K308" i="6"/>
  <c r="L308" i="6"/>
  <c r="M308" i="6"/>
  <c r="N308" i="6"/>
  <c r="O308" i="6"/>
  <c r="P308" i="6"/>
  <c r="Q308" i="6"/>
  <c r="R308" i="6"/>
  <c r="S308" i="6"/>
  <c r="T308" i="6"/>
  <c r="U308" i="6"/>
  <c r="V308" i="6"/>
  <c r="W308" i="6"/>
  <c r="X308" i="6"/>
  <c r="Y308" i="6"/>
  <c r="Z308" i="6"/>
  <c r="AA308" i="6"/>
  <c r="AB308" i="6"/>
  <c r="AC308" i="6"/>
  <c r="AD308" i="6"/>
  <c r="AE308" i="6"/>
  <c r="AF308" i="6"/>
  <c r="AG308" i="6"/>
  <c r="AH308" i="6"/>
  <c r="AI308" i="6"/>
  <c r="AJ308" i="6"/>
  <c r="AK308" i="6"/>
  <c r="C309" i="6"/>
  <c r="D309" i="6"/>
  <c r="E309" i="6"/>
  <c r="F309" i="6"/>
  <c r="G309" i="6"/>
  <c r="H309" i="6"/>
  <c r="I309" i="6"/>
  <c r="J309" i="6"/>
  <c r="K309" i="6"/>
  <c r="L309" i="6"/>
  <c r="M309" i="6"/>
  <c r="N309" i="6"/>
  <c r="O309" i="6"/>
  <c r="P309" i="6"/>
  <c r="Q309" i="6"/>
  <c r="R309" i="6"/>
  <c r="S309" i="6"/>
  <c r="T309" i="6"/>
  <c r="U309" i="6"/>
  <c r="V309" i="6"/>
  <c r="W309" i="6"/>
  <c r="X309" i="6"/>
  <c r="Y309" i="6"/>
  <c r="Z309" i="6"/>
  <c r="AA309" i="6"/>
  <c r="AB309" i="6"/>
  <c r="AC309" i="6"/>
  <c r="AD309" i="6"/>
  <c r="AE309" i="6"/>
  <c r="AF309" i="6"/>
  <c r="AG309" i="6"/>
  <c r="AH309" i="6"/>
  <c r="AI309" i="6"/>
  <c r="AJ309" i="6"/>
  <c r="AK309" i="6"/>
  <c r="AL2" i="6"/>
  <c r="AM2" i="6"/>
  <c r="AN2" i="6"/>
  <c r="AO2" i="6"/>
  <c r="AP2" i="6"/>
  <c r="AQ2" i="6"/>
  <c r="AR2" i="6"/>
  <c r="AS2" i="6"/>
  <c r="AT2" i="6"/>
  <c r="AU2" i="6"/>
  <c r="AV2" i="6"/>
  <c r="AW2" i="6"/>
  <c r="AX2" i="6"/>
  <c r="AY2" i="6"/>
  <c r="AZ2" i="6"/>
  <c r="BA2" i="6"/>
  <c r="BB2" i="6"/>
  <c r="BC2" i="6"/>
  <c r="BD2" i="6"/>
  <c r="O25" i="10" l="1"/>
  <c r="P25" i="10" s="1"/>
  <c r="P26" i="10" s="1"/>
  <c r="P27" i="10" s="1"/>
  <c r="P28" i="10" s="1"/>
  <c r="P29" i="10" s="1"/>
  <c r="P30" i="10" s="1"/>
  <c r="P31" i="10" s="1"/>
  <c r="P32" i="10" s="1"/>
  <c r="P33" i="10" s="1"/>
  <c r="P34" i="10" s="1"/>
  <c r="P35" i="10" s="1"/>
  <c r="P36" i="10" s="1"/>
  <c r="P37" i="10" s="1"/>
  <c r="K25" i="10"/>
  <c r="K26" i="10" s="1"/>
  <c r="K27" i="10" s="1"/>
  <c r="K28" i="10" s="1"/>
  <c r="K29" i="10" s="1"/>
  <c r="K30" i="10" s="1"/>
  <c r="K31" i="10" s="1"/>
  <c r="K32" i="10" s="1"/>
  <c r="K33" i="10" s="1"/>
  <c r="K34" i="10" s="1"/>
  <c r="K35" i="10" s="1"/>
  <c r="K36" i="10" s="1"/>
  <c r="K37" i="10" s="1"/>
  <c r="Q43" i="3"/>
  <c r="P43" i="3"/>
  <c r="O43" i="3"/>
  <c r="N43" i="3"/>
  <c r="M43" i="3"/>
  <c r="Q56" i="3"/>
  <c r="P56" i="3"/>
  <c r="O56" i="3"/>
  <c r="N56" i="3"/>
  <c r="M56" i="3"/>
  <c r="Q55" i="3"/>
  <c r="P55" i="3"/>
  <c r="O55" i="3"/>
  <c r="N55" i="3"/>
  <c r="M55" i="3"/>
  <c r="Q53" i="3"/>
  <c r="P53" i="3"/>
  <c r="O53" i="3"/>
  <c r="N53" i="3"/>
  <c r="M53" i="3"/>
  <c r="Q44" i="3"/>
  <c r="P44" i="3"/>
  <c r="O44" i="3"/>
  <c r="N44" i="3"/>
  <c r="M44" i="3"/>
  <c r="Q47" i="3"/>
  <c r="P47" i="3"/>
  <c r="O47" i="3"/>
  <c r="N47" i="3"/>
  <c r="M47" i="3"/>
  <c r="Q52" i="3"/>
  <c r="P52" i="3"/>
  <c r="O52" i="3"/>
  <c r="N52" i="3"/>
  <c r="M52" i="3"/>
  <c r="Q34" i="3"/>
  <c r="P34" i="3"/>
  <c r="O34" i="3"/>
  <c r="N34" i="3"/>
  <c r="M34" i="3"/>
  <c r="Q31" i="3"/>
  <c r="P31" i="3"/>
  <c r="O31" i="3"/>
  <c r="N31" i="3"/>
  <c r="M31" i="3"/>
  <c r="Q19" i="3"/>
  <c r="P19" i="3"/>
  <c r="O19" i="3"/>
  <c r="N19" i="3"/>
  <c r="M19" i="3"/>
  <c r="Q25" i="3"/>
  <c r="P25" i="3"/>
  <c r="O25" i="3"/>
  <c r="N25" i="3"/>
  <c r="M25" i="3"/>
  <c r="Q36" i="3"/>
  <c r="P36" i="3"/>
  <c r="O36" i="3"/>
  <c r="N36" i="3"/>
  <c r="M36" i="3"/>
  <c r="Q20" i="3"/>
  <c r="P20" i="3"/>
  <c r="O20" i="3"/>
  <c r="N20" i="3"/>
  <c r="M20" i="3"/>
  <c r="Q35" i="3"/>
  <c r="P35" i="3"/>
  <c r="O35" i="3"/>
  <c r="N35" i="3"/>
  <c r="M35" i="3"/>
  <c r="Q18" i="3"/>
  <c r="P18" i="3"/>
  <c r="O18" i="3"/>
  <c r="N18" i="3"/>
  <c r="M18" i="3"/>
  <c r="Q11" i="3"/>
  <c r="P11" i="3"/>
  <c r="O11" i="3"/>
  <c r="N11" i="3"/>
  <c r="M11" i="3"/>
  <c r="Q17" i="3"/>
  <c r="P17" i="3"/>
  <c r="O17" i="3"/>
  <c r="N17" i="3"/>
  <c r="M17" i="3"/>
  <c r="Q15" i="3"/>
  <c r="P15" i="3"/>
  <c r="O15" i="3"/>
  <c r="N15" i="3"/>
  <c r="M15" i="3"/>
  <c r="Q33" i="3"/>
  <c r="P33" i="3"/>
  <c r="O33" i="3"/>
  <c r="N33" i="3"/>
  <c r="M33" i="3"/>
  <c r="Q49" i="3"/>
  <c r="P49" i="3"/>
  <c r="O49" i="3"/>
  <c r="N49" i="3"/>
  <c r="M49" i="3"/>
  <c r="Q51" i="3"/>
  <c r="P51" i="3"/>
  <c r="O51" i="3"/>
  <c r="N51" i="3"/>
  <c r="M51" i="3"/>
  <c r="Q46" i="3"/>
  <c r="P46" i="3"/>
  <c r="O46" i="3"/>
  <c r="N46" i="3"/>
  <c r="M46" i="3"/>
  <c r="Q45" i="3"/>
  <c r="P45" i="3"/>
  <c r="O45" i="3"/>
  <c r="N45" i="3"/>
  <c r="M45" i="3"/>
  <c r="Q50" i="3"/>
  <c r="P50" i="3"/>
  <c r="O50" i="3"/>
  <c r="N50" i="3"/>
  <c r="M50" i="3"/>
  <c r="Q38" i="3"/>
  <c r="P38" i="3"/>
  <c r="O38" i="3"/>
  <c r="N38" i="3"/>
  <c r="M38" i="3"/>
  <c r="Q39" i="3"/>
  <c r="P39" i="3"/>
  <c r="O39" i="3"/>
  <c r="N39" i="3"/>
  <c r="M39" i="3"/>
  <c r="Q37" i="3"/>
  <c r="P37" i="3"/>
  <c r="O37" i="3"/>
  <c r="N37" i="3"/>
  <c r="M37" i="3"/>
  <c r="Q42" i="3"/>
  <c r="P42" i="3"/>
  <c r="O42" i="3"/>
  <c r="N42" i="3"/>
  <c r="M42" i="3"/>
  <c r="Q40" i="3"/>
  <c r="P40" i="3"/>
  <c r="O40" i="3"/>
  <c r="N40" i="3"/>
  <c r="M40" i="3"/>
  <c r="Q41" i="3"/>
  <c r="P41" i="3"/>
  <c r="O41" i="3"/>
  <c r="N41" i="3"/>
  <c r="M41" i="3"/>
  <c r="Q48" i="3"/>
  <c r="P48" i="3"/>
  <c r="O48" i="3"/>
  <c r="N48" i="3"/>
  <c r="M48" i="3"/>
  <c r="Q54" i="3"/>
  <c r="P54" i="3"/>
  <c r="O54" i="3"/>
  <c r="N54" i="3"/>
  <c r="M54" i="3"/>
  <c r="Q28" i="3"/>
  <c r="P28" i="3"/>
  <c r="O28" i="3"/>
  <c r="N28" i="3"/>
  <c r="M28" i="3"/>
  <c r="Q29" i="3"/>
  <c r="P29" i="3"/>
  <c r="O29" i="3"/>
  <c r="N29" i="3"/>
  <c r="M29" i="3"/>
  <c r="Q30" i="3"/>
  <c r="P30" i="3"/>
  <c r="O30" i="3"/>
  <c r="N30" i="3"/>
  <c r="M30" i="3"/>
  <c r="Q24" i="3"/>
  <c r="P24" i="3"/>
  <c r="O24" i="3"/>
  <c r="N24" i="3"/>
  <c r="M24" i="3"/>
  <c r="Q22" i="3"/>
  <c r="P22" i="3"/>
  <c r="O22" i="3"/>
  <c r="N22" i="3"/>
  <c r="M22" i="3"/>
  <c r="Q32" i="3"/>
  <c r="P32" i="3"/>
  <c r="O32" i="3"/>
  <c r="N32" i="3"/>
  <c r="M32" i="3"/>
  <c r="Q26" i="3"/>
  <c r="P26" i="3"/>
  <c r="O26" i="3"/>
  <c r="N26" i="3"/>
  <c r="M26" i="3"/>
  <c r="Q21" i="3"/>
  <c r="P21" i="3"/>
  <c r="O21" i="3"/>
  <c r="N21" i="3"/>
  <c r="M21" i="3"/>
  <c r="Q23" i="3"/>
  <c r="P23" i="3"/>
  <c r="O23" i="3"/>
  <c r="N23" i="3"/>
  <c r="M23" i="3"/>
  <c r="Q27" i="3"/>
  <c r="P27" i="3"/>
  <c r="O27" i="3"/>
  <c r="N27" i="3"/>
  <c r="M27" i="3"/>
  <c r="Q7" i="3"/>
  <c r="P7" i="3"/>
  <c r="O7" i="3"/>
  <c r="N7" i="3"/>
  <c r="M7" i="3"/>
  <c r="Q5" i="3"/>
  <c r="P5" i="3"/>
  <c r="O5" i="3"/>
  <c r="N5" i="3"/>
  <c r="M5" i="3"/>
  <c r="Q13" i="3"/>
  <c r="P13" i="3"/>
  <c r="O13" i="3"/>
  <c r="N13" i="3"/>
  <c r="M13" i="3"/>
  <c r="Q6" i="3"/>
  <c r="P6" i="3"/>
  <c r="O6" i="3"/>
  <c r="N6" i="3"/>
  <c r="M6" i="3"/>
  <c r="Q4" i="3"/>
  <c r="P4" i="3"/>
  <c r="O4" i="3"/>
  <c r="N4" i="3"/>
  <c r="M4" i="3"/>
  <c r="Q8" i="3"/>
  <c r="P8" i="3"/>
  <c r="O8" i="3"/>
  <c r="N8" i="3"/>
  <c r="M8" i="3"/>
  <c r="Q16" i="3"/>
  <c r="P16" i="3"/>
  <c r="O16" i="3"/>
  <c r="N16" i="3"/>
  <c r="M16" i="3"/>
  <c r="Q12" i="3"/>
  <c r="P12" i="3"/>
  <c r="O12" i="3"/>
  <c r="N12" i="3"/>
  <c r="M12" i="3"/>
  <c r="Q14" i="3"/>
  <c r="P14" i="3"/>
  <c r="O14" i="3"/>
  <c r="N14" i="3"/>
  <c r="M14" i="3"/>
  <c r="Q10" i="3"/>
  <c r="P10" i="3"/>
  <c r="O10" i="3"/>
  <c r="N10" i="3"/>
  <c r="M10" i="3"/>
  <c r="Q9" i="3"/>
  <c r="P9" i="3"/>
  <c r="O9" i="3"/>
  <c r="N9" i="3"/>
  <c r="M9" i="3"/>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 i="6"/>
  <c r="AA8" i="2" l="1"/>
  <c r="Z8" i="2"/>
  <c r="Y8" i="2"/>
  <c r="X8" i="2"/>
  <c r="W8" i="2"/>
  <c r="V8" i="2"/>
  <c r="U8" i="2"/>
  <c r="T8" i="2"/>
  <c r="S8" i="2"/>
  <c r="R8" i="2"/>
  <c r="AA3" i="6"/>
  <c r="AB3" i="6"/>
  <c r="AC3" i="6"/>
  <c r="AD3" i="6"/>
  <c r="AE3" i="6"/>
  <c r="AF3" i="6"/>
  <c r="AG3" i="6"/>
  <c r="AH3" i="6"/>
  <c r="AI3" i="6"/>
  <c r="AJ3" i="6"/>
  <c r="AK3" i="6"/>
  <c r="AA4" i="6"/>
  <c r="AB4" i="6"/>
  <c r="AC4" i="6"/>
  <c r="AD4" i="6"/>
  <c r="AE4" i="6"/>
  <c r="AF4" i="6"/>
  <c r="AG4" i="6"/>
  <c r="AH4" i="6"/>
  <c r="AI4" i="6"/>
  <c r="AJ4" i="6"/>
  <c r="AK4" i="6"/>
  <c r="AA5" i="6"/>
  <c r="AB5" i="6"/>
  <c r="AC5" i="6"/>
  <c r="AD5" i="6"/>
  <c r="AE5" i="6"/>
  <c r="AF5" i="6"/>
  <c r="AG5" i="6"/>
  <c r="AH5" i="6"/>
  <c r="AI5" i="6"/>
  <c r="AJ5" i="6"/>
  <c r="AK5" i="6"/>
  <c r="AA6" i="6"/>
  <c r="AB6" i="6"/>
  <c r="AC6" i="6"/>
  <c r="AD6" i="6"/>
  <c r="AE6" i="6"/>
  <c r="AF6" i="6"/>
  <c r="AG6" i="6"/>
  <c r="AH6" i="6"/>
  <c r="AI6" i="6"/>
  <c r="AJ6" i="6"/>
  <c r="AK6" i="6"/>
  <c r="AA7" i="6"/>
  <c r="AB7" i="6"/>
  <c r="AC7" i="6"/>
  <c r="AD7" i="6"/>
  <c r="AE7" i="6"/>
  <c r="AF7" i="6"/>
  <c r="AG7" i="6"/>
  <c r="AH7" i="6"/>
  <c r="AI7" i="6"/>
  <c r="AJ7" i="6"/>
  <c r="AK7" i="6"/>
  <c r="AA8" i="6"/>
  <c r="AB8" i="6"/>
  <c r="AC8" i="6"/>
  <c r="AD8" i="6"/>
  <c r="AE8" i="6"/>
  <c r="AF8" i="6"/>
  <c r="AG8" i="6"/>
  <c r="AH8" i="6"/>
  <c r="AI8" i="6"/>
  <c r="AJ8" i="6"/>
  <c r="AK8" i="6"/>
  <c r="AA9" i="6"/>
  <c r="AB9" i="6"/>
  <c r="AC9" i="6"/>
  <c r="AD9" i="6"/>
  <c r="AE9" i="6"/>
  <c r="AF9" i="6"/>
  <c r="AG9" i="6"/>
  <c r="AH9" i="6"/>
  <c r="AI9" i="6"/>
  <c r="AJ9" i="6"/>
  <c r="AK9" i="6"/>
  <c r="AA10" i="6"/>
  <c r="AB10" i="6"/>
  <c r="AC10" i="6"/>
  <c r="AD10" i="6"/>
  <c r="AE10" i="6"/>
  <c r="AF10" i="6"/>
  <c r="AG10" i="6"/>
  <c r="AH10" i="6"/>
  <c r="AI10" i="6"/>
  <c r="AJ10" i="6"/>
  <c r="AK10" i="6"/>
  <c r="AA11" i="6"/>
  <c r="AB11" i="6"/>
  <c r="AC11" i="6"/>
  <c r="AD11" i="6"/>
  <c r="AE11" i="6"/>
  <c r="AF11" i="6"/>
  <c r="AG11" i="6"/>
  <c r="AH11" i="6"/>
  <c r="AI11" i="6"/>
  <c r="AJ11" i="6"/>
  <c r="AK11" i="6"/>
  <c r="AA12" i="6"/>
  <c r="AB12" i="6"/>
  <c r="AC12" i="6"/>
  <c r="AD12" i="6"/>
  <c r="AE12" i="6"/>
  <c r="AF12" i="6"/>
  <c r="AG12" i="6"/>
  <c r="AH12" i="6"/>
  <c r="AI12" i="6"/>
  <c r="AJ12" i="6"/>
  <c r="AK12" i="6"/>
  <c r="AA13" i="6"/>
  <c r="AB13" i="6"/>
  <c r="AC13" i="6"/>
  <c r="AD13" i="6"/>
  <c r="AE13" i="6"/>
  <c r="AF13" i="6"/>
  <c r="AG13" i="6"/>
  <c r="AH13" i="6"/>
  <c r="AI13" i="6"/>
  <c r="AJ13" i="6"/>
  <c r="AK13" i="6"/>
  <c r="AA14" i="6"/>
  <c r="AB14" i="6"/>
  <c r="AC14" i="6"/>
  <c r="AD14" i="6"/>
  <c r="AE14" i="6"/>
  <c r="AF14" i="6"/>
  <c r="AG14" i="6"/>
  <c r="AH14" i="6"/>
  <c r="AI14" i="6"/>
  <c r="AJ14" i="6"/>
  <c r="AK14" i="6"/>
  <c r="AA15" i="6"/>
  <c r="AB15" i="6"/>
  <c r="AC15" i="6"/>
  <c r="AD15" i="6"/>
  <c r="AE15" i="6"/>
  <c r="AF15" i="6"/>
  <c r="AG15" i="6"/>
  <c r="AH15" i="6"/>
  <c r="AI15" i="6"/>
  <c r="AJ15" i="6"/>
  <c r="AK15" i="6"/>
  <c r="AA16" i="6"/>
  <c r="AB16" i="6"/>
  <c r="AC16" i="6"/>
  <c r="AD16" i="6"/>
  <c r="AE16" i="6"/>
  <c r="AF16" i="6"/>
  <c r="AG16" i="6"/>
  <c r="AH16" i="6"/>
  <c r="AI16" i="6"/>
  <c r="AJ16" i="6"/>
  <c r="AK16" i="6"/>
  <c r="AA17" i="6"/>
  <c r="AB17" i="6"/>
  <c r="AC17" i="6"/>
  <c r="AD17" i="6"/>
  <c r="AE17" i="6"/>
  <c r="AF17" i="6"/>
  <c r="AG17" i="6"/>
  <c r="AH17" i="6"/>
  <c r="AI17" i="6"/>
  <c r="AJ17" i="6"/>
  <c r="AK17" i="6"/>
  <c r="AA18" i="6"/>
  <c r="AB18" i="6"/>
  <c r="AC18" i="6"/>
  <c r="AD18" i="6"/>
  <c r="AE18" i="6"/>
  <c r="AF18" i="6"/>
  <c r="AG18" i="6"/>
  <c r="AH18" i="6"/>
  <c r="AI18" i="6"/>
  <c r="AJ18" i="6"/>
  <c r="AK18" i="6"/>
  <c r="AA19" i="6"/>
  <c r="AB19" i="6"/>
  <c r="AC19" i="6"/>
  <c r="AD19" i="6"/>
  <c r="AE19" i="6"/>
  <c r="AF19" i="6"/>
  <c r="AG19" i="6"/>
  <c r="AH19" i="6"/>
  <c r="AI19" i="6"/>
  <c r="AJ19" i="6"/>
  <c r="AK19" i="6"/>
  <c r="AA20" i="6"/>
  <c r="AB20" i="6"/>
  <c r="AC20" i="6"/>
  <c r="AD20" i="6"/>
  <c r="AE20" i="6"/>
  <c r="AF20" i="6"/>
  <c r="AG20" i="6"/>
  <c r="AH20" i="6"/>
  <c r="AI20" i="6"/>
  <c r="AJ20" i="6"/>
  <c r="AK20" i="6"/>
  <c r="AA21" i="6"/>
  <c r="AB21" i="6"/>
  <c r="AC21" i="6"/>
  <c r="AD21" i="6"/>
  <c r="AE21" i="6"/>
  <c r="AF21" i="6"/>
  <c r="AG21" i="6"/>
  <c r="AH21" i="6"/>
  <c r="AI21" i="6"/>
  <c r="AJ21" i="6"/>
  <c r="AK21" i="6"/>
  <c r="AA22" i="6"/>
  <c r="AB22" i="6"/>
  <c r="AC22" i="6"/>
  <c r="AD22" i="6"/>
  <c r="AE22" i="6"/>
  <c r="AF22" i="6"/>
  <c r="AG22" i="6"/>
  <c r="AH22" i="6"/>
  <c r="AI22" i="6"/>
  <c r="AJ22" i="6"/>
  <c r="AK22" i="6"/>
  <c r="AA23" i="6"/>
  <c r="AB23" i="6"/>
  <c r="AC23" i="6"/>
  <c r="AD23" i="6"/>
  <c r="AE23" i="6"/>
  <c r="AF23" i="6"/>
  <c r="AG23" i="6"/>
  <c r="AH23" i="6"/>
  <c r="AI23" i="6"/>
  <c r="AJ23" i="6"/>
  <c r="AK23" i="6"/>
  <c r="AA24" i="6"/>
  <c r="AB24" i="6"/>
  <c r="AC24" i="6"/>
  <c r="AD24" i="6"/>
  <c r="AE24" i="6"/>
  <c r="AF24" i="6"/>
  <c r="AG24" i="6"/>
  <c r="AH24" i="6"/>
  <c r="AI24" i="6"/>
  <c r="AJ24" i="6"/>
  <c r="AK24" i="6"/>
  <c r="AA25" i="6"/>
  <c r="AB25" i="6"/>
  <c r="AC25" i="6"/>
  <c r="AD25" i="6"/>
  <c r="AE25" i="6"/>
  <c r="AF25" i="6"/>
  <c r="AG25" i="6"/>
  <c r="AH25" i="6"/>
  <c r="AI25" i="6"/>
  <c r="AJ25" i="6"/>
  <c r="AK25" i="6"/>
  <c r="AA26" i="6"/>
  <c r="AB26" i="6"/>
  <c r="AC26" i="6"/>
  <c r="AD26" i="6"/>
  <c r="AE26" i="6"/>
  <c r="AF26" i="6"/>
  <c r="AG26" i="6"/>
  <c r="AH26" i="6"/>
  <c r="AI26" i="6"/>
  <c r="AJ26" i="6"/>
  <c r="AK26" i="6"/>
  <c r="AA27" i="6"/>
  <c r="AB27" i="6"/>
  <c r="AC27" i="6"/>
  <c r="AD27" i="6"/>
  <c r="AE27" i="6"/>
  <c r="AF27" i="6"/>
  <c r="AG27" i="6"/>
  <c r="AH27" i="6"/>
  <c r="AI27" i="6"/>
  <c r="AJ27" i="6"/>
  <c r="AK27" i="6"/>
  <c r="AA28" i="6"/>
  <c r="AB28" i="6"/>
  <c r="AC28" i="6"/>
  <c r="AD28" i="6"/>
  <c r="AE28" i="6"/>
  <c r="AF28" i="6"/>
  <c r="AG28" i="6"/>
  <c r="AH28" i="6"/>
  <c r="AI28" i="6"/>
  <c r="AJ28" i="6"/>
  <c r="AK28" i="6"/>
  <c r="AA29" i="6"/>
  <c r="AB29" i="6"/>
  <c r="AC29" i="6"/>
  <c r="AD29" i="6"/>
  <c r="AE29" i="6"/>
  <c r="AF29" i="6"/>
  <c r="AG29" i="6"/>
  <c r="AH29" i="6"/>
  <c r="AI29" i="6"/>
  <c r="AJ29" i="6"/>
  <c r="AK29" i="6"/>
  <c r="AA30" i="6"/>
  <c r="AB30" i="6"/>
  <c r="AC30" i="6"/>
  <c r="AD30" i="6"/>
  <c r="AE30" i="6"/>
  <c r="AF30" i="6"/>
  <c r="AG30" i="6"/>
  <c r="AH30" i="6"/>
  <c r="AI30" i="6"/>
  <c r="AJ30" i="6"/>
  <c r="AK30" i="6"/>
  <c r="AA31" i="6"/>
  <c r="AB31" i="6"/>
  <c r="AC31" i="6"/>
  <c r="AD31" i="6"/>
  <c r="AE31" i="6"/>
  <c r="AF31" i="6"/>
  <c r="AG31" i="6"/>
  <c r="AH31" i="6"/>
  <c r="AI31" i="6"/>
  <c r="AJ31" i="6"/>
  <c r="AK31" i="6"/>
  <c r="AA32" i="6"/>
  <c r="AB32" i="6"/>
  <c r="AC32" i="6"/>
  <c r="AD32" i="6"/>
  <c r="AE32" i="6"/>
  <c r="AF32" i="6"/>
  <c r="AG32" i="6"/>
  <c r="AH32" i="6"/>
  <c r="AI32" i="6"/>
  <c r="AJ32" i="6"/>
  <c r="AK32" i="6"/>
  <c r="AA33" i="6"/>
  <c r="AB33" i="6"/>
  <c r="AC33" i="6"/>
  <c r="AD33" i="6"/>
  <c r="AE33" i="6"/>
  <c r="AF33" i="6"/>
  <c r="AG33" i="6"/>
  <c r="AH33" i="6"/>
  <c r="AI33" i="6"/>
  <c r="AJ33" i="6"/>
  <c r="AK33" i="6"/>
  <c r="AA34" i="6"/>
  <c r="AB34" i="6"/>
  <c r="AC34" i="6"/>
  <c r="AD34" i="6"/>
  <c r="AE34" i="6"/>
  <c r="AF34" i="6"/>
  <c r="AG34" i="6"/>
  <c r="AH34" i="6"/>
  <c r="AI34" i="6"/>
  <c r="AJ34" i="6"/>
  <c r="AK34" i="6"/>
  <c r="AA35" i="6"/>
  <c r="AB35" i="6"/>
  <c r="AC35" i="6"/>
  <c r="AD35" i="6"/>
  <c r="AE35" i="6"/>
  <c r="AF35" i="6"/>
  <c r="AG35" i="6"/>
  <c r="AH35" i="6"/>
  <c r="AI35" i="6"/>
  <c r="AJ35" i="6"/>
  <c r="AK35" i="6"/>
  <c r="AA36" i="6"/>
  <c r="AB36" i="6"/>
  <c r="AC36" i="6"/>
  <c r="AD36" i="6"/>
  <c r="AE36" i="6"/>
  <c r="AF36" i="6"/>
  <c r="AG36" i="6"/>
  <c r="AH36" i="6"/>
  <c r="AI36" i="6"/>
  <c r="AJ36" i="6"/>
  <c r="AK36" i="6"/>
  <c r="AA37" i="6"/>
  <c r="AB37" i="6"/>
  <c r="AC37" i="6"/>
  <c r="AD37" i="6"/>
  <c r="AE37" i="6"/>
  <c r="AF37" i="6"/>
  <c r="AG37" i="6"/>
  <c r="AH37" i="6"/>
  <c r="AI37" i="6"/>
  <c r="AJ37" i="6"/>
  <c r="AK37" i="6"/>
  <c r="AA38" i="6"/>
  <c r="AB38" i="6"/>
  <c r="AC38" i="6"/>
  <c r="AD38" i="6"/>
  <c r="AE38" i="6"/>
  <c r="AF38" i="6"/>
  <c r="AG38" i="6"/>
  <c r="AH38" i="6"/>
  <c r="AI38" i="6"/>
  <c r="AJ38" i="6"/>
  <c r="AK38" i="6"/>
  <c r="AA39" i="6"/>
  <c r="AB39" i="6"/>
  <c r="AC39" i="6"/>
  <c r="AD39" i="6"/>
  <c r="AE39" i="6"/>
  <c r="AF39" i="6"/>
  <c r="AG39" i="6"/>
  <c r="AH39" i="6"/>
  <c r="AI39" i="6"/>
  <c r="AJ39" i="6"/>
  <c r="AK39" i="6"/>
  <c r="AA40" i="6"/>
  <c r="AB40" i="6"/>
  <c r="AC40" i="6"/>
  <c r="AD40" i="6"/>
  <c r="AE40" i="6"/>
  <c r="AF40" i="6"/>
  <c r="AG40" i="6"/>
  <c r="AH40" i="6"/>
  <c r="AI40" i="6"/>
  <c r="AJ40" i="6"/>
  <c r="AK40" i="6"/>
  <c r="AA41" i="6"/>
  <c r="AB41" i="6"/>
  <c r="AC41" i="6"/>
  <c r="AD41" i="6"/>
  <c r="AE41" i="6"/>
  <c r="AF41" i="6"/>
  <c r="AG41" i="6"/>
  <c r="AH41" i="6"/>
  <c r="AI41" i="6"/>
  <c r="AJ41" i="6"/>
  <c r="AK41" i="6"/>
  <c r="AA42" i="6"/>
  <c r="AB42" i="6"/>
  <c r="AC42" i="6"/>
  <c r="AD42" i="6"/>
  <c r="AE42" i="6"/>
  <c r="AF42" i="6"/>
  <c r="AG42" i="6"/>
  <c r="AH42" i="6"/>
  <c r="AI42" i="6"/>
  <c r="AJ42" i="6"/>
  <c r="AK42" i="6"/>
  <c r="AA43" i="6"/>
  <c r="AB43" i="6"/>
  <c r="AC43" i="6"/>
  <c r="AD43" i="6"/>
  <c r="AE43" i="6"/>
  <c r="AF43" i="6"/>
  <c r="AG43" i="6"/>
  <c r="AH43" i="6"/>
  <c r="AI43" i="6"/>
  <c r="AJ43" i="6"/>
  <c r="AK43" i="6"/>
  <c r="AA44" i="6"/>
  <c r="AB44" i="6"/>
  <c r="AC44" i="6"/>
  <c r="AD44" i="6"/>
  <c r="AE44" i="6"/>
  <c r="AF44" i="6"/>
  <c r="AG44" i="6"/>
  <c r="AH44" i="6"/>
  <c r="AI44" i="6"/>
  <c r="AJ44" i="6"/>
  <c r="AK44" i="6"/>
  <c r="AA45" i="6"/>
  <c r="AB45" i="6"/>
  <c r="AC45" i="6"/>
  <c r="AD45" i="6"/>
  <c r="AE45" i="6"/>
  <c r="AF45" i="6"/>
  <c r="AG45" i="6"/>
  <c r="AH45" i="6"/>
  <c r="AI45" i="6"/>
  <c r="AJ45" i="6"/>
  <c r="AK45" i="6"/>
  <c r="AA46" i="6"/>
  <c r="AB46" i="6"/>
  <c r="AC46" i="6"/>
  <c r="AD46" i="6"/>
  <c r="AE46" i="6"/>
  <c r="AF46" i="6"/>
  <c r="AG46" i="6"/>
  <c r="AH46" i="6"/>
  <c r="AI46" i="6"/>
  <c r="AJ46" i="6"/>
  <c r="AK46" i="6"/>
  <c r="AA47" i="6"/>
  <c r="AB47" i="6"/>
  <c r="AC47" i="6"/>
  <c r="AD47" i="6"/>
  <c r="AE47" i="6"/>
  <c r="AF47" i="6"/>
  <c r="AG47" i="6"/>
  <c r="AH47" i="6"/>
  <c r="AI47" i="6"/>
  <c r="AJ47" i="6"/>
  <c r="AK47" i="6"/>
  <c r="AA48" i="6"/>
  <c r="AB48" i="6"/>
  <c r="AC48" i="6"/>
  <c r="AD48" i="6"/>
  <c r="AE48" i="6"/>
  <c r="AF48" i="6"/>
  <c r="AG48" i="6"/>
  <c r="AH48" i="6"/>
  <c r="AI48" i="6"/>
  <c r="AJ48" i="6"/>
  <c r="AK48" i="6"/>
  <c r="AA49" i="6"/>
  <c r="AB49" i="6"/>
  <c r="AC49" i="6"/>
  <c r="AD49" i="6"/>
  <c r="AE49" i="6"/>
  <c r="AF49" i="6"/>
  <c r="AG49" i="6"/>
  <c r="AH49" i="6"/>
  <c r="AI49" i="6"/>
  <c r="AJ49" i="6"/>
  <c r="AK49" i="6"/>
  <c r="AA50" i="6"/>
  <c r="AB50" i="6"/>
  <c r="AC50" i="6"/>
  <c r="AD50" i="6"/>
  <c r="AE50" i="6"/>
  <c r="AF50" i="6"/>
  <c r="AG50" i="6"/>
  <c r="AH50" i="6"/>
  <c r="AI50" i="6"/>
  <c r="AJ50" i="6"/>
  <c r="AK50" i="6"/>
  <c r="AA51" i="6"/>
  <c r="AB51" i="6"/>
  <c r="AC51" i="6"/>
  <c r="AD51" i="6"/>
  <c r="AE51" i="6"/>
  <c r="AF51" i="6"/>
  <c r="AG51" i="6"/>
  <c r="AH51" i="6"/>
  <c r="AI51" i="6"/>
  <c r="AJ51" i="6"/>
  <c r="AK51" i="6"/>
  <c r="AA52" i="6"/>
  <c r="AB52" i="6"/>
  <c r="AC52" i="6"/>
  <c r="AD52" i="6"/>
  <c r="AE52" i="6"/>
  <c r="AF52" i="6"/>
  <c r="AG52" i="6"/>
  <c r="AH52" i="6"/>
  <c r="AI52" i="6"/>
  <c r="AJ52" i="6"/>
  <c r="AK52" i="6"/>
  <c r="AA53" i="6"/>
  <c r="AB53" i="6"/>
  <c r="AC53" i="6"/>
  <c r="AD53" i="6"/>
  <c r="AE53" i="6"/>
  <c r="AF53" i="6"/>
  <c r="AG53" i="6"/>
  <c r="AH53" i="6"/>
  <c r="AI53" i="6"/>
  <c r="AJ53" i="6"/>
  <c r="AK53" i="6"/>
  <c r="AA54" i="6"/>
  <c r="AB54" i="6"/>
  <c r="AC54" i="6"/>
  <c r="AD54" i="6"/>
  <c r="AE54" i="6"/>
  <c r="AF54" i="6"/>
  <c r="AG54" i="6"/>
  <c r="AH54" i="6"/>
  <c r="AI54" i="6"/>
  <c r="AJ54" i="6"/>
  <c r="AK54" i="6"/>
  <c r="AA55" i="6"/>
  <c r="AB55" i="6"/>
  <c r="AC55" i="6"/>
  <c r="AD55" i="6"/>
  <c r="AE55" i="6"/>
  <c r="AF55" i="6"/>
  <c r="AG55" i="6"/>
  <c r="AH55" i="6"/>
  <c r="AI55" i="6"/>
  <c r="AJ55" i="6"/>
  <c r="AK55" i="6"/>
  <c r="AA56" i="6"/>
  <c r="AB56" i="6"/>
  <c r="AC56" i="6"/>
  <c r="AD56" i="6"/>
  <c r="AE56" i="6"/>
  <c r="AF56" i="6"/>
  <c r="AG56" i="6"/>
  <c r="AH56" i="6"/>
  <c r="AI56" i="6"/>
  <c r="AJ56" i="6"/>
  <c r="AK56" i="6"/>
  <c r="AA57" i="6"/>
  <c r="AB57" i="6"/>
  <c r="AC57" i="6"/>
  <c r="AD57" i="6"/>
  <c r="AE57" i="6"/>
  <c r="AF57" i="6"/>
  <c r="AG57" i="6"/>
  <c r="AH57" i="6"/>
  <c r="AI57" i="6"/>
  <c r="AJ57" i="6"/>
  <c r="AK57" i="6"/>
  <c r="AA58" i="6"/>
  <c r="AB58" i="6"/>
  <c r="AC58" i="6"/>
  <c r="AD58" i="6"/>
  <c r="AE58" i="6"/>
  <c r="AF58" i="6"/>
  <c r="AG58" i="6"/>
  <c r="AH58" i="6"/>
  <c r="AI58" i="6"/>
  <c r="AJ58" i="6"/>
  <c r="AK58" i="6"/>
  <c r="AA59" i="6"/>
  <c r="AB59" i="6"/>
  <c r="AC59" i="6"/>
  <c r="AD59" i="6"/>
  <c r="AE59" i="6"/>
  <c r="AF59" i="6"/>
  <c r="AG59" i="6"/>
  <c r="AH59" i="6"/>
  <c r="AI59" i="6"/>
  <c r="AJ59" i="6"/>
  <c r="AK59" i="6"/>
  <c r="AA60" i="6"/>
  <c r="AB60" i="6"/>
  <c r="AC60" i="6"/>
  <c r="AD60" i="6"/>
  <c r="AE60" i="6"/>
  <c r="AF60" i="6"/>
  <c r="AG60" i="6"/>
  <c r="AH60" i="6"/>
  <c r="AI60" i="6"/>
  <c r="AJ60" i="6"/>
  <c r="AK60" i="6"/>
  <c r="AA61" i="6"/>
  <c r="AB61" i="6"/>
  <c r="AC61" i="6"/>
  <c r="AD61" i="6"/>
  <c r="AE61" i="6"/>
  <c r="AF61" i="6"/>
  <c r="AG61" i="6"/>
  <c r="AH61" i="6"/>
  <c r="AI61" i="6"/>
  <c r="AJ61" i="6"/>
  <c r="AK61" i="6"/>
  <c r="AA62" i="6"/>
  <c r="AB62" i="6"/>
  <c r="AC62" i="6"/>
  <c r="AD62" i="6"/>
  <c r="AE62" i="6"/>
  <c r="AF62" i="6"/>
  <c r="AG62" i="6"/>
  <c r="AH62" i="6"/>
  <c r="AI62" i="6"/>
  <c r="AJ62" i="6"/>
  <c r="AK62" i="6"/>
  <c r="AA63" i="6"/>
  <c r="AB63" i="6"/>
  <c r="AC63" i="6"/>
  <c r="AD63" i="6"/>
  <c r="AE63" i="6"/>
  <c r="AF63" i="6"/>
  <c r="AG63" i="6"/>
  <c r="AH63" i="6"/>
  <c r="AI63" i="6"/>
  <c r="AJ63" i="6"/>
  <c r="AK63" i="6"/>
  <c r="AA64" i="6"/>
  <c r="AB64" i="6"/>
  <c r="AC64" i="6"/>
  <c r="AD64" i="6"/>
  <c r="AE64" i="6"/>
  <c r="AF64" i="6"/>
  <c r="AG64" i="6"/>
  <c r="AH64" i="6"/>
  <c r="AI64" i="6"/>
  <c r="AJ64" i="6"/>
  <c r="AK64" i="6"/>
  <c r="AA65" i="6"/>
  <c r="AB65" i="6"/>
  <c r="AC65" i="6"/>
  <c r="AD65" i="6"/>
  <c r="AE65" i="6"/>
  <c r="AF65" i="6"/>
  <c r="AG65" i="6"/>
  <c r="AH65" i="6"/>
  <c r="AI65" i="6"/>
  <c r="AJ65" i="6"/>
  <c r="AK65" i="6"/>
  <c r="AA66" i="6"/>
  <c r="AB66" i="6"/>
  <c r="AC66" i="6"/>
  <c r="AD66" i="6"/>
  <c r="AE66" i="6"/>
  <c r="AF66" i="6"/>
  <c r="AG66" i="6"/>
  <c r="AH66" i="6"/>
  <c r="AI66" i="6"/>
  <c r="AJ66" i="6"/>
  <c r="AK66" i="6"/>
  <c r="AA67" i="6"/>
  <c r="AB67" i="6"/>
  <c r="AC67" i="6"/>
  <c r="AD67" i="6"/>
  <c r="AE67" i="6"/>
  <c r="AF67" i="6"/>
  <c r="AG67" i="6"/>
  <c r="AH67" i="6"/>
  <c r="AI67" i="6"/>
  <c r="AJ67" i="6"/>
  <c r="AK67" i="6"/>
  <c r="AA68" i="6"/>
  <c r="AB68" i="6"/>
  <c r="AC68" i="6"/>
  <c r="AD68" i="6"/>
  <c r="AE68" i="6"/>
  <c r="AF68" i="6"/>
  <c r="AG68" i="6"/>
  <c r="AH68" i="6"/>
  <c r="AI68" i="6"/>
  <c r="AJ68" i="6"/>
  <c r="AK68" i="6"/>
  <c r="AA69" i="6"/>
  <c r="AB69" i="6"/>
  <c r="AC69" i="6"/>
  <c r="AD69" i="6"/>
  <c r="AE69" i="6"/>
  <c r="AF69" i="6"/>
  <c r="AG69" i="6"/>
  <c r="AH69" i="6"/>
  <c r="AI69" i="6"/>
  <c r="AJ69" i="6"/>
  <c r="AK69" i="6"/>
  <c r="AA70" i="6"/>
  <c r="AB70" i="6"/>
  <c r="AC70" i="6"/>
  <c r="AD70" i="6"/>
  <c r="AE70" i="6"/>
  <c r="AF70" i="6"/>
  <c r="AG70" i="6"/>
  <c r="AH70" i="6"/>
  <c r="AI70" i="6"/>
  <c r="AJ70" i="6"/>
  <c r="AK70" i="6"/>
  <c r="AA71" i="6"/>
  <c r="AB71" i="6"/>
  <c r="AC71" i="6"/>
  <c r="AD71" i="6"/>
  <c r="AE71" i="6"/>
  <c r="AF71" i="6"/>
  <c r="AG71" i="6"/>
  <c r="AH71" i="6"/>
  <c r="AI71" i="6"/>
  <c r="AJ71" i="6"/>
  <c r="AK71" i="6"/>
  <c r="AA72" i="6"/>
  <c r="AB72" i="6"/>
  <c r="AC72" i="6"/>
  <c r="AD72" i="6"/>
  <c r="AE72" i="6"/>
  <c r="AF72" i="6"/>
  <c r="AG72" i="6"/>
  <c r="AH72" i="6"/>
  <c r="AI72" i="6"/>
  <c r="AJ72" i="6"/>
  <c r="AK72" i="6"/>
  <c r="AA73" i="6"/>
  <c r="AB73" i="6"/>
  <c r="AC73" i="6"/>
  <c r="AD73" i="6"/>
  <c r="AE73" i="6"/>
  <c r="AF73" i="6"/>
  <c r="AG73" i="6"/>
  <c r="AH73" i="6"/>
  <c r="AI73" i="6"/>
  <c r="AJ73" i="6"/>
  <c r="AK73" i="6"/>
  <c r="AA74" i="6"/>
  <c r="AB74" i="6"/>
  <c r="AC74" i="6"/>
  <c r="AD74" i="6"/>
  <c r="AE74" i="6"/>
  <c r="AF74" i="6"/>
  <c r="AG74" i="6"/>
  <c r="AH74" i="6"/>
  <c r="AI74" i="6"/>
  <c r="AJ74" i="6"/>
  <c r="AK74" i="6"/>
  <c r="AA75" i="6"/>
  <c r="AB75" i="6"/>
  <c r="AC75" i="6"/>
  <c r="AD75" i="6"/>
  <c r="AE75" i="6"/>
  <c r="AF75" i="6"/>
  <c r="AG75" i="6"/>
  <c r="AH75" i="6"/>
  <c r="AI75" i="6"/>
  <c r="AJ75" i="6"/>
  <c r="AK75" i="6"/>
  <c r="AA76" i="6"/>
  <c r="AB76" i="6"/>
  <c r="AC76" i="6"/>
  <c r="AD76" i="6"/>
  <c r="AE76" i="6"/>
  <c r="AF76" i="6"/>
  <c r="AG76" i="6"/>
  <c r="AH76" i="6"/>
  <c r="AI76" i="6"/>
  <c r="AJ76" i="6"/>
  <c r="AK76" i="6"/>
  <c r="AA77" i="6"/>
  <c r="AB77" i="6"/>
  <c r="AC77" i="6"/>
  <c r="AD77" i="6"/>
  <c r="AE77" i="6"/>
  <c r="AF77" i="6"/>
  <c r="AG77" i="6"/>
  <c r="AH77" i="6"/>
  <c r="AI77" i="6"/>
  <c r="AJ77" i="6"/>
  <c r="AK77" i="6"/>
  <c r="AA78" i="6"/>
  <c r="AB78" i="6"/>
  <c r="AC78" i="6"/>
  <c r="AD78" i="6"/>
  <c r="AE78" i="6"/>
  <c r="AF78" i="6"/>
  <c r="AG78" i="6"/>
  <c r="AH78" i="6"/>
  <c r="AI78" i="6"/>
  <c r="AJ78" i="6"/>
  <c r="AK78" i="6"/>
  <c r="AA79" i="6"/>
  <c r="AB79" i="6"/>
  <c r="AC79" i="6"/>
  <c r="AD79" i="6"/>
  <c r="AE79" i="6"/>
  <c r="AF79" i="6"/>
  <c r="AG79" i="6"/>
  <c r="AH79" i="6"/>
  <c r="AI79" i="6"/>
  <c r="AJ79" i="6"/>
  <c r="AK79" i="6"/>
  <c r="AA80" i="6"/>
  <c r="AB80" i="6"/>
  <c r="AC80" i="6"/>
  <c r="AD80" i="6"/>
  <c r="AE80" i="6"/>
  <c r="AF80" i="6"/>
  <c r="AG80" i="6"/>
  <c r="AH80" i="6"/>
  <c r="AI80" i="6"/>
  <c r="AJ80" i="6"/>
  <c r="AK80" i="6"/>
  <c r="AA81" i="6"/>
  <c r="AB81" i="6"/>
  <c r="AC81" i="6"/>
  <c r="AD81" i="6"/>
  <c r="AE81" i="6"/>
  <c r="AF81" i="6"/>
  <c r="AG81" i="6"/>
  <c r="AH81" i="6"/>
  <c r="AI81" i="6"/>
  <c r="AJ81" i="6"/>
  <c r="AK81" i="6"/>
  <c r="AA82" i="6"/>
  <c r="AB82" i="6"/>
  <c r="AC82" i="6"/>
  <c r="AD82" i="6"/>
  <c r="AE82" i="6"/>
  <c r="AF82" i="6"/>
  <c r="AG82" i="6"/>
  <c r="AH82" i="6"/>
  <c r="AI82" i="6"/>
  <c r="AJ82" i="6"/>
  <c r="AK82" i="6"/>
  <c r="AA83" i="6"/>
  <c r="AB83" i="6"/>
  <c r="AC83" i="6"/>
  <c r="AD83" i="6"/>
  <c r="AE83" i="6"/>
  <c r="AF83" i="6"/>
  <c r="AG83" i="6"/>
  <c r="AH83" i="6"/>
  <c r="AI83" i="6"/>
  <c r="AJ83" i="6"/>
  <c r="AK83" i="6"/>
  <c r="AA84" i="6"/>
  <c r="AB84" i="6"/>
  <c r="AC84" i="6"/>
  <c r="AD84" i="6"/>
  <c r="AE84" i="6"/>
  <c r="AF84" i="6"/>
  <c r="AG84" i="6"/>
  <c r="AH84" i="6"/>
  <c r="AI84" i="6"/>
  <c r="AJ84" i="6"/>
  <c r="AK84" i="6"/>
  <c r="AA85" i="6"/>
  <c r="AB85" i="6"/>
  <c r="AC85" i="6"/>
  <c r="AD85" i="6"/>
  <c r="AE85" i="6"/>
  <c r="AF85" i="6"/>
  <c r="AG85" i="6"/>
  <c r="AH85" i="6"/>
  <c r="AI85" i="6"/>
  <c r="AJ85" i="6"/>
  <c r="AK85" i="6"/>
  <c r="AA86" i="6"/>
  <c r="AB86" i="6"/>
  <c r="AC86" i="6"/>
  <c r="AD86" i="6"/>
  <c r="AE86" i="6"/>
  <c r="AF86" i="6"/>
  <c r="AG86" i="6"/>
  <c r="AH86" i="6"/>
  <c r="AI86" i="6"/>
  <c r="AJ86" i="6"/>
  <c r="AK86" i="6"/>
  <c r="AA87" i="6"/>
  <c r="AB87" i="6"/>
  <c r="AC87" i="6"/>
  <c r="AD87" i="6"/>
  <c r="AE87" i="6"/>
  <c r="AF87" i="6"/>
  <c r="AG87" i="6"/>
  <c r="AH87" i="6"/>
  <c r="AI87" i="6"/>
  <c r="AJ87" i="6"/>
  <c r="AK87" i="6"/>
  <c r="AA88" i="6"/>
  <c r="AB88" i="6"/>
  <c r="AC88" i="6"/>
  <c r="AD88" i="6"/>
  <c r="AE88" i="6"/>
  <c r="AF88" i="6"/>
  <c r="AG88" i="6"/>
  <c r="AH88" i="6"/>
  <c r="AI88" i="6"/>
  <c r="AJ88" i="6"/>
  <c r="AK88" i="6"/>
  <c r="AA89" i="6"/>
  <c r="AB89" i="6"/>
  <c r="AC89" i="6"/>
  <c r="AD89" i="6"/>
  <c r="AE89" i="6"/>
  <c r="AF89" i="6"/>
  <c r="AG89" i="6"/>
  <c r="AH89" i="6"/>
  <c r="AI89" i="6"/>
  <c r="AJ89" i="6"/>
  <c r="AK89" i="6"/>
  <c r="AA90" i="6"/>
  <c r="AB90" i="6"/>
  <c r="AC90" i="6"/>
  <c r="AD90" i="6"/>
  <c r="AE90" i="6"/>
  <c r="AF90" i="6"/>
  <c r="AG90" i="6"/>
  <c r="AH90" i="6"/>
  <c r="AI90" i="6"/>
  <c r="AJ90" i="6"/>
  <c r="AK90" i="6"/>
  <c r="AA91" i="6"/>
  <c r="AB91" i="6"/>
  <c r="AC91" i="6"/>
  <c r="AD91" i="6"/>
  <c r="AE91" i="6"/>
  <c r="AF91" i="6"/>
  <c r="AG91" i="6"/>
  <c r="AH91" i="6"/>
  <c r="AI91" i="6"/>
  <c r="AJ91" i="6"/>
  <c r="AK91" i="6"/>
  <c r="AA92" i="6"/>
  <c r="AB92" i="6"/>
  <c r="AC92" i="6"/>
  <c r="AD92" i="6"/>
  <c r="AE92" i="6"/>
  <c r="AF92" i="6"/>
  <c r="AG92" i="6"/>
  <c r="AH92" i="6"/>
  <c r="AI92" i="6"/>
  <c r="AJ92" i="6"/>
  <c r="AK92" i="6"/>
  <c r="AA93" i="6"/>
  <c r="AB93" i="6"/>
  <c r="AC93" i="6"/>
  <c r="AD93" i="6"/>
  <c r="AE93" i="6"/>
  <c r="AF93" i="6"/>
  <c r="AG93" i="6"/>
  <c r="AH93" i="6"/>
  <c r="AI93" i="6"/>
  <c r="AJ93" i="6"/>
  <c r="AK93" i="6"/>
  <c r="AA94" i="6"/>
  <c r="AB94" i="6"/>
  <c r="AC94" i="6"/>
  <c r="AD94" i="6"/>
  <c r="AE94" i="6"/>
  <c r="AF94" i="6"/>
  <c r="AG94" i="6"/>
  <c r="AH94" i="6"/>
  <c r="AI94" i="6"/>
  <c r="AJ94" i="6"/>
  <c r="AK94" i="6"/>
  <c r="AA95" i="6"/>
  <c r="AB95" i="6"/>
  <c r="AC95" i="6"/>
  <c r="AD95" i="6"/>
  <c r="AE95" i="6"/>
  <c r="AF95" i="6"/>
  <c r="AG95" i="6"/>
  <c r="AH95" i="6"/>
  <c r="AI95" i="6"/>
  <c r="AJ95" i="6"/>
  <c r="AK95" i="6"/>
  <c r="AA96" i="6"/>
  <c r="AB96" i="6"/>
  <c r="AC96" i="6"/>
  <c r="AD96" i="6"/>
  <c r="AE96" i="6"/>
  <c r="AF96" i="6"/>
  <c r="AG96" i="6"/>
  <c r="AH96" i="6"/>
  <c r="AI96" i="6"/>
  <c r="AJ96" i="6"/>
  <c r="AK96" i="6"/>
  <c r="AA97" i="6"/>
  <c r="AB97" i="6"/>
  <c r="AC97" i="6"/>
  <c r="AD97" i="6"/>
  <c r="AE97" i="6"/>
  <c r="AF97" i="6"/>
  <c r="AG97" i="6"/>
  <c r="AH97" i="6"/>
  <c r="AI97" i="6"/>
  <c r="AJ97" i="6"/>
  <c r="AK97" i="6"/>
  <c r="AA98" i="6"/>
  <c r="AB98" i="6"/>
  <c r="AC98" i="6"/>
  <c r="AD98" i="6"/>
  <c r="AE98" i="6"/>
  <c r="AF98" i="6"/>
  <c r="AG98" i="6"/>
  <c r="AH98" i="6"/>
  <c r="AI98" i="6"/>
  <c r="AJ98" i="6"/>
  <c r="AK98" i="6"/>
  <c r="AA99" i="6"/>
  <c r="AB99" i="6"/>
  <c r="AC99" i="6"/>
  <c r="AD99" i="6"/>
  <c r="AE99" i="6"/>
  <c r="AF99" i="6"/>
  <c r="AG99" i="6"/>
  <c r="AH99" i="6"/>
  <c r="AI99" i="6"/>
  <c r="AJ99" i="6"/>
  <c r="AK99" i="6"/>
  <c r="AA100" i="6"/>
  <c r="AB100" i="6"/>
  <c r="AC100" i="6"/>
  <c r="AD100" i="6"/>
  <c r="AE100" i="6"/>
  <c r="AF100" i="6"/>
  <c r="AG100" i="6"/>
  <c r="AH100" i="6"/>
  <c r="AI100" i="6"/>
  <c r="AJ100" i="6"/>
  <c r="AK100" i="6"/>
  <c r="AA101" i="6"/>
  <c r="AB101" i="6"/>
  <c r="AC101" i="6"/>
  <c r="AD101" i="6"/>
  <c r="AE101" i="6"/>
  <c r="AF101" i="6"/>
  <c r="AG101" i="6"/>
  <c r="AH101" i="6"/>
  <c r="AI101" i="6"/>
  <c r="AJ101" i="6"/>
  <c r="AK101" i="6"/>
  <c r="AA102" i="6"/>
  <c r="AB102" i="6"/>
  <c r="AC102" i="6"/>
  <c r="AD102" i="6"/>
  <c r="AE102" i="6"/>
  <c r="AF102" i="6"/>
  <c r="AG102" i="6"/>
  <c r="AH102" i="6"/>
  <c r="AI102" i="6"/>
  <c r="AJ102" i="6"/>
  <c r="AK102" i="6"/>
  <c r="AA103" i="6"/>
  <c r="AB103" i="6"/>
  <c r="AC103" i="6"/>
  <c r="AD103" i="6"/>
  <c r="AE103" i="6"/>
  <c r="AF103" i="6"/>
  <c r="AG103" i="6"/>
  <c r="AH103" i="6"/>
  <c r="AI103" i="6"/>
  <c r="AJ103" i="6"/>
  <c r="AK103" i="6"/>
  <c r="AA104" i="6"/>
  <c r="AB104" i="6"/>
  <c r="AC104" i="6"/>
  <c r="AD104" i="6"/>
  <c r="AE104" i="6"/>
  <c r="AF104" i="6"/>
  <c r="AG104" i="6"/>
  <c r="AH104" i="6"/>
  <c r="AI104" i="6"/>
  <c r="AJ104" i="6"/>
  <c r="AK104" i="6"/>
  <c r="AA105" i="6"/>
  <c r="AB105" i="6"/>
  <c r="AC105" i="6"/>
  <c r="AD105" i="6"/>
  <c r="AE105" i="6"/>
  <c r="AF105" i="6"/>
  <c r="AG105" i="6"/>
  <c r="AH105" i="6"/>
  <c r="AI105" i="6"/>
  <c r="AJ105" i="6"/>
  <c r="AK105" i="6"/>
  <c r="AA106" i="6"/>
  <c r="AB106" i="6"/>
  <c r="AC106" i="6"/>
  <c r="AD106" i="6"/>
  <c r="AE106" i="6"/>
  <c r="AF106" i="6"/>
  <c r="AG106" i="6"/>
  <c r="AH106" i="6"/>
  <c r="AI106" i="6"/>
  <c r="AJ106" i="6"/>
  <c r="AK106" i="6"/>
  <c r="AA107" i="6"/>
  <c r="AB107" i="6"/>
  <c r="AC107" i="6"/>
  <c r="AD107" i="6"/>
  <c r="AE107" i="6"/>
  <c r="AF107" i="6"/>
  <c r="AG107" i="6"/>
  <c r="AH107" i="6"/>
  <c r="AI107" i="6"/>
  <c r="AJ107" i="6"/>
  <c r="AK107" i="6"/>
  <c r="AA108" i="6"/>
  <c r="AB108" i="6"/>
  <c r="AC108" i="6"/>
  <c r="AD108" i="6"/>
  <c r="AE108" i="6"/>
  <c r="AF108" i="6"/>
  <c r="AG108" i="6"/>
  <c r="AH108" i="6"/>
  <c r="AI108" i="6"/>
  <c r="AJ108" i="6"/>
  <c r="AK108" i="6"/>
  <c r="AA109" i="6"/>
  <c r="AB109" i="6"/>
  <c r="AC109" i="6"/>
  <c r="AD109" i="6"/>
  <c r="AE109" i="6"/>
  <c r="AF109" i="6"/>
  <c r="AG109" i="6"/>
  <c r="AH109" i="6"/>
  <c r="AI109" i="6"/>
  <c r="AJ109" i="6"/>
  <c r="AK109" i="6"/>
  <c r="AA110" i="6"/>
  <c r="AB110" i="6"/>
  <c r="AC110" i="6"/>
  <c r="AD110" i="6"/>
  <c r="AE110" i="6"/>
  <c r="AF110" i="6"/>
  <c r="AG110" i="6"/>
  <c r="AH110" i="6"/>
  <c r="AI110" i="6"/>
  <c r="AJ110" i="6"/>
  <c r="AK110" i="6"/>
  <c r="AA111" i="6"/>
  <c r="AB111" i="6"/>
  <c r="AC111" i="6"/>
  <c r="AD111" i="6"/>
  <c r="AE111" i="6"/>
  <c r="AF111" i="6"/>
  <c r="AG111" i="6"/>
  <c r="AH111" i="6"/>
  <c r="AI111" i="6"/>
  <c r="AJ111" i="6"/>
  <c r="AK111" i="6"/>
  <c r="AA112" i="6"/>
  <c r="AB112" i="6"/>
  <c r="AC112" i="6"/>
  <c r="AD112" i="6"/>
  <c r="AE112" i="6"/>
  <c r="AF112" i="6"/>
  <c r="AG112" i="6"/>
  <c r="AH112" i="6"/>
  <c r="AI112" i="6"/>
  <c r="AJ112" i="6"/>
  <c r="AK112" i="6"/>
  <c r="AA113" i="6"/>
  <c r="AB113" i="6"/>
  <c r="AC113" i="6"/>
  <c r="AD113" i="6"/>
  <c r="AE113" i="6"/>
  <c r="AF113" i="6"/>
  <c r="AG113" i="6"/>
  <c r="AH113" i="6"/>
  <c r="AI113" i="6"/>
  <c r="AJ113" i="6"/>
  <c r="AK113" i="6"/>
  <c r="AA114" i="6"/>
  <c r="AB114" i="6"/>
  <c r="AC114" i="6"/>
  <c r="AD114" i="6"/>
  <c r="AE114" i="6"/>
  <c r="AF114" i="6"/>
  <c r="AG114" i="6"/>
  <c r="AH114" i="6"/>
  <c r="AI114" i="6"/>
  <c r="AJ114" i="6"/>
  <c r="AK114" i="6"/>
  <c r="AA115" i="6"/>
  <c r="AB115" i="6"/>
  <c r="AC115" i="6"/>
  <c r="AD115" i="6"/>
  <c r="AE115" i="6"/>
  <c r="AF115" i="6"/>
  <c r="AG115" i="6"/>
  <c r="AH115" i="6"/>
  <c r="AI115" i="6"/>
  <c r="AJ115" i="6"/>
  <c r="AK115" i="6"/>
  <c r="AA116" i="6"/>
  <c r="AB116" i="6"/>
  <c r="AC116" i="6"/>
  <c r="AD116" i="6"/>
  <c r="AE116" i="6"/>
  <c r="AF116" i="6"/>
  <c r="AG116" i="6"/>
  <c r="AH116" i="6"/>
  <c r="AI116" i="6"/>
  <c r="AJ116" i="6"/>
  <c r="AK116" i="6"/>
  <c r="AA117" i="6"/>
  <c r="AB117" i="6"/>
  <c r="AC117" i="6"/>
  <c r="AD117" i="6"/>
  <c r="AE117" i="6"/>
  <c r="AF117" i="6"/>
  <c r="AG117" i="6"/>
  <c r="AH117" i="6"/>
  <c r="AI117" i="6"/>
  <c r="AJ117" i="6"/>
  <c r="AK117" i="6"/>
  <c r="AA118" i="6"/>
  <c r="AB118" i="6"/>
  <c r="AC118" i="6"/>
  <c r="AD118" i="6"/>
  <c r="AE118" i="6"/>
  <c r="AF118" i="6"/>
  <c r="AG118" i="6"/>
  <c r="AH118" i="6"/>
  <c r="AI118" i="6"/>
  <c r="AJ118" i="6"/>
  <c r="AK118" i="6"/>
  <c r="AA119" i="6"/>
  <c r="AB119" i="6"/>
  <c r="AC119" i="6"/>
  <c r="AD119" i="6"/>
  <c r="AE119" i="6"/>
  <c r="AF119" i="6"/>
  <c r="AG119" i="6"/>
  <c r="AH119" i="6"/>
  <c r="AI119" i="6"/>
  <c r="AJ119" i="6"/>
  <c r="AK119" i="6"/>
  <c r="AA120" i="6"/>
  <c r="AB120" i="6"/>
  <c r="AC120" i="6"/>
  <c r="AD120" i="6"/>
  <c r="AE120" i="6"/>
  <c r="AF120" i="6"/>
  <c r="AG120" i="6"/>
  <c r="AH120" i="6"/>
  <c r="AI120" i="6"/>
  <c r="AJ120" i="6"/>
  <c r="AK120" i="6"/>
  <c r="AA121" i="6"/>
  <c r="AB121" i="6"/>
  <c r="AC121" i="6"/>
  <c r="AD121" i="6"/>
  <c r="AE121" i="6"/>
  <c r="AF121" i="6"/>
  <c r="AG121" i="6"/>
  <c r="AH121" i="6"/>
  <c r="AI121" i="6"/>
  <c r="AJ121" i="6"/>
  <c r="AK121" i="6"/>
  <c r="AA122" i="6"/>
  <c r="AB122" i="6"/>
  <c r="AC122" i="6"/>
  <c r="AD122" i="6"/>
  <c r="AE122" i="6"/>
  <c r="AF122" i="6"/>
  <c r="AG122" i="6"/>
  <c r="AH122" i="6"/>
  <c r="AI122" i="6"/>
  <c r="AJ122" i="6"/>
  <c r="AK122" i="6"/>
  <c r="AA123" i="6"/>
  <c r="AB123" i="6"/>
  <c r="AC123" i="6"/>
  <c r="AD123" i="6"/>
  <c r="AE123" i="6"/>
  <c r="AF123" i="6"/>
  <c r="AG123" i="6"/>
  <c r="AH123" i="6"/>
  <c r="AI123" i="6"/>
  <c r="AJ123" i="6"/>
  <c r="AK123" i="6"/>
  <c r="AA124" i="6"/>
  <c r="AB124" i="6"/>
  <c r="AC124" i="6"/>
  <c r="AD124" i="6"/>
  <c r="AE124" i="6"/>
  <c r="AF124" i="6"/>
  <c r="AG124" i="6"/>
  <c r="AH124" i="6"/>
  <c r="AI124" i="6"/>
  <c r="AJ124" i="6"/>
  <c r="AK124" i="6"/>
  <c r="AA125" i="6"/>
  <c r="AB125" i="6"/>
  <c r="AC125" i="6"/>
  <c r="AD125" i="6"/>
  <c r="AE125" i="6"/>
  <c r="AF125" i="6"/>
  <c r="AG125" i="6"/>
  <c r="AH125" i="6"/>
  <c r="AI125" i="6"/>
  <c r="AJ125" i="6"/>
  <c r="AK125" i="6"/>
  <c r="AA126" i="6"/>
  <c r="AB126" i="6"/>
  <c r="AC126" i="6"/>
  <c r="AD126" i="6"/>
  <c r="AE126" i="6"/>
  <c r="AF126" i="6"/>
  <c r="AG126" i="6"/>
  <c r="AH126" i="6"/>
  <c r="AI126" i="6"/>
  <c r="AJ126" i="6"/>
  <c r="AK126" i="6"/>
  <c r="AA127" i="6"/>
  <c r="AB127" i="6"/>
  <c r="AC127" i="6"/>
  <c r="AD127" i="6"/>
  <c r="AE127" i="6"/>
  <c r="AF127" i="6"/>
  <c r="AG127" i="6"/>
  <c r="AH127" i="6"/>
  <c r="AI127" i="6"/>
  <c r="AJ127" i="6"/>
  <c r="AK127" i="6"/>
  <c r="AA128" i="6"/>
  <c r="AB128" i="6"/>
  <c r="AC128" i="6"/>
  <c r="AD128" i="6"/>
  <c r="AE128" i="6"/>
  <c r="AF128" i="6"/>
  <c r="AG128" i="6"/>
  <c r="AH128" i="6"/>
  <c r="AI128" i="6"/>
  <c r="AJ128" i="6"/>
  <c r="AK128" i="6"/>
  <c r="AA129" i="6"/>
  <c r="AB129" i="6"/>
  <c r="AC129" i="6"/>
  <c r="AD129" i="6"/>
  <c r="AE129" i="6"/>
  <c r="AF129" i="6"/>
  <c r="AG129" i="6"/>
  <c r="AH129" i="6"/>
  <c r="AI129" i="6"/>
  <c r="AJ129" i="6"/>
  <c r="AK129" i="6"/>
  <c r="AA130" i="6"/>
  <c r="AB130" i="6"/>
  <c r="AC130" i="6"/>
  <c r="AD130" i="6"/>
  <c r="AE130" i="6"/>
  <c r="AF130" i="6"/>
  <c r="AG130" i="6"/>
  <c r="AH130" i="6"/>
  <c r="AI130" i="6"/>
  <c r="AJ130" i="6"/>
  <c r="AK130" i="6"/>
  <c r="AA131" i="6"/>
  <c r="AB131" i="6"/>
  <c r="AC131" i="6"/>
  <c r="AD131" i="6"/>
  <c r="AE131" i="6"/>
  <c r="AF131" i="6"/>
  <c r="AG131" i="6"/>
  <c r="AH131" i="6"/>
  <c r="AI131" i="6"/>
  <c r="AJ131" i="6"/>
  <c r="AK131" i="6"/>
  <c r="AA132" i="6"/>
  <c r="AB132" i="6"/>
  <c r="AC132" i="6"/>
  <c r="AD132" i="6"/>
  <c r="AE132" i="6"/>
  <c r="AF132" i="6"/>
  <c r="AG132" i="6"/>
  <c r="AH132" i="6"/>
  <c r="AI132" i="6"/>
  <c r="AJ132" i="6"/>
  <c r="AK132" i="6"/>
  <c r="AA133" i="6"/>
  <c r="AB133" i="6"/>
  <c r="AC133" i="6"/>
  <c r="AD133" i="6"/>
  <c r="AE133" i="6"/>
  <c r="AF133" i="6"/>
  <c r="AG133" i="6"/>
  <c r="AH133" i="6"/>
  <c r="AI133" i="6"/>
  <c r="AJ133" i="6"/>
  <c r="AK133" i="6"/>
  <c r="AA134" i="6"/>
  <c r="AB134" i="6"/>
  <c r="AC134" i="6"/>
  <c r="AD134" i="6"/>
  <c r="AE134" i="6"/>
  <c r="AF134" i="6"/>
  <c r="AG134" i="6"/>
  <c r="AH134" i="6"/>
  <c r="AI134" i="6"/>
  <c r="AJ134" i="6"/>
  <c r="AK134" i="6"/>
  <c r="AA135" i="6"/>
  <c r="AB135" i="6"/>
  <c r="AC135" i="6"/>
  <c r="AD135" i="6"/>
  <c r="AE135" i="6"/>
  <c r="AF135" i="6"/>
  <c r="AG135" i="6"/>
  <c r="AH135" i="6"/>
  <c r="AI135" i="6"/>
  <c r="AJ135" i="6"/>
  <c r="AK135" i="6"/>
  <c r="AA136" i="6"/>
  <c r="AB136" i="6"/>
  <c r="AC136" i="6"/>
  <c r="AD136" i="6"/>
  <c r="AE136" i="6"/>
  <c r="AF136" i="6"/>
  <c r="AG136" i="6"/>
  <c r="AH136" i="6"/>
  <c r="AI136" i="6"/>
  <c r="AJ136" i="6"/>
  <c r="AK136" i="6"/>
  <c r="AA137" i="6"/>
  <c r="AB137" i="6"/>
  <c r="AC137" i="6"/>
  <c r="AD137" i="6"/>
  <c r="AE137" i="6"/>
  <c r="AF137" i="6"/>
  <c r="AG137" i="6"/>
  <c r="AH137" i="6"/>
  <c r="AI137" i="6"/>
  <c r="AJ137" i="6"/>
  <c r="AK137" i="6"/>
  <c r="AA138" i="6"/>
  <c r="AB138" i="6"/>
  <c r="AC138" i="6"/>
  <c r="AD138" i="6"/>
  <c r="AE138" i="6"/>
  <c r="AF138" i="6"/>
  <c r="AG138" i="6"/>
  <c r="AH138" i="6"/>
  <c r="AI138" i="6"/>
  <c r="AJ138" i="6"/>
  <c r="AK138" i="6"/>
  <c r="AA139" i="6"/>
  <c r="AB139" i="6"/>
  <c r="AC139" i="6"/>
  <c r="AD139" i="6"/>
  <c r="AE139" i="6"/>
  <c r="AF139" i="6"/>
  <c r="AG139" i="6"/>
  <c r="AH139" i="6"/>
  <c r="AI139" i="6"/>
  <c r="AJ139" i="6"/>
  <c r="AK139" i="6"/>
  <c r="AA140" i="6"/>
  <c r="AB140" i="6"/>
  <c r="AC140" i="6"/>
  <c r="AD140" i="6"/>
  <c r="AE140" i="6"/>
  <c r="AF140" i="6"/>
  <c r="AG140" i="6"/>
  <c r="AH140" i="6"/>
  <c r="AI140" i="6"/>
  <c r="AJ140" i="6"/>
  <c r="AK140" i="6"/>
  <c r="AA141" i="6"/>
  <c r="AB141" i="6"/>
  <c r="AC141" i="6"/>
  <c r="AD141" i="6"/>
  <c r="AE141" i="6"/>
  <c r="AF141" i="6"/>
  <c r="AG141" i="6"/>
  <c r="AH141" i="6"/>
  <c r="AI141" i="6"/>
  <c r="AJ141" i="6"/>
  <c r="AK141" i="6"/>
  <c r="AA142" i="6"/>
  <c r="AB142" i="6"/>
  <c r="AC142" i="6"/>
  <c r="AD142" i="6"/>
  <c r="AE142" i="6"/>
  <c r="AF142" i="6"/>
  <c r="AG142" i="6"/>
  <c r="AH142" i="6"/>
  <c r="AI142" i="6"/>
  <c r="AJ142" i="6"/>
  <c r="AK142" i="6"/>
  <c r="AA143" i="6"/>
  <c r="AB143" i="6"/>
  <c r="AC143" i="6"/>
  <c r="AD143" i="6"/>
  <c r="AE143" i="6"/>
  <c r="AF143" i="6"/>
  <c r="AG143" i="6"/>
  <c r="AH143" i="6"/>
  <c r="AI143" i="6"/>
  <c r="AJ143" i="6"/>
  <c r="AK143" i="6"/>
  <c r="AA144" i="6"/>
  <c r="AB144" i="6"/>
  <c r="AC144" i="6"/>
  <c r="AD144" i="6"/>
  <c r="AE144" i="6"/>
  <c r="AF144" i="6"/>
  <c r="AG144" i="6"/>
  <c r="AH144" i="6"/>
  <c r="AI144" i="6"/>
  <c r="AJ144" i="6"/>
  <c r="AK144" i="6"/>
  <c r="AA145" i="6"/>
  <c r="AB145" i="6"/>
  <c r="AC145" i="6"/>
  <c r="AD145" i="6"/>
  <c r="AE145" i="6"/>
  <c r="AF145" i="6"/>
  <c r="AG145" i="6"/>
  <c r="AH145" i="6"/>
  <c r="AI145" i="6"/>
  <c r="AJ145" i="6"/>
  <c r="AK145" i="6"/>
  <c r="AA146" i="6"/>
  <c r="AB146" i="6"/>
  <c r="AC146" i="6"/>
  <c r="AD146" i="6"/>
  <c r="AE146" i="6"/>
  <c r="AF146" i="6"/>
  <c r="AG146" i="6"/>
  <c r="AH146" i="6"/>
  <c r="AI146" i="6"/>
  <c r="AJ146" i="6"/>
  <c r="AK146" i="6"/>
  <c r="AA147" i="6"/>
  <c r="AB147" i="6"/>
  <c r="AC147" i="6"/>
  <c r="AD147" i="6"/>
  <c r="AE147" i="6"/>
  <c r="AF147" i="6"/>
  <c r="AG147" i="6"/>
  <c r="AH147" i="6"/>
  <c r="AI147" i="6"/>
  <c r="AJ147" i="6"/>
  <c r="AK147" i="6"/>
  <c r="AA148" i="6"/>
  <c r="AB148" i="6"/>
  <c r="AC148" i="6"/>
  <c r="AD148" i="6"/>
  <c r="AE148" i="6"/>
  <c r="AF148" i="6"/>
  <c r="AG148" i="6"/>
  <c r="AH148" i="6"/>
  <c r="AI148" i="6"/>
  <c r="AJ148" i="6"/>
  <c r="AK148" i="6"/>
  <c r="AA149" i="6"/>
  <c r="AB149" i="6"/>
  <c r="AC149" i="6"/>
  <c r="AD149" i="6"/>
  <c r="AE149" i="6"/>
  <c r="AF149" i="6"/>
  <c r="AG149" i="6"/>
  <c r="AH149" i="6"/>
  <c r="AI149" i="6"/>
  <c r="AJ149" i="6"/>
  <c r="AK149" i="6"/>
  <c r="AA150" i="6"/>
  <c r="AB150" i="6"/>
  <c r="AC150" i="6"/>
  <c r="AD150" i="6"/>
  <c r="AE150" i="6"/>
  <c r="AF150" i="6"/>
  <c r="AG150" i="6"/>
  <c r="AH150" i="6"/>
  <c r="AI150" i="6"/>
  <c r="AJ150" i="6"/>
  <c r="AK150" i="6"/>
  <c r="AA151" i="6"/>
  <c r="AB151" i="6"/>
  <c r="AC151" i="6"/>
  <c r="AD151" i="6"/>
  <c r="AE151" i="6"/>
  <c r="AF151" i="6"/>
  <c r="AG151" i="6"/>
  <c r="AH151" i="6"/>
  <c r="AI151" i="6"/>
  <c r="AJ151" i="6"/>
  <c r="AK151" i="6"/>
  <c r="AA152" i="6"/>
  <c r="AB152" i="6"/>
  <c r="AC152" i="6"/>
  <c r="AD152" i="6"/>
  <c r="AE152" i="6"/>
  <c r="AF152" i="6"/>
  <c r="AG152" i="6"/>
  <c r="AH152" i="6"/>
  <c r="AI152" i="6"/>
  <c r="AJ152" i="6"/>
  <c r="AK152" i="6"/>
  <c r="AA153" i="6"/>
  <c r="AB153" i="6"/>
  <c r="AC153" i="6"/>
  <c r="AD153" i="6"/>
  <c r="AE153" i="6"/>
  <c r="AF153" i="6"/>
  <c r="AG153" i="6"/>
  <c r="AH153" i="6"/>
  <c r="AI153" i="6"/>
  <c r="AJ153" i="6"/>
  <c r="AK153" i="6"/>
  <c r="AA154" i="6"/>
  <c r="AB154" i="6"/>
  <c r="AC154" i="6"/>
  <c r="AD154" i="6"/>
  <c r="AE154" i="6"/>
  <c r="AF154" i="6"/>
  <c r="AG154" i="6"/>
  <c r="AH154" i="6"/>
  <c r="AI154" i="6"/>
  <c r="AJ154" i="6"/>
  <c r="AK154" i="6"/>
  <c r="AA155" i="6"/>
  <c r="AB155" i="6"/>
  <c r="AC155" i="6"/>
  <c r="AD155" i="6"/>
  <c r="AE155" i="6"/>
  <c r="AF155" i="6"/>
  <c r="AG155" i="6"/>
  <c r="AH155" i="6"/>
  <c r="AI155" i="6"/>
  <c r="AJ155" i="6"/>
  <c r="AK155" i="6"/>
  <c r="AA156" i="6"/>
  <c r="AB156" i="6"/>
  <c r="AC156" i="6"/>
  <c r="AD156" i="6"/>
  <c r="AE156" i="6"/>
  <c r="AF156" i="6"/>
  <c r="AG156" i="6"/>
  <c r="AH156" i="6"/>
  <c r="AI156" i="6"/>
  <c r="AJ156" i="6"/>
  <c r="AK156" i="6"/>
  <c r="AA157" i="6"/>
  <c r="AB157" i="6"/>
  <c r="AC157" i="6"/>
  <c r="AD157" i="6"/>
  <c r="AE157" i="6"/>
  <c r="AF157" i="6"/>
  <c r="AG157" i="6"/>
  <c r="AH157" i="6"/>
  <c r="AI157" i="6"/>
  <c r="AJ157" i="6"/>
  <c r="AK157" i="6"/>
  <c r="AA158" i="6"/>
  <c r="AB158" i="6"/>
  <c r="AC158" i="6"/>
  <c r="AD158" i="6"/>
  <c r="AE158" i="6"/>
  <c r="AF158" i="6"/>
  <c r="AG158" i="6"/>
  <c r="AH158" i="6"/>
  <c r="AI158" i="6"/>
  <c r="AJ158" i="6"/>
  <c r="AK158" i="6"/>
  <c r="AA159" i="6"/>
  <c r="AB159" i="6"/>
  <c r="AC159" i="6"/>
  <c r="AD159" i="6"/>
  <c r="AE159" i="6"/>
  <c r="AF159" i="6"/>
  <c r="AG159" i="6"/>
  <c r="AH159" i="6"/>
  <c r="AI159" i="6"/>
  <c r="AJ159" i="6"/>
  <c r="AK159" i="6"/>
  <c r="AA160" i="6"/>
  <c r="AB160" i="6"/>
  <c r="AC160" i="6"/>
  <c r="AD160" i="6"/>
  <c r="AE160" i="6"/>
  <c r="AF160" i="6"/>
  <c r="AG160" i="6"/>
  <c r="AH160" i="6"/>
  <c r="AI160" i="6"/>
  <c r="AJ160" i="6"/>
  <c r="AK160" i="6"/>
  <c r="AA161" i="6"/>
  <c r="AB161" i="6"/>
  <c r="AC161" i="6"/>
  <c r="AD161" i="6"/>
  <c r="AE161" i="6"/>
  <c r="AF161" i="6"/>
  <c r="AG161" i="6"/>
  <c r="AH161" i="6"/>
  <c r="AI161" i="6"/>
  <c r="AJ161" i="6"/>
  <c r="AK161" i="6"/>
  <c r="AA162" i="6"/>
  <c r="AB162" i="6"/>
  <c r="AC162" i="6"/>
  <c r="AD162" i="6"/>
  <c r="AE162" i="6"/>
  <c r="AF162" i="6"/>
  <c r="AG162" i="6"/>
  <c r="AH162" i="6"/>
  <c r="AI162" i="6"/>
  <c r="AJ162" i="6"/>
  <c r="AK162" i="6"/>
  <c r="AA163" i="6"/>
  <c r="AB163" i="6"/>
  <c r="AC163" i="6"/>
  <c r="AD163" i="6"/>
  <c r="AE163" i="6"/>
  <c r="AF163" i="6"/>
  <c r="AG163" i="6"/>
  <c r="AH163" i="6"/>
  <c r="AI163" i="6"/>
  <c r="AJ163" i="6"/>
  <c r="AK163" i="6"/>
  <c r="AA164" i="6"/>
  <c r="AB164" i="6"/>
  <c r="AC164" i="6"/>
  <c r="AD164" i="6"/>
  <c r="AE164" i="6"/>
  <c r="AF164" i="6"/>
  <c r="AG164" i="6"/>
  <c r="AH164" i="6"/>
  <c r="AI164" i="6"/>
  <c r="AJ164" i="6"/>
  <c r="AK164" i="6"/>
  <c r="AA165" i="6"/>
  <c r="AB165" i="6"/>
  <c r="AC165" i="6"/>
  <c r="AD165" i="6"/>
  <c r="AE165" i="6"/>
  <c r="AF165" i="6"/>
  <c r="AG165" i="6"/>
  <c r="AH165" i="6"/>
  <c r="AI165" i="6"/>
  <c r="AJ165" i="6"/>
  <c r="AK165" i="6"/>
  <c r="AA166" i="6"/>
  <c r="AB166" i="6"/>
  <c r="AC166" i="6"/>
  <c r="AD166" i="6"/>
  <c r="AE166" i="6"/>
  <c r="AF166" i="6"/>
  <c r="AG166" i="6"/>
  <c r="AH166" i="6"/>
  <c r="AI166" i="6"/>
  <c r="AJ166" i="6"/>
  <c r="AK166" i="6"/>
  <c r="AA167" i="6"/>
  <c r="AB167" i="6"/>
  <c r="AC167" i="6"/>
  <c r="AD167" i="6"/>
  <c r="AE167" i="6"/>
  <c r="AF167" i="6"/>
  <c r="AG167" i="6"/>
  <c r="AH167" i="6"/>
  <c r="AI167" i="6"/>
  <c r="AJ167" i="6"/>
  <c r="AK167" i="6"/>
  <c r="AA168" i="6"/>
  <c r="AB168" i="6"/>
  <c r="AC168" i="6"/>
  <c r="AD168" i="6"/>
  <c r="AE168" i="6"/>
  <c r="AF168" i="6"/>
  <c r="AG168" i="6"/>
  <c r="AH168" i="6"/>
  <c r="AI168" i="6"/>
  <c r="AJ168" i="6"/>
  <c r="AK168" i="6"/>
  <c r="AA169" i="6"/>
  <c r="AB169" i="6"/>
  <c r="AC169" i="6"/>
  <c r="AD169" i="6"/>
  <c r="AE169" i="6"/>
  <c r="AF169" i="6"/>
  <c r="AG169" i="6"/>
  <c r="AH169" i="6"/>
  <c r="AI169" i="6"/>
  <c r="AJ169" i="6"/>
  <c r="AK169" i="6"/>
  <c r="AA170" i="6"/>
  <c r="AB170" i="6"/>
  <c r="AC170" i="6"/>
  <c r="AD170" i="6"/>
  <c r="AE170" i="6"/>
  <c r="AF170" i="6"/>
  <c r="AG170" i="6"/>
  <c r="AH170" i="6"/>
  <c r="AI170" i="6"/>
  <c r="AJ170" i="6"/>
  <c r="AK170" i="6"/>
  <c r="AA171" i="6"/>
  <c r="AB171" i="6"/>
  <c r="AC171" i="6"/>
  <c r="AD171" i="6"/>
  <c r="AE171" i="6"/>
  <c r="AF171" i="6"/>
  <c r="AG171" i="6"/>
  <c r="AH171" i="6"/>
  <c r="AI171" i="6"/>
  <c r="AJ171" i="6"/>
  <c r="AK171" i="6"/>
  <c r="AA172" i="6"/>
  <c r="AB172" i="6"/>
  <c r="AC172" i="6"/>
  <c r="AD172" i="6"/>
  <c r="AE172" i="6"/>
  <c r="AF172" i="6"/>
  <c r="AG172" i="6"/>
  <c r="AH172" i="6"/>
  <c r="AI172" i="6"/>
  <c r="AJ172" i="6"/>
  <c r="AK172" i="6"/>
  <c r="AA173" i="6"/>
  <c r="AB173" i="6"/>
  <c r="AC173" i="6"/>
  <c r="AD173" i="6"/>
  <c r="AE173" i="6"/>
  <c r="AF173" i="6"/>
  <c r="AG173" i="6"/>
  <c r="AH173" i="6"/>
  <c r="AI173" i="6"/>
  <c r="AJ173" i="6"/>
  <c r="AK173" i="6"/>
  <c r="AA174" i="6"/>
  <c r="AB174" i="6"/>
  <c r="AC174" i="6"/>
  <c r="AD174" i="6"/>
  <c r="AE174" i="6"/>
  <c r="AF174" i="6"/>
  <c r="AG174" i="6"/>
  <c r="AH174" i="6"/>
  <c r="AI174" i="6"/>
  <c r="AJ174" i="6"/>
  <c r="AK174" i="6"/>
  <c r="AA175" i="6"/>
  <c r="AB175" i="6"/>
  <c r="AC175" i="6"/>
  <c r="AD175" i="6"/>
  <c r="AE175" i="6"/>
  <c r="AF175" i="6"/>
  <c r="AG175" i="6"/>
  <c r="AH175" i="6"/>
  <c r="AI175" i="6"/>
  <c r="AJ175" i="6"/>
  <c r="AK175" i="6"/>
  <c r="AA176" i="6"/>
  <c r="AB176" i="6"/>
  <c r="AC176" i="6"/>
  <c r="AD176" i="6"/>
  <c r="AE176" i="6"/>
  <c r="AF176" i="6"/>
  <c r="AG176" i="6"/>
  <c r="AH176" i="6"/>
  <c r="AI176" i="6"/>
  <c r="AJ176" i="6"/>
  <c r="AK176" i="6"/>
  <c r="AA177" i="6"/>
  <c r="AB177" i="6"/>
  <c r="AC177" i="6"/>
  <c r="AD177" i="6"/>
  <c r="AE177" i="6"/>
  <c r="AF177" i="6"/>
  <c r="AG177" i="6"/>
  <c r="AH177" i="6"/>
  <c r="AI177" i="6"/>
  <c r="AJ177" i="6"/>
  <c r="AK177" i="6"/>
  <c r="AA178" i="6"/>
  <c r="AB178" i="6"/>
  <c r="AC178" i="6"/>
  <c r="AD178" i="6"/>
  <c r="AE178" i="6"/>
  <c r="AF178" i="6"/>
  <c r="AG178" i="6"/>
  <c r="AH178" i="6"/>
  <c r="AI178" i="6"/>
  <c r="AJ178" i="6"/>
  <c r="AK178" i="6"/>
  <c r="AA179" i="6"/>
  <c r="AB179" i="6"/>
  <c r="AC179" i="6"/>
  <c r="AD179" i="6"/>
  <c r="AE179" i="6"/>
  <c r="AF179" i="6"/>
  <c r="AG179" i="6"/>
  <c r="AH179" i="6"/>
  <c r="AI179" i="6"/>
  <c r="AJ179" i="6"/>
  <c r="AK179" i="6"/>
  <c r="AA180" i="6"/>
  <c r="AB180" i="6"/>
  <c r="AC180" i="6"/>
  <c r="AD180" i="6"/>
  <c r="AE180" i="6"/>
  <c r="AF180" i="6"/>
  <c r="AG180" i="6"/>
  <c r="AH180" i="6"/>
  <c r="AI180" i="6"/>
  <c r="AJ180" i="6"/>
  <c r="AK180" i="6"/>
  <c r="AA181" i="6"/>
  <c r="AB181" i="6"/>
  <c r="AC181" i="6"/>
  <c r="AD181" i="6"/>
  <c r="AE181" i="6"/>
  <c r="AF181" i="6"/>
  <c r="AG181" i="6"/>
  <c r="AH181" i="6"/>
  <c r="AI181" i="6"/>
  <c r="AJ181" i="6"/>
  <c r="AK181" i="6"/>
  <c r="AA182" i="6"/>
  <c r="AB182" i="6"/>
  <c r="AC182" i="6"/>
  <c r="AD182" i="6"/>
  <c r="AE182" i="6"/>
  <c r="AF182" i="6"/>
  <c r="AG182" i="6"/>
  <c r="AH182" i="6"/>
  <c r="AI182" i="6"/>
  <c r="AJ182" i="6"/>
  <c r="AK182" i="6"/>
  <c r="AA183" i="6"/>
  <c r="AB183" i="6"/>
  <c r="AC183" i="6"/>
  <c r="AD183" i="6"/>
  <c r="AE183" i="6"/>
  <c r="AF183" i="6"/>
  <c r="AG183" i="6"/>
  <c r="AH183" i="6"/>
  <c r="AI183" i="6"/>
  <c r="AJ183" i="6"/>
  <c r="AK183" i="6"/>
  <c r="AA184" i="6"/>
  <c r="AB184" i="6"/>
  <c r="AC184" i="6"/>
  <c r="AD184" i="6"/>
  <c r="AE184" i="6"/>
  <c r="AF184" i="6"/>
  <c r="AG184" i="6"/>
  <c r="AH184" i="6"/>
  <c r="AI184" i="6"/>
  <c r="AJ184" i="6"/>
  <c r="AK184" i="6"/>
  <c r="AA185" i="6"/>
  <c r="AB185" i="6"/>
  <c r="AC185" i="6"/>
  <c r="AD185" i="6"/>
  <c r="AE185" i="6"/>
  <c r="AF185" i="6"/>
  <c r="AG185" i="6"/>
  <c r="AH185" i="6"/>
  <c r="AI185" i="6"/>
  <c r="AJ185" i="6"/>
  <c r="AK185" i="6"/>
  <c r="AA186" i="6"/>
  <c r="AB186" i="6"/>
  <c r="AC186" i="6"/>
  <c r="AD186" i="6"/>
  <c r="AE186" i="6"/>
  <c r="AF186" i="6"/>
  <c r="AG186" i="6"/>
  <c r="AH186" i="6"/>
  <c r="AI186" i="6"/>
  <c r="AJ186" i="6"/>
  <c r="AK186" i="6"/>
  <c r="AA187" i="6"/>
  <c r="AB187" i="6"/>
  <c r="AC187" i="6"/>
  <c r="AD187" i="6"/>
  <c r="AE187" i="6"/>
  <c r="AF187" i="6"/>
  <c r="AG187" i="6"/>
  <c r="AH187" i="6"/>
  <c r="AI187" i="6"/>
  <c r="AJ187" i="6"/>
  <c r="AK187" i="6"/>
  <c r="AA188" i="6"/>
  <c r="AB188" i="6"/>
  <c r="AC188" i="6"/>
  <c r="AD188" i="6"/>
  <c r="AE188" i="6"/>
  <c r="AF188" i="6"/>
  <c r="AG188" i="6"/>
  <c r="AH188" i="6"/>
  <c r="AI188" i="6"/>
  <c r="AJ188" i="6"/>
  <c r="AK188" i="6"/>
  <c r="AA189" i="6"/>
  <c r="AB189" i="6"/>
  <c r="AC189" i="6"/>
  <c r="AD189" i="6"/>
  <c r="AE189" i="6"/>
  <c r="AF189" i="6"/>
  <c r="AG189" i="6"/>
  <c r="AH189" i="6"/>
  <c r="AI189" i="6"/>
  <c r="AJ189" i="6"/>
  <c r="AK189" i="6"/>
  <c r="AA190" i="6"/>
  <c r="AB190" i="6"/>
  <c r="AC190" i="6"/>
  <c r="AD190" i="6"/>
  <c r="AE190" i="6"/>
  <c r="AF190" i="6"/>
  <c r="AG190" i="6"/>
  <c r="AH190" i="6"/>
  <c r="AI190" i="6"/>
  <c r="AJ190" i="6"/>
  <c r="AK190" i="6"/>
  <c r="AA191" i="6"/>
  <c r="AB191" i="6"/>
  <c r="AC191" i="6"/>
  <c r="AD191" i="6"/>
  <c r="AE191" i="6"/>
  <c r="AF191" i="6"/>
  <c r="AG191" i="6"/>
  <c r="AH191" i="6"/>
  <c r="AI191" i="6"/>
  <c r="AJ191" i="6"/>
  <c r="AK191" i="6"/>
  <c r="AA192" i="6"/>
  <c r="AB192" i="6"/>
  <c r="AC192" i="6"/>
  <c r="AD192" i="6"/>
  <c r="AE192" i="6"/>
  <c r="AF192" i="6"/>
  <c r="AG192" i="6"/>
  <c r="AH192" i="6"/>
  <c r="AI192" i="6"/>
  <c r="AJ192" i="6"/>
  <c r="AK192" i="6"/>
  <c r="AA193" i="6"/>
  <c r="AB193" i="6"/>
  <c r="AC193" i="6"/>
  <c r="AD193" i="6"/>
  <c r="AE193" i="6"/>
  <c r="AF193" i="6"/>
  <c r="AG193" i="6"/>
  <c r="AH193" i="6"/>
  <c r="AI193" i="6"/>
  <c r="AJ193" i="6"/>
  <c r="AK193" i="6"/>
  <c r="AA194" i="6"/>
  <c r="AB194" i="6"/>
  <c r="AC194" i="6"/>
  <c r="AD194" i="6"/>
  <c r="AE194" i="6"/>
  <c r="AF194" i="6"/>
  <c r="AG194" i="6"/>
  <c r="AH194" i="6"/>
  <c r="AI194" i="6"/>
  <c r="AJ194" i="6"/>
  <c r="AK194" i="6"/>
  <c r="AA195" i="6"/>
  <c r="AB195" i="6"/>
  <c r="AC195" i="6"/>
  <c r="AD195" i="6"/>
  <c r="AE195" i="6"/>
  <c r="AF195" i="6"/>
  <c r="AG195" i="6"/>
  <c r="AH195" i="6"/>
  <c r="AI195" i="6"/>
  <c r="AJ195" i="6"/>
  <c r="AK195" i="6"/>
  <c r="AA196" i="6"/>
  <c r="AB196" i="6"/>
  <c r="AC196" i="6"/>
  <c r="AD196" i="6"/>
  <c r="AE196" i="6"/>
  <c r="AF196" i="6"/>
  <c r="AG196" i="6"/>
  <c r="AH196" i="6"/>
  <c r="AI196" i="6"/>
  <c r="AJ196" i="6"/>
  <c r="AK196" i="6"/>
  <c r="AA197" i="6"/>
  <c r="AB197" i="6"/>
  <c r="AC197" i="6"/>
  <c r="AD197" i="6"/>
  <c r="AE197" i="6"/>
  <c r="AF197" i="6"/>
  <c r="AG197" i="6"/>
  <c r="AH197" i="6"/>
  <c r="AI197" i="6"/>
  <c r="AJ197" i="6"/>
  <c r="AK197" i="6"/>
  <c r="AA198" i="6"/>
  <c r="AB198" i="6"/>
  <c r="AC198" i="6"/>
  <c r="AD198" i="6"/>
  <c r="AE198" i="6"/>
  <c r="AF198" i="6"/>
  <c r="AG198" i="6"/>
  <c r="AH198" i="6"/>
  <c r="AI198" i="6"/>
  <c r="AJ198" i="6"/>
  <c r="AK198" i="6"/>
  <c r="AA199" i="6"/>
  <c r="AB199" i="6"/>
  <c r="AC199" i="6"/>
  <c r="AD199" i="6"/>
  <c r="AE199" i="6"/>
  <c r="AF199" i="6"/>
  <c r="AG199" i="6"/>
  <c r="AH199" i="6"/>
  <c r="AI199" i="6"/>
  <c r="AJ199" i="6"/>
  <c r="AK199" i="6"/>
  <c r="AA200" i="6"/>
  <c r="AB200" i="6"/>
  <c r="AC200" i="6"/>
  <c r="AD200" i="6"/>
  <c r="AE200" i="6"/>
  <c r="AF200" i="6"/>
  <c r="AG200" i="6"/>
  <c r="AH200" i="6"/>
  <c r="AI200" i="6"/>
  <c r="AJ200" i="6"/>
  <c r="AK200" i="6"/>
  <c r="AA201" i="6"/>
  <c r="AB201" i="6"/>
  <c r="AC201" i="6"/>
  <c r="AD201" i="6"/>
  <c r="AE201" i="6"/>
  <c r="AF201" i="6"/>
  <c r="AG201" i="6"/>
  <c r="AH201" i="6"/>
  <c r="AI201" i="6"/>
  <c r="AJ201" i="6"/>
  <c r="AK201" i="6"/>
  <c r="AA202" i="6"/>
  <c r="AB202" i="6"/>
  <c r="AC202" i="6"/>
  <c r="AD202" i="6"/>
  <c r="AE202" i="6"/>
  <c r="AF202" i="6"/>
  <c r="AG202" i="6"/>
  <c r="AH202" i="6"/>
  <c r="AI202" i="6"/>
  <c r="AJ202" i="6"/>
  <c r="AK202" i="6"/>
  <c r="AA203" i="6"/>
  <c r="AB203" i="6"/>
  <c r="AC203" i="6"/>
  <c r="AD203" i="6"/>
  <c r="AE203" i="6"/>
  <c r="AF203" i="6"/>
  <c r="AG203" i="6"/>
  <c r="AH203" i="6"/>
  <c r="AI203" i="6"/>
  <c r="AJ203" i="6"/>
  <c r="AK203" i="6"/>
  <c r="AA204" i="6"/>
  <c r="AB204" i="6"/>
  <c r="AC204" i="6"/>
  <c r="AD204" i="6"/>
  <c r="AE204" i="6"/>
  <c r="AF204" i="6"/>
  <c r="AG204" i="6"/>
  <c r="AH204" i="6"/>
  <c r="AI204" i="6"/>
  <c r="AJ204" i="6"/>
  <c r="AK204" i="6"/>
  <c r="AA205" i="6"/>
  <c r="AB205" i="6"/>
  <c r="AC205" i="6"/>
  <c r="AD205" i="6"/>
  <c r="AE205" i="6"/>
  <c r="AF205" i="6"/>
  <c r="AG205" i="6"/>
  <c r="AH205" i="6"/>
  <c r="AI205" i="6"/>
  <c r="AJ205" i="6"/>
  <c r="AK205" i="6"/>
  <c r="AA206" i="6"/>
  <c r="AB206" i="6"/>
  <c r="AC206" i="6"/>
  <c r="AD206" i="6"/>
  <c r="AE206" i="6"/>
  <c r="AF206" i="6"/>
  <c r="AG206" i="6"/>
  <c r="AH206" i="6"/>
  <c r="AI206" i="6"/>
  <c r="AJ206" i="6"/>
  <c r="AK206" i="6"/>
  <c r="AA207" i="6"/>
  <c r="AB207" i="6"/>
  <c r="AC207" i="6"/>
  <c r="AD207" i="6"/>
  <c r="AE207" i="6"/>
  <c r="AF207" i="6"/>
  <c r="AG207" i="6"/>
  <c r="AH207" i="6"/>
  <c r="AI207" i="6"/>
  <c r="AJ207" i="6"/>
  <c r="AK207" i="6"/>
  <c r="AA208" i="6"/>
  <c r="AB208" i="6"/>
  <c r="AC208" i="6"/>
  <c r="AD208" i="6"/>
  <c r="AE208" i="6"/>
  <c r="AF208" i="6"/>
  <c r="AG208" i="6"/>
  <c r="AH208" i="6"/>
  <c r="AI208" i="6"/>
  <c r="AJ208" i="6"/>
  <c r="AK208" i="6"/>
  <c r="AA209" i="6"/>
  <c r="AB209" i="6"/>
  <c r="AC209" i="6"/>
  <c r="AD209" i="6"/>
  <c r="AE209" i="6"/>
  <c r="AF209" i="6"/>
  <c r="AG209" i="6"/>
  <c r="AH209" i="6"/>
  <c r="AI209" i="6"/>
  <c r="AJ209" i="6"/>
  <c r="AK209" i="6"/>
  <c r="AA210" i="6"/>
  <c r="AB210" i="6"/>
  <c r="AC210" i="6"/>
  <c r="AD210" i="6"/>
  <c r="AE210" i="6"/>
  <c r="AF210" i="6"/>
  <c r="AG210" i="6"/>
  <c r="AH210" i="6"/>
  <c r="AI210" i="6"/>
  <c r="AJ210" i="6"/>
  <c r="AK210" i="6"/>
  <c r="AA211" i="6"/>
  <c r="AB211" i="6"/>
  <c r="AC211" i="6"/>
  <c r="AD211" i="6"/>
  <c r="AE211" i="6"/>
  <c r="AF211" i="6"/>
  <c r="AG211" i="6"/>
  <c r="AH211" i="6"/>
  <c r="AI211" i="6"/>
  <c r="AJ211" i="6"/>
  <c r="AK211" i="6"/>
  <c r="AA212" i="6"/>
  <c r="AB212" i="6"/>
  <c r="AC212" i="6"/>
  <c r="AD212" i="6"/>
  <c r="AE212" i="6"/>
  <c r="AF212" i="6"/>
  <c r="AG212" i="6"/>
  <c r="AH212" i="6"/>
  <c r="AI212" i="6"/>
  <c r="AJ212" i="6"/>
  <c r="AK212" i="6"/>
  <c r="AA213" i="6"/>
  <c r="AB213" i="6"/>
  <c r="AC213" i="6"/>
  <c r="AD213" i="6"/>
  <c r="AE213" i="6"/>
  <c r="AF213" i="6"/>
  <c r="AG213" i="6"/>
  <c r="AH213" i="6"/>
  <c r="AI213" i="6"/>
  <c r="AJ213" i="6"/>
  <c r="AK213" i="6"/>
  <c r="AA214" i="6"/>
  <c r="AB214" i="6"/>
  <c r="AC214" i="6"/>
  <c r="AD214" i="6"/>
  <c r="AE214" i="6"/>
  <c r="AF214" i="6"/>
  <c r="AG214" i="6"/>
  <c r="AH214" i="6"/>
  <c r="AI214" i="6"/>
  <c r="AJ214" i="6"/>
  <c r="AK214" i="6"/>
  <c r="AA215" i="6"/>
  <c r="AB215" i="6"/>
  <c r="AC215" i="6"/>
  <c r="AD215" i="6"/>
  <c r="AE215" i="6"/>
  <c r="AF215" i="6"/>
  <c r="AG215" i="6"/>
  <c r="AH215" i="6"/>
  <c r="AI215" i="6"/>
  <c r="AJ215" i="6"/>
  <c r="AK215" i="6"/>
  <c r="AA216" i="6"/>
  <c r="AB216" i="6"/>
  <c r="AC216" i="6"/>
  <c r="AD216" i="6"/>
  <c r="AE216" i="6"/>
  <c r="AF216" i="6"/>
  <c r="AG216" i="6"/>
  <c r="AH216" i="6"/>
  <c r="AI216" i="6"/>
  <c r="AJ216" i="6"/>
  <c r="AK216" i="6"/>
  <c r="AA217" i="6"/>
  <c r="AB217" i="6"/>
  <c r="AC217" i="6"/>
  <c r="AD217" i="6"/>
  <c r="AE217" i="6"/>
  <c r="AF217" i="6"/>
  <c r="AG217" i="6"/>
  <c r="AH217" i="6"/>
  <c r="AI217" i="6"/>
  <c r="AJ217" i="6"/>
  <c r="AK217" i="6"/>
  <c r="AA218" i="6"/>
  <c r="AB218" i="6"/>
  <c r="AC218" i="6"/>
  <c r="AD218" i="6"/>
  <c r="AE218" i="6"/>
  <c r="AF218" i="6"/>
  <c r="AG218" i="6"/>
  <c r="AH218" i="6"/>
  <c r="AI218" i="6"/>
  <c r="AJ218" i="6"/>
  <c r="AK218" i="6"/>
  <c r="AA219" i="6"/>
  <c r="AB219" i="6"/>
  <c r="AC219" i="6"/>
  <c r="AD219" i="6"/>
  <c r="AE219" i="6"/>
  <c r="AF219" i="6"/>
  <c r="AG219" i="6"/>
  <c r="AH219" i="6"/>
  <c r="AI219" i="6"/>
  <c r="AJ219" i="6"/>
  <c r="AK219" i="6"/>
  <c r="AA220" i="6"/>
  <c r="AB220" i="6"/>
  <c r="AC220" i="6"/>
  <c r="AD220" i="6"/>
  <c r="AE220" i="6"/>
  <c r="AF220" i="6"/>
  <c r="AG220" i="6"/>
  <c r="AH220" i="6"/>
  <c r="AI220" i="6"/>
  <c r="AJ220" i="6"/>
  <c r="AK220" i="6"/>
  <c r="AA221" i="6"/>
  <c r="AB221" i="6"/>
  <c r="AC221" i="6"/>
  <c r="AD221" i="6"/>
  <c r="AE221" i="6"/>
  <c r="AF221" i="6"/>
  <c r="AG221" i="6"/>
  <c r="AH221" i="6"/>
  <c r="AI221" i="6"/>
  <c r="AJ221" i="6"/>
  <c r="AK221" i="6"/>
  <c r="AA222" i="6"/>
  <c r="AB222" i="6"/>
  <c r="AC222" i="6"/>
  <c r="AD222" i="6"/>
  <c r="AE222" i="6"/>
  <c r="AF222" i="6"/>
  <c r="AG222" i="6"/>
  <c r="AH222" i="6"/>
  <c r="AI222" i="6"/>
  <c r="AJ222" i="6"/>
  <c r="AK222" i="6"/>
  <c r="AA223" i="6"/>
  <c r="AB223" i="6"/>
  <c r="AC223" i="6"/>
  <c r="AD223" i="6"/>
  <c r="AE223" i="6"/>
  <c r="AF223" i="6"/>
  <c r="AG223" i="6"/>
  <c r="AH223" i="6"/>
  <c r="AI223" i="6"/>
  <c r="AJ223" i="6"/>
  <c r="AK223" i="6"/>
  <c r="AA224" i="6"/>
  <c r="AB224" i="6"/>
  <c r="AC224" i="6"/>
  <c r="AD224" i="6"/>
  <c r="AE224" i="6"/>
  <c r="AF224" i="6"/>
  <c r="AG224" i="6"/>
  <c r="AH224" i="6"/>
  <c r="AI224" i="6"/>
  <c r="AJ224" i="6"/>
  <c r="AK224" i="6"/>
  <c r="AA225" i="6"/>
  <c r="AB225" i="6"/>
  <c r="AC225" i="6"/>
  <c r="AD225" i="6"/>
  <c r="AE225" i="6"/>
  <c r="AF225" i="6"/>
  <c r="AG225" i="6"/>
  <c r="AH225" i="6"/>
  <c r="AI225" i="6"/>
  <c r="AJ225" i="6"/>
  <c r="AK225" i="6"/>
  <c r="AA226" i="6"/>
  <c r="AB226" i="6"/>
  <c r="AC226" i="6"/>
  <c r="AD226" i="6"/>
  <c r="AE226" i="6"/>
  <c r="AF226" i="6"/>
  <c r="AG226" i="6"/>
  <c r="AH226" i="6"/>
  <c r="AI226" i="6"/>
  <c r="AJ226" i="6"/>
  <c r="AK226" i="6"/>
  <c r="AA227" i="6"/>
  <c r="AB227" i="6"/>
  <c r="AC227" i="6"/>
  <c r="AD227" i="6"/>
  <c r="AE227" i="6"/>
  <c r="AF227" i="6"/>
  <c r="AG227" i="6"/>
  <c r="AH227" i="6"/>
  <c r="AI227" i="6"/>
  <c r="AJ227" i="6"/>
  <c r="AK227" i="6"/>
  <c r="AA228" i="6"/>
  <c r="AB228" i="6"/>
  <c r="AC228" i="6"/>
  <c r="AD228" i="6"/>
  <c r="AE228" i="6"/>
  <c r="AF228" i="6"/>
  <c r="AG228" i="6"/>
  <c r="AH228" i="6"/>
  <c r="AI228" i="6"/>
  <c r="AJ228" i="6"/>
  <c r="AK228" i="6"/>
  <c r="AA229" i="6"/>
  <c r="AB229" i="6"/>
  <c r="AC229" i="6"/>
  <c r="AD229" i="6"/>
  <c r="AE229" i="6"/>
  <c r="AF229" i="6"/>
  <c r="AG229" i="6"/>
  <c r="AH229" i="6"/>
  <c r="AI229" i="6"/>
  <c r="AJ229" i="6"/>
  <c r="AK229" i="6"/>
  <c r="AA230" i="6"/>
  <c r="AB230" i="6"/>
  <c r="AC230" i="6"/>
  <c r="AD230" i="6"/>
  <c r="AE230" i="6"/>
  <c r="AF230" i="6"/>
  <c r="AG230" i="6"/>
  <c r="AH230" i="6"/>
  <c r="AI230" i="6"/>
  <c r="AJ230" i="6"/>
  <c r="AK230" i="6"/>
  <c r="AA231" i="6"/>
  <c r="AB231" i="6"/>
  <c r="AC231" i="6"/>
  <c r="AD231" i="6"/>
  <c r="AE231" i="6"/>
  <c r="AF231" i="6"/>
  <c r="AG231" i="6"/>
  <c r="AH231" i="6"/>
  <c r="AI231" i="6"/>
  <c r="AJ231" i="6"/>
  <c r="AK231" i="6"/>
  <c r="AA232" i="6"/>
  <c r="AB232" i="6"/>
  <c r="AC232" i="6"/>
  <c r="AD232" i="6"/>
  <c r="AE232" i="6"/>
  <c r="AF232" i="6"/>
  <c r="AG232" i="6"/>
  <c r="AH232" i="6"/>
  <c r="AI232" i="6"/>
  <c r="AJ232" i="6"/>
  <c r="AK232" i="6"/>
  <c r="AA233" i="6"/>
  <c r="AB233" i="6"/>
  <c r="AC233" i="6"/>
  <c r="AD233" i="6"/>
  <c r="AE233" i="6"/>
  <c r="AF233" i="6"/>
  <c r="AG233" i="6"/>
  <c r="AH233" i="6"/>
  <c r="AI233" i="6"/>
  <c r="AJ233" i="6"/>
  <c r="AK233" i="6"/>
  <c r="AA234" i="6"/>
  <c r="AB234" i="6"/>
  <c r="AC234" i="6"/>
  <c r="AD234" i="6"/>
  <c r="AE234" i="6"/>
  <c r="AF234" i="6"/>
  <c r="AG234" i="6"/>
  <c r="AH234" i="6"/>
  <c r="AI234" i="6"/>
  <c r="AJ234" i="6"/>
  <c r="AK234" i="6"/>
  <c r="AA235" i="6"/>
  <c r="AB235" i="6"/>
  <c r="AC235" i="6"/>
  <c r="AD235" i="6"/>
  <c r="AE235" i="6"/>
  <c r="AF235" i="6"/>
  <c r="AG235" i="6"/>
  <c r="AH235" i="6"/>
  <c r="AI235" i="6"/>
  <c r="AJ235" i="6"/>
  <c r="AK235" i="6"/>
  <c r="AA236" i="6"/>
  <c r="AB236" i="6"/>
  <c r="AC236" i="6"/>
  <c r="AD236" i="6"/>
  <c r="AE236" i="6"/>
  <c r="AF236" i="6"/>
  <c r="AG236" i="6"/>
  <c r="AH236" i="6"/>
  <c r="AI236" i="6"/>
  <c r="AJ236" i="6"/>
  <c r="AK236" i="6"/>
  <c r="AA237" i="6"/>
  <c r="AB237" i="6"/>
  <c r="AC237" i="6"/>
  <c r="AD237" i="6"/>
  <c r="AE237" i="6"/>
  <c r="AF237" i="6"/>
  <c r="AG237" i="6"/>
  <c r="AH237" i="6"/>
  <c r="AI237" i="6"/>
  <c r="AJ237" i="6"/>
  <c r="AK237" i="6"/>
  <c r="AA238" i="6"/>
  <c r="AB238" i="6"/>
  <c r="AC238" i="6"/>
  <c r="AD238" i="6"/>
  <c r="AE238" i="6"/>
  <c r="AF238" i="6"/>
  <c r="AG238" i="6"/>
  <c r="AH238" i="6"/>
  <c r="AI238" i="6"/>
  <c r="AJ238" i="6"/>
  <c r="AK238" i="6"/>
  <c r="AA239" i="6"/>
  <c r="AB239" i="6"/>
  <c r="AC239" i="6"/>
  <c r="AD239" i="6"/>
  <c r="AE239" i="6"/>
  <c r="AF239" i="6"/>
  <c r="AG239" i="6"/>
  <c r="AH239" i="6"/>
  <c r="AI239" i="6"/>
  <c r="AJ239" i="6"/>
  <c r="AK239" i="6"/>
  <c r="AA240" i="6"/>
  <c r="AB240" i="6"/>
  <c r="AC240" i="6"/>
  <c r="AD240" i="6"/>
  <c r="AE240" i="6"/>
  <c r="AF240" i="6"/>
  <c r="AG240" i="6"/>
  <c r="AH240" i="6"/>
  <c r="AI240" i="6"/>
  <c r="AJ240" i="6"/>
  <c r="AK240" i="6"/>
  <c r="AA241" i="6"/>
  <c r="AB241" i="6"/>
  <c r="AC241" i="6"/>
  <c r="AD241" i="6"/>
  <c r="AE241" i="6"/>
  <c r="AF241" i="6"/>
  <c r="AG241" i="6"/>
  <c r="AH241" i="6"/>
  <c r="AI241" i="6"/>
  <c r="AJ241" i="6"/>
  <c r="AK241" i="6"/>
  <c r="AA242" i="6"/>
  <c r="AB242" i="6"/>
  <c r="AC242" i="6"/>
  <c r="AD242" i="6"/>
  <c r="AE242" i="6"/>
  <c r="AF242" i="6"/>
  <c r="AG242" i="6"/>
  <c r="AH242" i="6"/>
  <c r="AI242" i="6"/>
  <c r="AJ242" i="6"/>
  <c r="AK242" i="6"/>
  <c r="AA243" i="6"/>
  <c r="AB243" i="6"/>
  <c r="AC243" i="6"/>
  <c r="AD243" i="6"/>
  <c r="AE243" i="6"/>
  <c r="AF243" i="6"/>
  <c r="AG243" i="6"/>
  <c r="AH243" i="6"/>
  <c r="AI243" i="6"/>
  <c r="AJ243" i="6"/>
  <c r="AK243" i="6"/>
  <c r="AA244" i="6"/>
  <c r="AB244" i="6"/>
  <c r="AC244" i="6"/>
  <c r="AD244" i="6"/>
  <c r="AE244" i="6"/>
  <c r="AF244" i="6"/>
  <c r="AG244" i="6"/>
  <c r="AH244" i="6"/>
  <c r="AI244" i="6"/>
  <c r="AJ244" i="6"/>
  <c r="AK244" i="6"/>
  <c r="AA245" i="6"/>
  <c r="AB245" i="6"/>
  <c r="AC245" i="6"/>
  <c r="AD245" i="6"/>
  <c r="AE245" i="6"/>
  <c r="AF245" i="6"/>
  <c r="AG245" i="6"/>
  <c r="AH245" i="6"/>
  <c r="AI245" i="6"/>
  <c r="AJ245" i="6"/>
  <c r="AK245" i="6"/>
  <c r="AA246" i="6"/>
  <c r="AB246" i="6"/>
  <c r="AC246" i="6"/>
  <c r="AD246" i="6"/>
  <c r="AE246" i="6"/>
  <c r="AF246" i="6"/>
  <c r="AG246" i="6"/>
  <c r="AH246" i="6"/>
  <c r="AI246" i="6"/>
  <c r="AJ246" i="6"/>
  <c r="AK246" i="6"/>
  <c r="AA247" i="6"/>
  <c r="AB247" i="6"/>
  <c r="AC247" i="6"/>
  <c r="AD247" i="6"/>
  <c r="AE247" i="6"/>
  <c r="AF247" i="6"/>
  <c r="AG247" i="6"/>
  <c r="AH247" i="6"/>
  <c r="AI247" i="6"/>
  <c r="AJ247" i="6"/>
  <c r="AK247" i="6"/>
  <c r="AA248" i="6"/>
  <c r="AB248" i="6"/>
  <c r="AC248" i="6"/>
  <c r="AD248" i="6"/>
  <c r="AE248" i="6"/>
  <c r="AF248" i="6"/>
  <c r="AG248" i="6"/>
  <c r="AH248" i="6"/>
  <c r="AI248" i="6"/>
  <c r="AJ248" i="6"/>
  <c r="AK248" i="6"/>
  <c r="AA249" i="6"/>
  <c r="AB249" i="6"/>
  <c r="AC249" i="6"/>
  <c r="AD249" i="6"/>
  <c r="AE249" i="6"/>
  <c r="AF249" i="6"/>
  <c r="AG249" i="6"/>
  <c r="AH249" i="6"/>
  <c r="AI249" i="6"/>
  <c r="AJ249" i="6"/>
  <c r="AK249" i="6"/>
  <c r="AA250" i="6"/>
  <c r="AB250" i="6"/>
  <c r="AC250" i="6"/>
  <c r="AD250" i="6"/>
  <c r="AE250" i="6"/>
  <c r="AF250" i="6"/>
  <c r="AG250" i="6"/>
  <c r="AH250" i="6"/>
  <c r="AI250" i="6"/>
  <c r="AJ250" i="6"/>
  <c r="AK250" i="6"/>
  <c r="AA251" i="6"/>
  <c r="AB251" i="6"/>
  <c r="AC251" i="6"/>
  <c r="AD251" i="6"/>
  <c r="AE251" i="6"/>
  <c r="AF251" i="6"/>
  <c r="AG251" i="6"/>
  <c r="AH251" i="6"/>
  <c r="AI251" i="6"/>
  <c r="AJ251" i="6"/>
  <c r="AK251" i="6"/>
  <c r="AA252" i="6"/>
  <c r="AB252" i="6"/>
  <c r="AC252" i="6"/>
  <c r="AD252" i="6"/>
  <c r="AE252" i="6"/>
  <c r="AF252" i="6"/>
  <c r="AG252" i="6"/>
  <c r="AH252" i="6"/>
  <c r="AI252" i="6"/>
  <c r="AJ252" i="6"/>
  <c r="AK252" i="6"/>
  <c r="AA253" i="6"/>
  <c r="AB253" i="6"/>
  <c r="AC253" i="6"/>
  <c r="AD253" i="6"/>
  <c r="AE253" i="6"/>
  <c r="AF253" i="6"/>
  <c r="AG253" i="6"/>
  <c r="AH253" i="6"/>
  <c r="AI253" i="6"/>
  <c r="AJ253" i="6"/>
  <c r="AK253" i="6"/>
  <c r="AA254" i="6"/>
  <c r="AB254" i="6"/>
  <c r="AC254" i="6"/>
  <c r="AD254" i="6"/>
  <c r="AE254" i="6"/>
  <c r="AF254" i="6"/>
  <c r="AG254" i="6"/>
  <c r="AH254" i="6"/>
  <c r="AI254" i="6"/>
  <c r="AJ254" i="6"/>
  <c r="AK254" i="6"/>
  <c r="AA255" i="6"/>
  <c r="AB255" i="6"/>
  <c r="AC255" i="6"/>
  <c r="AD255" i="6"/>
  <c r="AE255" i="6"/>
  <c r="AF255" i="6"/>
  <c r="AG255" i="6"/>
  <c r="AH255" i="6"/>
  <c r="AI255" i="6"/>
  <c r="AJ255" i="6"/>
  <c r="AK255" i="6"/>
  <c r="AA256" i="6"/>
  <c r="AB256" i="6"/>
  <c r="AC256" i="6"/>
  <c r="AD256" i="6"/>
  <c r="AE256" i="6"/>
  <c r="AF256" i="6"/>
  <c r="AG256" i="6"/>
  <c r="AH256" i="6"/>
  <c r="AI256" i="6"/>
  <c r="AJ256" i="6"/>
  <c r="AK256" i="6"/>
  <c r="AA257" i="6"/>
  <c r="AB257" i="6"/>
  <c r="AC257" i="6"/>
  <c r="AD257" i="6"/>
  <c r="AE257" i="6"/>
  <c r="AF257" i="6"/>
  <c r="AG257" i="6"/>
  <c r="AH257" i="6"/>
  <c r="AI257" i="6"/>
  <c r="AJ257" i="6"/>
  <c r="AK257" i="6"/>
  <c r="AA258" i="6"/>
  <c r="AB258" i="6"/>
  <c r="AC258" i="6"/>
  <c r="AD258" i="6"/>
  <c r="AE258" i="6"/>
  <c r="AF258" i="6"/>
  <c r="AG258" i="6"/>
  <c r="AH258" i="6"/>
  <c r="AI258" i="6"/>
  <c r="AJ258" i="6"/>
  <c r="AK258" i="6"/>
  <c r="AA259" i="6"/>
  <c r="AB259" i="6"/>
  <c r="AC259" i="6"/>
  <c r="AD259" i="6"/>
  <c r="AE259" i="6"/>
  <c r="AF259" i="6"/>
  <c r="AG259" i="6"/>
  <c r="AH259" i="6"/>
  <c r="AI259" i="6"/>
  <c r="AJ259" i="6"/>
  <c r="AK259" i="6"/>
  <c r="AA260" i="6"/>
  <c r="AB260" i="6"/>
  <c r="AC260" i="6"/>
  <c r="AD260" i="6"/>
  <c r="AE260" i="6"/>
  <c r="AF260" i="6"/>
  <c r="AG260" i="6"/>
  <c r="AH260" i="6"/>
  <c r="AI260" i="6"/>
  <c r="AJ260" i="6"/>
  <c r="AK260" i="6"/>
  <c r="AA261" i="6"/>
  <c r="AB261" i="6"/>
  <c r="AC261" i="6"/>
  <c r="AD261" i="6"/>
  <c r="AE261" i="6"/>
  <c r="AF261" i="6"/>
  <c r="AG261" i="6"/>
  <c r="AH261" i="6"/>
  <c r="AI261" i="6"/>
  <c r="AJ261" i="6"/>
  <c r="AK261" i="6"/>
  <c r="AA262" i="6"/>
  <c r="AB262" i="6"/>
  <c r="AC262" i="6"/>
  <c r="AD262" i="6"/>
  <c r="AE262" i="6"/>
  <c r="AF262" i="6"/>
  <c r="AG262" i="6"/>
  <c r="AH262" i="6"/>
  <c r="AI262" i="6"/>
  <c r="AJ262" i="6"/>
  <c r="AK262" i="6"/>
  <c r="AA263" i="6"/>
  <c r="AB263" i="6"/>
  <c r="AC263" i="6"/>
  <c r="AD263" i="6"/>
  <c r="AE263" i="6"/>
  <c r="AF263" i="6"/>
  <c r="AG263" i="6"/>
  <c r="AH263" i="6"/>
  <c r="AI263" i="6"/>
  <c r="AJ263" i="6"/>
  <c r="AK263" i="6"/>
  <c r="AA264" i="6"/>
  <c r="AB264" i="6"/>
  <c r="AC264" i="6"/>
  <c r="AD264" i="6"/>
  <c r="AE264" i="6"/>
  <c r="AF264" i="6"/>
  <c r="AG264" i="6"/>
  <c r="AH264" i="6"/>
  <c r="AI264" i="6"/>
  <c r="AJ264" i="6"/>
  <c r="AK264" i="6"/>
  <c r="AA265" i="6"/>
  <c r="AB265" i="6"/>
  <c r="AC265" i="6"/>
  <c r="AD265" i="6"/>
  <c r="AE265" i="6"/>
  <c r="AF265" i="6"/>
  <c r="AG265" i="6"/>
  <c r="AH265" i="6"/>
  <c r="AI265" i="6"/>
  <c r="AJ265" i="6"/>
  <c r="AK265" i="6"/>
  <c r="AA266" i="6"/>
  <c r="AB266" i="6"/>
  <c r="AC266" i="6"/>
  <c r="AD266" i="6"/>
  <c r="AE266" i="6"/>
  <c r="AF266" i="6"/>
  <c r="AG266" i="6"/>
  <c r="AH266" i="6"/>
  <c r="AI266" i="6"/>
  <c r="AJ266" i="6"/>
  <c r="AK266" i="6"/>
  <c r="AA267" i="6"/>
  <c r="AB267" i="6"/>
  <c r="AC267" i="6"/>
  <c r="AD267" i="6"/>
  <c r="AE267" i="6"/>
  <c r="AF267" i="6"/>
  <c r="AG267" i="6"/>
  <c r="AH267" i="6"/>
  <c r="AI267" i="6"/>
  <c r="AJ267" i="6"/>
  <c r="AK267" i="6"/>
  <c r="AA268" i="6"/>
  <c r="AB268" i="6"/>
  <c r="AC268" i="6"/>
  <c r="AD268" i="6"/>
  <c r="AE268" i="6"/>
  <c r="AF268" i="6"/>
  <c r="AG268" i="6"/>
  <c r="AH268" i="6"/>
  <c r="AI268" i="6"/>
  <c r="AJ268" i="6"/>
  <c r="AK268" i="6"/>
  <c r="AA269" i="6"/>
  <c r="AB269" i="6"/>
  <c r="AC269" i="6"/>
  <c r="AD269" i="6"/>
  <c r="AE269" i="6"/>
  <c r="AF269" i="6"/>
  <c r="AG269" i="6"/>
  <c r="AH269" i="6"/>
  <c r="AI269" i="6"/>
  <c r="AJ269" i="6"/>
  <c r="AK269" i="6"/>
  <c r="AA270" i="6"/>
  <c r="AB270" i="6"/>
  <c r="AC270" i="6"/>
  <c r="AD270" i="6"/>
  <c r="AE270" i="6"/>
  <c r="AF270" i="6"/>
  <c r="AG270" i="6"/>
  <c r="AH270" i="6"/>
  <c r="AI270" i="6"/>
  <c r="AJ270" i="6"/>
  <c r="AK270" i="6"/>
  <c r="AA271" i="6"/>
  <c r="AB271" i="6"/>
  <c r="AC271" i="6"/>
  <c r="AD271" i="6"/>
  <c r="AE271" i="6"/>
  <c r="AF271" i="6"/>
  <c r="AG271" i="6"/>
  <c r="AH271" i="6"/>
  <c r="AI271" i="6"/>
  <c r="AJ271" i="6"/>
  <c r="AK271" i="6"/>
  <c r="AA272" i="6"/>
  <c r="AB272" i="6"/>
  <c r="AC272" i="6"/>
  <c r="AD272" i="6"/>
  <c r="AE272" i="6"/>
  <c r="AF272" i="6"/>
  <c r="AG272" i="6"/>
  <c r="AH272" i="6"/>
  <c r="AI272" i="6"/>
  <c r="AJ272" i="6"/>
  <c r="AK272" i="6"/>
  <c r="AA273" i="6"/>
  <c r="AB273" i="6"/>
  <c r="AC273" i="6"/>
  <c r="AD273" i="6"/>
  <c r="AE273" i="6"/>
  <c r="AF273" i="6"/>
  <c r="AG273" i="6"/>
  <c r="AH273" i="6"/>
  <c r="AI273" i="6"/>
  <c r="AJ273" i="6"/>
  <c r="AK273" i="6"/>
  <c r="AA274" i="6"/>
  <c r="AB274" i="6"/>
  <c r="AC274" i="6"/>
  <c r="AD274" i="6"/>
  <c r="AE274" i="6"/>
  <c r="AF274" i="6"/>
  <c r="AG274" i="6"/>
  <c r="AH274" i="6"/>
  <c r="AI274" i="6"/>
  <c r="AJ274" i="6"/>
  <c r="AK274" i="6"/>
  <c r="AA275" i="6"/>
  <c r="AB275" i="6"/>
  <c r="AC275" i="6"/>
  <c r="AD275" i="6"/>
  <c r="AE275" i="6"/>
  <c r="AF275" i="6"/>
  <c r="AG275" i="6"/>
  <c r="AH275" i="6"/>
  <c r="AI275" i="6"/>
  <c r="AJ275" i="6"/>
  <c r="AK275" i="6"/>
  <c r="AA276" i="6"/>
  <c r="AB276" i="6"/>
  <c r="AC276" i="6"/>
  <c r="AD276" i="6"/>
  <c r="AE276" i="6"/>
  <c r="AF276" i="6"/>
  <c r="AG276" i="6"/>
  <c r="AH276" i="6"/>
  <c r="AI276" i="6"/>
  <c r="AJ276" i="6"/>
  <c r="AK276" i="6"/>
  <c r="AA277" i="6"/>
  <c r="AB277" i="6"/>
  <c r="AC277" i="6"/>
  <c r="AD277" i="6"/>
  <c r="AE277" i="6"/>
  <c r="AF277" i="6"/>
  <c r="AG277" i="6"/>
  <c r="AH277" i="6"/>
  <c r="AI277" i="6"/>
  <c r="AJ277" i="6"/>
  <c r="AK277" i="6"/>
  <c r="AA278" i="6"/>
  <c r="AB278" i="6"/>
  <c r="AC278" i="6"/>
  <c r="AD278" i="6"/>
  <c r="AE278" i="6"/>
  <c r="AF278" i="6"/>
  <c r="AG278" i="6"/>
  <c r="AH278" i="6"/>
  <c r="AI278" i="6"/>
  <c r="AJ278" i="6"/>
  <c r="AK278" i="6"/>
  <c r="AA279" i="6"/>
  <c r="AB279" i="6"/>
  <c r="AC279" i="6"/>
  <c r="AD279" i="6"/>
  <c r="AE279" i="6"/>
  <c r="AF279" i="6"/>
  <c r="AG279" i="6"/>
  <c r="AH279" i="6"/>
  <c r="AI279" i="6"/>
  <c r="AJ279" i="6"/>
  <c r="AK279" i="6"/>
  <c r="AA280" i="6"/>
  <c r="AB280" i="6"/>
  <c r="AC280" i="6"/>
  <c r="AD280" i="6"/>
  <c r="AE280" i="6"/>
  <c r="AF280" i="6"/>
  <c r="AG280" i="6"/>
  <c r="AH280" i="6"/>
  <c r="AI280" i="6"/>
  <c r="AJ280" i="6"/>
  <c r="AK280" i="6"/>
  <c r="AA281" i="6"/>
  <c r="AB281" i="6"/>
  <c r="AC281" i="6"/>
  <c r="AD281" i="6"/>
  <c r="AE281" i="6"/>
  <c r="AF281" i="6"/>
  <c r="AG281" i="6"/>
  <c r="AH281" i="6"/>
  <c r="AI281" i="6"/>
  <c r="AJ281" i="6"/>
  <c r="AK281" i="6"/>
  <c r="AA282" i="6"/>
  <c r="AB282" i="6"/>
  <c r="AC282" i="6"/>
  <c r="AD282" i="6"/>
  <c r="AE282" i="6"/>
  <c r="AF282" i="6"/>
  <c r="AG282" i="6"/>
  <c r="AH282" i="6"/>
  <c r="AI282" i="6"/>
  <c r="AJ282" i="6"/>
  <c r="AK282" i="6"/>
  <c r="AA283" i="6"/>
  <c r="AB283" i="6"/>
  <c r="AC283" i="6"/>
  <c r="AD283" i="6"/>
  <c r="AE283" i="6"/>
  <c r="AF283" i="6"/>
  <c r="AG283" i="6"/>
  <c r="AH283" i="6"/>
  <c r="AI283" i="6"/>
  <c r="AJ283" i="6"/>
  <c r="AK283" i="6"/>
  <c r="AA284" i="6"/>
  <c r="AB284" i="6"/>
  <c r="AC284" i="6"/>
  <c r="AD284" i="6"/>
  <c r="AE284" i="6"/>
  <c r="AF284" i="6"/>
  <c r="AG284" i="6"/>
  <c r="AH284" i="6"/>
  <c r="AI284" i="6"/>
  <c r="AJ284" i="6"/>
  <c r="AK284" i="6"/>
  <c r="AA285" i="6"/>
  <c r="AB285" i="6"/>
  <c r="AC285" i="6"/>
  <c r="AD285" i="6"/>
  <c r="AE285" i="6"/>
  <c r="AF285" i="6"/>
  <c r="AG285" i="6"/>
  <c r="AH285" i="6"/>
  <c r="AI285" i="6"/>
  <c r="AJ285" i="6"/>
  <c r="AK285" i="6"/>
  <c r="AA2" i="6"/>
  <c r="AB2" i="6"/>
  <c r="AC2" i="6"/>
  <c r="AD2" i="6"/>
  <c r="AE2" i="6"/>
  <c r="AF2" i="6"/>
  <c r="AG2" i="6"/>
  <c r="AH2" i="6"/>
  <c r="AI2" i="6"/>
  <c r="AJ2" i="6"/>
  <c r="AK2" i="6"/>
  <c r="D150" i="6"/>
  <c r="E150" i="6"/>
  <c r="F150" i="6"/>
  <c r="G150" i="6"/>
  <c r="H150" i="6"/>
  <c r="I150" i="6"/>
  <c r="J150" i="6"/>
  <c r="K150" i="6"/>
  <c r="L150" i="6"/>
  <c r="M150" i="6"/>
  <c r="N150" i="6"/>
  <c r="O150" i="6"/>
  <c r="P150" i="6"/>
  <c r="Q150" i="6"/>
  <c r="R150" i="6"/>
  <c r="S150" i="6"/>
  <c r="T150" i="6"/>
  <c r="U150" i="6"/>
  <c r="V150" i="6"/>
  <c r="W150" i="6"/>
  <c r="X150" i="6"/>
  <c r="Y150" i="6"/>
  <c r="Z150" i="6"/>
  <c r="D151" i="6"/>
  <c r="E151" i="6"/>
  <c r="F151" i="6"/>
  <c r="G151" i="6"/>
  <c r="H151" i="6"/>
  <c r="I151" i="6"/>
  <c r="J151" i="6"/>
  <c r="K151" i="6"/>
  <c r="L151" i="6"/>
  <c r="M151" i="6"/>
  <c r="N151" i="6"/>
  <c r="O151" i="6"/>
  <c r="P151" i="6"/>
  <c r="Q151" i="6"/>
  <c r="R151" i="6"/>
  <c r="S151" i="6"/>
  <c r="T151" i="6"/>
  <c r="U151" i="6"/>
  <c r="V151" i="6"/>
  <c r="W151" i="6"/>
  <c r="X151" i="6"/>
  <c r="Y151" i="6"/>
  <c r="Z151" i="6"/>
  <c r="D152" i="6"/>
  <c r="E152" i="6"/>
  <c r="F152" i="6"/>
  <c r="G152" i="6"/>
  <c r="H152" i="6"/>
  <c r="I152" i="6"/>
  <c r="J152" i="6"/>
  <c r="K152" i="6"/>
  <c r="L152" i="6"/>
  <c r="M152" i="6"/>
  <c r="N152" i="6"/>
  <c r="O152" i="6"/>
  <c r="P152" i="6"/>
  <c r="Q152" i="6"/>
  <c r="R152" i="6"/>
  <c r="S152" i="6"/>
  <c r="T152" i="6"/>
  <c r="U152" i="6"/>
  <c r="V152" i="6"/>
  <c r="W152" i="6"/>
  <c r="X152" i="6"/>
  <c r="Y152" i="6"/>
  <c r="Z152" i="6"/>
  <c r="D153" i="6"/>
  <c r="E153" i="6"/>
  <c r="F153" i="6"/>
  <c r="G153" i="6"/>
  <c r="H153" i="6"/>
  <c r="I153" i="6"/>
  <c r="J153" i="6"/>
  <c r="K153" i="6"/>
  <c r="L153" i="6"/>
  <c r="M153" i="6"/>
  <c r="N153" i="6"/>
  <c r="O153" i="6"/>
  <c r="P153" i="6"/>
  <c r="Q153" i="6"/>
  <c r="R153" i="6"/>
  <c r="S153" i="6"/>
  <c r="T153" i="6"/>
  <c r="U153" i="6"/>
  <c r="V153" i="6"/>
  <c r="W153" i="6"/>
  <c r="X153" i="6"/>
  <c r="Y153" i="6"/>
  <c r="Z153" i="6"/>
  <c r="D154" i="6"/>
  <c r="E154" i="6"/>
  <c r="F154" i="6"/>
  <c r="G154" i="6"/>
  <c r="H154" i="6"/>
  <c r="I154" i="6"/>
  <c r="J154" i="6"/>
  <c r="K154" i="6"/>
  <c r="L154" i="6"/>
  <c r="M154" i="6"/>
  <c r="N154" i="6"/>
  <c r="O154" i="6"/>
  <c r="P154" i="6"/>
  <c r="Q154" i="6"/>
  <c r="R154" i="6"/>
  <c r="S154" i="6"/>
  <c r="T154" i="6"/>
  <c r="U154" i="6"/>
  <c r="V154" i="6"/>
  <c r="W154" i="6"/>
  <c r="X154" i="6"/>
  <c r="Y154" i="6"/>
  <c r="Z154" i="6"/>
  <c r="D155" i="6"/>
  <c r="E155" i="6"/>
  <c r="F155" i="6"/>
  <c r="G155" i="6"/>
  <c r="H155" i="6"/>
  <c r="I155" i="6"/>
  <c r="J155" i="6"/>
  <c r="K155" i="6"/>
  <c r="L155" i="6"/>
  <c r="M155" i="6"/>
  <c r="N155" i="6"/>
  <c r="O155" i="6"/>
  <c r="P155" i="6"/>
  <c r="Q155" i="6"/>
  <c r="R155" i="6"/>
  <c r="S155" i="6"/>
  <c r="T155" i="6"/>
  <c r="U155" i="6"/>
  <c r="V155" i="6"/>
  <c r="W155" i="6"/>
  <c r="X155" i="6"/>
  <c r="Y155" i="6"/>
  <c r="Z155" i="6"/>
  <c r="D156" i="6"/>
  <c r="E156" i="6"/>
  <c r="F156" i="6"/>
  <c r="G156" i="6"/>
  <c r="H156" i="6"/>
  <c r="I156" i="6"/>
  <c r="J156" i="6"/>
  <c r="K156" i="6"/>
  <c r="L156" i="6"/>
  <c r="M156" i="6"/>
  <c r="N156" i="6"/>
  <c r="O156" i="6"/>
  <c r="P156" i="6"/>
  <c r="Q156" i="6"/>
  <c r="R156" i="6"/>
  <c r="S156" i="6"/>
  <c r="T156" i="6"/>
  <c r="U156" i="6"/>
  <c r="V156" i="6"/>
  <c r="W156" i="6"/>
  <c r="X156" i="6"/>
  <c r="Y156" i="6"/>
  <c r="Z156" i="6"/>
  <c r="D157" i="6"/>
  <c r="E157" i="6"/>
  <c r="F157" i="6"/>
  <c r="G157" i="6"/>
  <c r="H157" i="6"/>
  <c r="I157" i="6"/>
  <c r="J157" i="6"/>
  <c r="K157" i="6"/>
  <c r="L157" i="6"/>
  <c r="M157" i="6"/>
  <c r="N157" i="6"/>
  <c r="O157" i="6"/>
  <c r="P157" i="6"/>
  <c r="Q157" i="6"/>
  <c r="R157" i="6"/>
  <c r="S157" i="6"/>
  <c r="T157" i="6"/>
  <c r="U157" i="6"/>
  <c r="V157" i="6"/>
  <c r="W157" i="6"/>
  <c r="X157" i="6"/>
  <c r="Y157" i="6"/>
  <c r="Z157" i="6"/>
  <c r="D158" i="6"/>
  <c r="E158" i="6"/>
  <c r="F158" i="6"/>
  <c r="G158" i="6"/>
  <c r="H158" i="6"/>
  <c r="I158" i="6"/>
  <c r="J158" i="6"/>
  <c r="K158" i="6"/>
  <c r="L158" i="6"/>
  <c r="M158" i="6"/>
  <c r="N158" i="6"/>
  <c r="O158" i="6"/>
  <c r="P158" i="6"/>
  <c r="Q158" i="6"/>
  <c r="R158" i="6"/>
  <c r="S158" i="6"/>
  <c r="T158" i="6"/>
  <c r="U158" i="6"/>
  <c r="V158" i="6"/>
  <c r="W158" i="6"/>
  <c r="X158" i="6"/>
  <c r="Y158" i="6"/>
  <c r="Z158" i="6"/>
  <c r="D159" i="6"/>
  <c r="E159" i="6"/>
  <c r="F159" i="6"/>
  <c r="G159" i="6"/>
  <c r="H159" i="6"/>
  <c r="I159" i="6"/>
  <c r="J159" i="6"/>
  <c r="K159" i="6"/>
  <c r="L159" i="6"/>
  <c r="M159" i="6"/>
  <c r="N159" i="6"/>
  <c r="O159" i="6"/>
  <c r="P159" i="6"/>
  <c r="Q159" i="6"/>
  <c r="R159" i="6"/>
  <c r="S159" i="6"/>
  <c r="T159" i="6"/>
  <c r="U159" i="6"/>
  <c r="V159" i="6"/>
  <c r="W159" i="6"/>
  <c r="X159" i="6"/>
  <c r="Y159" i="6"/>
  <c r="Z159" i="6"/>
  <c r="D160" i="6"/>
  <c r="E160" i="6"/>
  <c r="F160" i="6"/>
  <c r="G160" i="6"/>
  <c r="H160" i="6"/>
  <c r="I160" i="6"/>
  <c r="J160" i="6"/>
  <c r="K160" i="6"/>
  <c r="L160" i="6"/>
  <c r="M160" i="6"/>
  <c r="N160" i="6"/>
  <c r="O160" i="6"/>
  <c r="P160" i="6"/>
  <c r="Q160" i="6"/>
  <c r="R160" i="6"/>
  <c r="S160" i="6"/>
  <c r="T160" i="6"/>
  <c r="U160" i="6"/>
  <c r="V160" i="6"/>
  <c r="W160" i="6"/>
  <c r="X160" i="6"/>
  <c r="Y160" i="6"/>
  <c r="Z160" i="6"/>
  <c r="D161" i="6"/>
  <c r="E161" i="6"/>
  <c r="F161" i="6"/>
  <c r="G161" i="6"/>
  <c r="H161" i="6"/>
  <c r="I161" i="6"/>
  <c r="J161" i="6"/>
  <c r="K161" i="6"/>
  <c r="L161" i="6"/>
  <c r="M161" i="6"/>
  <c r="N161" i="6"/>
  <c r="O161" i="6"/>
  <c r="P161" i="6"/>
  <c r="Q161" i="6"/>
  <c r="R161" i="6"/>
  <c r="S161" i="6"/>
  <c r="T161" i="6"/>
  <c r="U161" i="6"/>
  <c r="V161" i="6"/>
  <c r="W161" i="6"/>
  <c r="X161" i="6"/>
  <c r="Y161" i="6"/>
  <c r="Z161" i="6"/>
  <c r="D162" i="6"/>
  <c r="E162" i="6"/>
  <c r="F162" i="6"/>
  <c r="G162" i="6"/>
  <c r="H162" i="6"/>
  <c r="I162" i="6"/>
  <c r="J162" i="6"/>
  <c r="K162" i="6"/>
  <c r="L162" i="6"/>
  <c r="M162" i="6"/>
  <c r="N162" i="6"/>
  <c r="O162" i="6"/>
  <c r="P162" i="6"/>
  <c r="Q162" i="6"/>
  <c r="R162" i="6"/>
  <c r="S162" i="6"/>
  <c r="T162" i="6"/>
  <c r="U162" i="6"/>
  <c r="V162" i="6"/>
  <c r="W162" i="6"/>
  <c r="X162" i="6"/>
  <c r="Y162" i="6"/>
  <c r="Z162" i="6"/>
  <c r="D163" i="6"/>
  <c r="E163" i="6"/>
  <c r="F163" i="6"/>
  <c r="G163" i="6"/>
  <c r="H163" i="6"/>
  <c r="I163" i="6"/>
  <c r="J163" i="6"/>
  <c r="K163" i="6"/>
  <c r="L163" i="6"/>
  <c r="M163" i="6"/>
  <c r="N163" i="6"/>
  <c r="O163" i="6"/>
  <c r="P163" i="6"/>
  <c r="Q163" i="6"/>
  <c r="R163" i="6"/>
  <c r="S163" i="6"/>
  <c r="T163" i="6"/>
  <c r="U163" i="6"/>
  <c r="V163" i="6"/>
  <c r="W163" i="6"/>
  <c r="X163" i="6"/>
  <c r="Y163" i="6"/>
  <c r="Z163" i="6"/>
  <c r="D164" i="6"/>
  <c r="E164" i="6"/>
  <c r="F164" i="6"/>
  <c r="G164" i="6"/>
  <c r="H164" i="6"/>
  <c r="I164" i="6"/>
  <c r="J164" i="6"/>
  <c r="K164" i="6"/>
  <c r="L164" i="6"/>
  <c r="M164" i="6"/>
  <c r="N164" i="6"/>
  <c r="O164" i="6"/>
  <c r="P164" i="6"/>
  <c r="Q164" i="6"/>
  <c r="R164" i="6"/>
  <c r="S164" i="6"/>
  <c r="T164" i="6"/>
  <c r="U164" i="6"/>
  <c r="V164" i="6"/>
  <c r="W164" i="6"/>
  <c r="X164" i="6"/>
  <c r="Y164" i="6"/>
  <c r="Z164" i="6"/>
  <c r="D165" i="6"/>
  <c r="E165" i="6"/>
  <c r="F165" i="6"/>
  <c r="G165" i="6"/>
  <c r="H165" i="6"/>
  <c r="I165" i="6"/>
  <c r="J165" i="6"/>
  <c r="K165" i="6"/>
  <c r="L165" i="6"/>
  <c r="M165" i="6"/>
  <c r="N165" i="6"/>
  <c r="O165" i="6"/>
  <c r="P165" i="6"/>
  <c r="Q165" i="6"/>
  <c r="R165" i="6"/>
  <c r="S165" i="6"/>
  <c r="T165" i="6"/>
  <c r="U165" i="6"/>
  <c r="V165" i="6"/>
  <c r="W165" i="6"/>
  <c r="X165" i="6"/>
  <c r="Y165" i="6"/>
  <c r="Z165" i="6"/>
  <c r="D166" i="6"/>
  <c r="E166" i="6"/>
  <c r="F166" i="6"/>
  <c r="G166" i="6"/>
  <c r="H166" i="6"/>
  <c r="I166" i="6"/>
  <c r="J166" i="6"/>
  <c r="K166" i="6"/>
  <c r="L166" i="6"/>
  <c r="M166" i="6"/>
  <c r="N166" i="6"/>
  <c r="O166" i="6"/>
  <c r="P166" i="6"/>
  <c r="Q166" i="6"/>
  <c r="R166" i="6"/>
  <c r="S166" i="6"/>
  <c r="T166" i="6"/>
  <c r="U166" i="6"/>
  <c r="V166" i="6"/>
  <c r="W166" i="6"/>
  <c r="X166" i="6"/>
  <c r="Y166" i="6"/>
  <c r="Z166" i="6"/>
  <c r="D167" i="6"/>
  <c r="E167" i="6"/>
  <c r="F167" i="6"/>
  <c r="G167" i="6"/>
  <c r="H167" i="6"/>
  <c r="I167" i="6"/>
  <c r="J167" i="6"/>
  <c r="K167" i="6"/>
  <c r="L167" i="6"/>
  <c r="M167" i="6"/>
  <c r="N167" i="6"/>
  <c r="O167" i="6"/>
  <c r="P167" i="6"/>
  <c r="Q167" i="6"/>
  <c r="R167" i="6"/>
  <c r="S167" i="6"/>
  <c r="T167" i="6"/>
  <c r="U167" i="6"/>
  <c r="V167" i="6"/>
  <c r="W167" i="6"/>
  <c r="X167" i="6"/>
  <c r="Y167" i="6"/>
  <c r="Z167" i="6"/>
  <c r="D168" i="6"/>
  <c r="E168" i="6"/>
  <c r="F168" i="6"/>
  <c r="G168" i="6"/>
  <c r="H168" i="6"/>
  <c r="I168" i="6"/>
  <c r="J168" i="6"/>
  <c r="K168" i="6"/>
  <c r="L168" i="6"/>
  <c r="M168" i="6"/>
  <c r="N168" i="6"/>
  <c r="O168" i="6"/>
  <c r="P168" i="6"/>
  <c r="Q168" i="6"/>
  <c r="R168" i="6"/>
  <c r="S168" i="6"/>
  <c r="T168" i="6"/>
  <c r="U168" i="6"/>
  <c r="V168" i="6"/>
  <c r="W168" i="6"/>
  <c r="X168" i="6"/>
  <c r="Y168" i="6"/>
  <c r="Z168" i="6"/>
  <c r="D169" i="6"/>
  <c r="E169" i="6"/>
  <c r="F169" i="6"/>
  <c r="G169" i="6"/>
  <c r="H169" i="6"/>
  <c r="I169" i="6"/>
  <c r="J169" i="6"/>
  <c r="K169" i="6"/>
  <c r="L169" i="6"/>
  <c r="M169" i="6"/>
  <c r="N169" i="6"/>
  <c r="O169" i="6"/>
  <c r="P169" i="6"/>
  <c r="Q169" i="6"/>
  <c r="R169" i="6"/>
  <c r="S169" i="6"/>
  <c r="T169" i="6"/>
  <c r="U169" i="6"/>
  <c r="V169" i="6"/>
  <c r="W169" i="6"/>
  <c r="X169" i="6"/>
  <c r="Y169" i="6"/>
  <c r="Z169" i="6"/>
  <c r="D170" i="6"/>
  <c r="E170" i="6"/>
  <c r="F170" i="6"/>
  <c r="G170" i="6"/>
  <c r="H170" i="6"/>
  <c r="I170" i="6"/>
  <c r="J170" i="6"/>
  <c r="K170" i="6"/>
  <c r="L170" i="6"/>
  <c r="M170" i="6"/>
  <c r="N170" i="6"/>
  <c r="O170" i="6"/>
  <c r="P170" i="6"/>
  <c r="Q170" i="6"/>
  <c r="R170" i="6"/>
  <c r="S170" i="6"/>
  <c r="T170" i="6"/>
  <c r="U170" i="6"/>
  <c r="V170" i="6"/>
  <c r="W170" i="6"/>
  <c r="X170" i="6"/>
  <c r="Y170" i="6"/>
  <c r="Z170" i="6"/>
  <c r="D171" i="6"/>
  <c r="E171" i="6"/>
  <c r="F171" i="6"/>
  <c r="G171" i="6"/>
  <c r="H171" i="6"/>
  <c r="I171" i="6"/>
  <c r="J171" i="6"/>
  <c r="K171" i="6"/>
  <c r="L171" i="6"/>
  <c r="M171" i="6"/>
  <c r="N171" i="6"/>
  <c r="O171" i="6"/>
  <c r="P171" i="6"/>
  <c r="Q171" i="6"/>
  <c r="R171" i="6"/>
  <c r="S171" i="6"/>
  <c r="T171" i="6"/>
  <c r="U171" i="6"/>
  <c r="V171" i="6"/>
  <c r="W171" i="6"/>
  <c r="X171" i="6"/>
  <c r="Y171" i="6"/>
  <c r="Z171" i="6"/>
  <c r="D172" i="6"/>
  <c r="E172" i="6"/>
  <c r="F172" i="6"/>
  <c r="G172" i="6"/>
  <c r="H172" i="6"/>
  <c r="I172" i="6"/>
  <c r="J172" i="6"/>
  <c r="K172" i="6"/>
  <c r="L172" i="6"/>
  <c r="M172" i="6"/>
  <c r="N172" i="6"/>
  <c r="O172" i="6"/>
  <c r="P172" i="6"/>
  <c r="Q172" i="6"/>
  <c r="R172" i="6"/>
  <c r="S172" i="6"/>
  <c r="T172" i="6"/>
  <c r="U172" i="6"/>
  <c r="V172" i="6"/>
  <c r="W172" i="6"/>
  <c r="X172" i="6"/>
  <c r="Y172" i="6"/>
  <c r="Z172" i="6"/>
  <c r="D173" i="6"/>
  <c r="E173" i="6"/>
  <c r="F173" i="6"/>
  <c r="G173" i="6"/>
  <c r="H173" i="6"/>
  <c r="I173" i="6"/>
  <c r="J173" i="6"/>
  <c r="K173" i="6"/>
  <c r="L173" i="6"/>
  <c r="M173" i="6"/>
  <c r="N173" i="6"/>
  <c r="O173" i="6"/>
  <c r="P173" i="6"/>
  <c r="Q173" i="6"/>
  <c r="R173" i="6"/>
  <c r="S173" i="6"/>
  <c r="T173" i="6"/>
  <c r="U173" i="6"/>
  <c r="V173" i="6"/>
  <c r="W173" i="6"/>
  <c r="X173" i="6"/>
  <c r="Y173" i="6"/>
  <c r="Z173" i="6"/>
  <c r="D174" i="6"/>
  <c r="E174" i="6"/>
  <c r="F174" i="6"/>
  <c r="G174" i="6"/>
  <c r="H174" i="6"/>
  <c r="I174" i="6"/>
  <c r="J174" i="6"/>
  <c r="K174" i="6"/>
  <c r="L174" i="6"/>
  <c r="M174" i="6"/>
  <c r="N174" i="6"/>
  <c r="O174" i="6"/>
  <c r="P174" i="6"/>
  <c r="Q174" i="6"/>
  <c r="R174" i="6"/>
  <c r="S174" i="6"/>
  <c r="T174" i="6"/>
  <c r="U174" i="6"/>
  <c r="V174" i="6"/>
  <c r="W174" i="6"/>
  <c r="X174" i="6"/>
  <c r="Y174" i="6"/>
  <c r="Z174" i="6"/>
  <c r="D175" i="6"/>
  <c r="E175" i="6"/>
  <c r="F175" i="6"/>
  <c r="G175" i="6"/>
  <c r="H175" i="6"/>
  <c r="I175" i="6"/>
  <c r="J175" i="6"/>
  <c r="K175" i="6"/>
  <c r="L175" i="6"/>
  <c r="M175" i="6"/>
  <c r="N175" i="6"/>
  <c r="O175" i="6"/>
  <c r="P175" i="6"/>
  <c r="Q175" i="6"/>
  <c r="R175" i="6"/>
  <c r="S175" i="6"/>
  <c r="T175" i="6"/>
  <c r="U175" i="6"/>
  <c r="V175" i="6"/>
  <c r="W175" i="6"/>
  <c r="X175" i="6"/>
  <c r="Y175" i="6"/>
  <c r="Z175" i="6"/>
  <c r="D176" i="6"/>
  <c r="E176" i="6"/>
  <c r="F176" i="6"/>
  <c r="G176" i="6"/>
  <c r="H176" i="6"/>
  <c r="I176" i="6"/>
  <c r="J176" i="6"/>
  <c r="K176" i="6"/>
  <c r="L176" i="6"/>
  <c r="M176" i="6"/>
  <c r="N176" i="6"/>
  <c r="O176" i="6"/>
  <c r="P176" i="6"/>
  <c r="Q176" i="6"/>
  <c r="R176" i="6"/>
  <c r="S176" i="6"/>
  <c r="T176" i="6"/>
  <c r="U176" i="6"/>
  <c r="V176" i="6"/>
  <c r="W176" i="6"/>
  <c r="X176" i="6"/>
  <c r="Y176" i="6"/>
  <c r="Z176" i="6"/>
  <c r="D177" i="6"/>
  <c r="E177" i="6"/>
  <c r="F177" i="6"/>
  <c r="G177" i="6"/>
  <c r="H177" i="6"/>
  <c r="I177" i="6"/>
  <c r="J177" i="6"/>
  <c r="K177" i="6"/>
  <c r="L177" i="6"/>
  <c r="M177" i="6"/>
  <c r="N177" i="6"/>
  <c r="O177" i="6"/>
  <c r="P177" i="6"/>
  <c r="Q177" i="6"/>
  <c r="R177" i="6"/>
  <c r="S177" i="6"/>
  <c r="T177" i="6"/>
  <c r="U177" i="6"/>
  <c r="V177" i="6"/>
  <c r="W177" i="6"/>
  <c r="X177" i="6"/>
  <c r="Y177" i="6"/>
  <c r="Z177" i="6"/>
  <c r="D178" i="6"/>
  <c r="E178" i="6"/>
  <c r="F178" i="6"/>
  <c r="G178" i="6"/>
  <c r="H178" i="6"/>
  <c r="I178" i="6"/>
  <c r="J178" i="6"/>
  <c r="K178" i="6"/>
  <c r="L178" i="6"/>
  <c r="M178" i="6"/>
  <c r="N178" i="6"/>
  <c r="O178" i="6"/>
  <c r="P178" i="6"/>
  <c r="Q178" i="6"/>
  <c r="R178" i="6"/>
  <c r="S178" i="6"/>
  <c r="T178" i="6"/>
  <c r="U178" i="6"/>
  <c r="V178" i="6"/>
  <c r="W178" i="6"/>
  <c r="X178" i="6"/>
  <c r="Y178" i="6"/>
  <c r="Z178" i="6"/>
  <c r="D179" i="6"/>
  <c r="E179" i="6"/>
  <c r="F179" i="6"/>
  <c r="G179" i="6"/>
  <c r="H179" i="6"/>
  <c r="I179" i="6"/>
  <c r="J179" i="6"/>
  <c r="K179" i="6"/>
  <c r="L179" i="6"/>
  <c r="M179" i="6"/>
  <c r="N179" i="6"/>
  <c r="O179" i="6"/>
  <c r="P179" i="6"/>
  <c r="Q179" i="6"/>
  <c r="R179" i="6"/>
  <c r="S179" i="6"/>
  <c r="T179" i="6"/>
  <c r="U179" i="6"/>
  <c r="V179" i="6"/>
  <c r="W179" i="6"/>
  <c r="X179" i="6"/>
  <c r="Y179" i="6"/>
  <c r="Z179" i="6"/>
  <c r="D180" i="6"/>
  <c r="E180" i="6"/>
  <c r="F180" i="6"/>
  <c r="G180" i="6"/>
  <c r="H180" i="6"/>
  <c r="I180" i="6"/>
  <c r="J180" i="6"/>
  <c r="K180" i="6"/>
  <c r="L180" i="6"/>
  <c r="M180" i="6"/>
  <c r="N180" i="6"/>
  <c r="O180" i="6"/>
  <c r="P180" i="6"/>
  <c r="Q180" i="6"/>
  <c r="R180" i="6"/>
  <c r="S180" i="6"/>
  <c r="T180" i="6"/>
  <c r="U180" i="6"/>
  <c r="V180" i="6"/>
  <c r="W180" i="6"/>
  <c r="X180" i="6"/>
  <c r="Y180" i="6"/>
  <c r="Z180" i="6"/>
  <c r="D181" i="6"/>
  <c r="E181" i="6"/>
  <c r="F181" i="6"/>
  <c r="G181" i="6"/>
  <c r="H181" i="6"/>
  <c r="I181" i="6"/>
  <c r="J181" i="6"/>
  <c r="K181" i="6"/>
  <c r="L181" i="6"/>
  <c r="M181" i="6"/>
  <c r="N181" i="6"/>
  <c r="O181" i="6"/>
  <c r="P181" i="6"/>
  <c r="Q181" i="6"/>
  <c r="R181" i="6"/>
  <c r="S181" i="6"/>
  <c r="T181" i="6"/>
  <c r="U181" i="6"/>
  <c r="V181" i="6"/>
  <c r="W181" i="6"/>
  <c r="X181" i="6"/>
  <c r="Y181" i="6"/>
  <c r="Z181" i="6"/>
  <c r="D182" i="6"/>
  <c r="E182" i="6"/>
  <c r="F182" i="6"/>
  <c r="G182" i="6"/>
  <c r="H182" i="6"/>
  <c r="I182" i="6"/>
  <c r="J182" i="6"/>
  <c r="K182" i="6"/>
  <c r="L182" i="6"/>
  <c r="M182" i="6"/>
  <c r="N182" i="6"/>
  <c r="O182" i="6"/>
  <c r="P182" i="6"/>
  <c r="Q182" i="6"/>
  <c r="R182" i="6"/>
  <c r="S182" i="6"/>
  <c r="T182" i="6"/>
  <c r="U182" i="6"/>
  <c r="V182" i="6"/>
  <c r="W182" i="6"/>
  <c r="X182" i="6"/>
  <c r="Y182" i="6"/>
  <c r="Z182" i="6"/>
  <c r="D183" i="6"/>
  <c r="E183" i="6"/>
  <c r="F183" i="6"/>
  <c r="G183" i="6"/>
  <c r="H183" i="6"/>
  <c r="I183" i="6"/>
  <c r="J183" i="6"/>
  <c r="K183" i="6"/>
  <c r="L183" i="6"/>
  <c r="M183" i="6"/>
  <c r="N183" i="6"/>
  <c r="O183" i="6"/>
  <c r="P183" i="6"/>
  <c r="Q183" i="6"/>
  <c r="R183" i="6"/>
  <c r="S183" i="6"/>
  <c r="T183" i="6"/>
  <c r="U183" i="6"/>
  <c r="V183" i="6"/>
  <c r="W183" i="6"/>
  <c r="X183" i="6"/>
  <c r="Y183" i="6"/>
  <c r="Z183" i="6"/>
  <c r="D184" i="6"/>
  <c r="E184" i="6"/>
  <c r="F184" i="6"/>
  <c r="G184" i="6"/>
  <c r="H184" i="6"/>
  <c r="I184" i="6"/>
  <c r="J184" i="6"/>
  <c r="K184" i="6"/>
  <c r="L184" i="6"/>
  <c r="M184" i="6"/>
  <c r="N184" i="6"/>
  <c r="O184" i="6"/>
  <c r="P184" i="6"/>
  <c r="Q184" i="6"/>
  <c r="R184" i="6"/>
  <c r="S184" i="6"/>
  <c r="T184" i="6"/>
  <c r="U184" i="6"/>
  <c r="V184" i="6"/>
  <c r="W184" i="6"/>
  <c r="X184" i="6"/>
  <c r="Y184" i="6"/>
  <c r="Z184" i="6"/>
  <c r="D185" i="6"/>
  <c r="E185" i="6"/>
  <c r="F185" i="6"/>
  <c r="G185" i="6"/>
  <c r="H185" i="6"/>
  <c r="I185" i="6"/>
  <c r="J185" i="6"/>
  <c r="K185" i="6"/>
  <c r="L185" i="6"/>
  <c r="M185" i="6"/>
  <c r="N185" i="6"/>
  <c r="O185" i="6"/>
  <c r="P185" i="6"/>
  <c r="Q185" i="6"/>
  <c r="R185" i="6"/>
  <c r="S185" i="6"/>
  <c r="T185" i="6"/>
  <c r="U185" i="6"/>
  <c r="V185" i="6"/>
  <c r="W185" i="6"/>
  <c r="X185" i="6"/>
  <c r="Y185" i="6"/>
  <c r="Z185" i="6"/>
  <c r="D186" i="6"/>
  <c r="E186" i="6"/>
  <c r="F186" i="6"/>
  <c r="G186" i="6"/>
  <c r="H186" i="6"/>
  <c r="I186" i="6"/>
  <c r="J186" i="6"/>
  <c r="K186" i="6"/>
  <c r="L186" i="6"/>
  <c r="M186" i="6"/>
  <c r="N186" i="6"/>
  <c r="O186" i="6"/>
  <c r="P186" i="6"/>
  <c r="Q186" i="6"/>
  <c r="R186" i="6"/>
  <c r="S186" i="6"/>
  <c r="T186" i="6"/>
  <c r="U186" i="6"/>
  <c r="V186" i="6"/>
  <c r="W186" i="6"/>
  <c r="X186" i="6"/>
  <c r="Y186" i="6"/>
  <c r="Z186" i="6"/>
  <c r="D187" i="6"/>
  <c r="E187" i="6"/>
  <c r="F187" i="6"/>
  <c r="G187" i="6"/>
  <c r="H187" i="6"/>
  <c r="I187" i="6"/>
  <c r="J187" i="6"/>
  <c r="K187" i="6"/>
  <c r="L187" i="6"/>
  <c r="M187" i="6"/>
  <c r="N187" i="6"/>
  <c r="O187" i="6"/>
  <c r="P187" i="6"/>
  <c r="Q187" i="6"/>
  <c r="R187" i="6"/>
  <c r="S187" i="6"/>
  <c r="T187" i="6"/>
  <c r="U187" i="6"/>
  <c r="V187" i="6"/>
  <c r="W187" i="6"/>
  <c r="X187" i="6"/>
  <c r="Y187" i="6"/>
  <c r="Z187" i="6"/>
  <c r="D188" i="6"/>
  <c r="E188" i="6"/>
  <c r="F188" i="6"/>
  <c r="G188" i="6"/>
  <c r="H188" i="6"/>
  <c r="I188" i="6"/>
  <c r="J188" i="6"/>
  <c r="K188" i="6"/>
  <c r="L188" i="6"/>
  <c r="M188" i="6"/>
  <c r="N188" i="6"/>
  <c r="O188" i="6"/>
  <c r="P188" i="6"/>
  <c r="Q188" i="6"/>
  <c r="R188" i="6"/>
  <c r="S188" i="6"/>
  <c r="T188" i="6"/>
  <c r="U188" i="6"/>
  <c r="V188" i="6"/>
  <c r="W188" i="6"/>
  <c r="X188" i="6"/>
  <c r="Y188" i="6"/>
  <c r="Z188" i="6"/>
  <c r="D189" i="6"/>
  <c r="E189" i="6"/>
  <c r="F189" i="6"/>
  <c r="G189" i="6"/>
  <c r="H189" i="6"/>
  <c r="I189" i="6"/>
  <c r="J189" i="6"/>
  <c r="K189" i="6"/>
  <c r="L189" i="6"/>
  <c r="M189" i="6"/>
  <c r="N189" i="6"/>
  <c r="O189" i="6"/>
  <c r="P189" i="6"/>
  <c r="Q189" i="6"/>
  <c r="R189" i="6"/>
  <c r="S189" i="6"/>
  <c r="T189" i="6"/>
  <c r="U189" i="6"/>
  <c r="V189" i="6"/>
  <c r="W189" i="6"/>
  <c r="X189" i="6"/>
  <c r="Y189" i="6"/>
  <c r="Z189" i="6"/>
  <c r="D190" i="6"/>
  <c r="E190" i="6"/>
  <c r="F190" i="6"/>
  <c r="G190" i="6"/>
  <c r="H190" i="6"/>
  <c r="I190" i="6"/>
  <c r="J190" i="6"/>
  <c r="K190" i="6"/>
  <c r="L190" i="6"/>
  <c r="M190" i="6"/>
  <c r="N190" i="6"/>
  <c r="O190" i="6"/>
  <c r="P190" i="6"/>
  <c r="Q190" i="6"/>
  <c r="R190" i="6"/>
  <c r="S190" i="6"/>
  <c r="T190" i="6"/>
  <c r="U190" i="6"/>
  <c r="V190" i="6"/>
  <c r="W190" i="6"/>
  <c r="X190" i="6"/>
  <c r="Y190" i="6"/>
  <c r="Z190" i="6"/>
  <c r="D191" i="6"/>
  <c r="E191" i="6"/>
  <c r="F191" i="6"/>
  <c r="G191" i="6"/>
  <c r="H191" i="6"/>
  <c r="I191" i="6"/>
  <c r="J191" i="6"/>
  <c r="K191" i="6"/>
  <c r="L191" i="6"/>
  <c r="M191" i="6"/>
  <c r="N191" i="6"/>
  <c r="O191" i="6"/>
  <c r="P191" i="6"/>
  <c r="Q191" i="6"/>
  <c r="R191" i="6"/>
  <c r="S191" i="6"/>
  <c r="T191" i="6"/>
  <c r="U191" i="6"/>
  <c r="V191" i="6"/>
  <c r="W191" i="6"/>
  <c r="X191" i="6"/>
  <c r="Y191" i="6"/>
  <c r="Z191" i="6"/>
  <c r="D192" i="6"/>
  <c r="E192" i="6"/>
  <c r="F192" i="6"/>
  <c r="G192" i="6"/>
  <c r="H192" i="6"/>
  <c r="I192" i="6"/>
  <c r="J192" i="6"/>
  <c r="K192" i="6"/>
  <c r="L192" i="6"/>
  <c r="M192" i="6"/>
  <c r="N192" i="6"/>
  <c r="O192" i="6"/>
  <c r="P192" i="6"/>
  <c r="Q192" i="6"/>
  <c r="R192" i="6"/>
  <c r="S192" i="6"/>
  <c r="T192" i="6"/>
  <c r="U192" i="6"/>
  <c r="V192" i="6"/>
  <c r="W192" i="6"/>
  <c r="X192" i="6"/>
  <c r="Y192" i="6"/>
  <c r="Z192" i="6"/>
  <c r="D193" i="6"/>
  <c r="E193" i="6"/>
  <c r="F193" i="6"/>
  <c r="G193" i="6"/>
  <c r="H193" i="6"/>
  <c r="I193" i="6"/>
  <c r="J193" i="6"/>
  <c r="K193" i="6"/>
  <c r="L193" i="6"/>
  <c r="M193" i="6"/>
  <c r="N193" i="6"/>
  <c r="O193" i="6"/>
  <c r="P193" i="6"/>
  <c r="Q193" i="6"/>
  <c r="R193" i="6"/>
  <c r="S193" i="6"/>
  <c r="T193" i="6"/>
  <c r="U193" i="6"/>
  <c r="V193" i="6"/>
  <c r="W193" i="6"/>
  <c r="X193" i="6"/>
  <c r="Y193" i="6"/>
  <c r="Z193" i="6"/>
  <c r="D194" i="6"/>
  <c r="E194" i="6"/>
  <c r="F194" i="6"/>
  <c r="G194" i="6"/>
  <c r="H194" i="6"/>
  <c r="I194" i="6"/>
  <c r="J194" i="6"/>
  <c r="K194" i="6"/>
  <c r="L194" i="6"/>
  <c r="M194" i="6"/>
  <c r="N194" i="6"/>
  <c r="O194" i="6"/>
  <c r="P194" i="6"/>
  <c r="Q194" i="6"/>
  <c r="R194" i="6"/>
  <c r="S194" i="6"/>
  <c r="T194" i="6"/>
  <c r="U194" i="6"/>
  <c r="V194" i="6"/>
  <c r="W194" i="6"/>
  <c r="X194" i="6"/>
  <c r="Y194" i="6"/>
  <c r="Z194" i="6"/>
  <c r="D195" i="6"/>
  <c r="E195" i="6"/>
  <c r="F195" i="6"/>
  <c r="G195" i="6"/>
  <c r="H195" i="6"/>
  <c r="I195" i="6"/>
  <c r="J195" i="6"/>
  <c r="K195" i="6"/>
  <c r="L195" i="6"/>
  <c r="M195" i="6"/>
  <c r="N195" i="6"/>
  <c r="O195" i="6"/>
  <c r="P195" i="6"/>
  <c r="Q195" i="6"/>
  <c r="R195" i="6"/>
  <c r="S195" i="6"/>
  <c r="T195" i="6"/>
  <c r="U195" i="6"/>
  <c r="V195" i="6"/>
  <c r="W195" i="6"/>
  <c r="X195" i="6"/>
  <c r="Y195" i="6"/>
  <c r="Z195" i="6"/>
  <c r="D196" i="6"/>
  <c r="E196" i="6"/>
  <c r="F196" i="6"/>
  <c r="G196" i="6"/>
  <c r="H196" i="6"/>
  <c r="I196" i="6"/>
  <c r="J196" i="6"/>
  <c r="K196" i="6"/>
  <c r="L196" i="6"/>
  <c r="M196" i="6"/>
  <c r="N196" i="6"/>
  <c r="O196" i="6"/>
  <c r="P196" i="6"/>
  <c r="Q196" i="6"/>
  <c r="R196" i="6"/>
  <c r="S196" i="6"/>
  <c r="T196" i="6"/>
  <c r="U196" i="6"/>
  <c r="V196" i="6"/>
  <c r="W196" i="6"/>
  <c r="X196" i="6"/>
  <c r="Y196" i="6"/>
  <c r="Z196" i="6"/>
  <c r="D197" i="6"/>
  <c r="E197" i="6"/>
  <c r="F197" i="6"/>
  <c r="G197" i="6"/>
  <c r="H197" i="6"/>
  <c r="I197" i="6"/>
  <c r="J197" i="6"/>
  <c r="K197" i="6"/>
  <c r="L197" i="6"/>
  <c r="M197" i="6"/>
  <c r="N197" i="6"/>
  <c r="O197" i="6"/>
  <c r="P197" i="6"/>
  <c r="Q197" i="6"/>
  <c r="R197" i="6"/>
  <c r="S197" i="6"/>
  <c r="T197" i="6"/>
  <c r="U197" i="6"/>
  <c r="V197" i="6"/>
  <c r="W197" i="6"/>
  <c r="X197" i="6"/>
  <c r="Y197" i="6"/>
  <c r="Z197" i="6"/>
  <c r="D198" i="6"/>
  <c r="E198" i="6"/>
  <c r="F198" i="6"/>
  <c r="G198" i="6"/>
  <c r="H198" i="6"/>
  <c r="I198" i="6"/>
  <c r="J198" i="6"/>
  <c r="K198" i="6"/>
  <c r="L198" i="6"/>
  <c r="M198" i="6"/>
  <c r="N198" i="6"/>
  <c r="O198" i="6"/>
  <c r="P198" i="6"/>
  <c r="Q198" i="6"/>
  <c r="R198" i="6"/>
  <c r="S198" i="6"/>
  <c r="T198" i="6"/>
  <c r="U198" i="6"/>
  <c r="V198" i="6"/>
  <c r="W198" i="6"/>
  <c r="X198" i="6"/>
  <c r="Y198" i="6"/>
  <c r="Z198" i="6"/>
  <c r="D199" i="6"/>
  <c r="E199" i="6"/>
  <c r="F199" i="6"/>
  <c r="G199" i="6"/>
  <c r="H199" i="6"/>
  <c r="I199" i="6"/>
  <c r="J199" i="6"/>
  <c r="K199" i="6"/>
  <c r="L199" i="6"/>
  <c r="M199" i="6"/>
  <c r="N199" i="6"/>
  <c r="O199" i="6"/>
  <c r="P199" i="6"/>
  <c r="Q199" i="6"/>
  <c r="R199" i="6"/>
  <c r="S199" i="6"/>
  <c r="T199" i="6"/>
  <c r="U199" i="6"/>
  <c r="V199" i="6"/>
  <c r="W199" i="6"/>
  <c r="X199" i="6"/>
  <c r="Y199" i="6"/>
  <c r="Z199" i="6"/>
  <c r="D200" i="6"/>
  <c r="E200" i="6"/>
  <c r="F200" i="6"/>
  <c r="G200" i="6"/>
  <c r="H200" i="6"/>
  <c r="I200" i="6"/>
  <c r="J200" i="6"/>
  <c r="K200" i="6"/>
  <c r="L200" i="6"/>
  <c r="M200" i="6"/>
  <c r="N200" i="6"/>
  <c r="O200" i="6"/>
  <c r="P200" i="6"/>
  <c r="Q200" i="6"/>
  <c r="R200" i="6"/>
  <c r="S200" i="6"/>
  <c r="T200" i="6"/>
  <c r="U200" i="6"/>
  <c r="V200" i="6"/>
  <c r="W200" i="6"/>
  <c r="X200" i="6"/>
  <c r="Y200" i="6"/>
  <c r="Z200" i="6"/>
  <c r="D201" i="6"/>
  <c r="E201" i="6"/>
  <c r="F201" i="6"/>
  <c r="G201" i="6"/>
  <c r="H201" i="6"/>
  <c r="I201" i="6"/>
  <c r="J201" i="6"/>
  <c r="K201" i="6"/>
  <c r="L201" i="6"/>
  <c r="M201" i="6"/>
  <c r="N201" i="6"/>
  <c r="O201" i="6"/>
  <c r="P201" i="6"/>
  <c r="Q201" i="6"/>
  <c r="R201" i="6"/>
  <c r="S201" i="6"/>
  <c r="T201" i="6"/>
  <c r="U201" i="6"/>
  <c r="V201" i="6"/>
  <c r="W201" i="6"/>
  <c r="X201" i="6"/>
  <c r="Y201" i="6"/>
  <c r="Z201" i="6"/>
  <c r="D202" i="6"/>
  <c r="E202" i="6"/>
  <c r="F202" i="6"/>
  <c r="G202" i="6"/>
  <c r="H202" i="6"/>
  <c r="I202" i="6"/>
  <c r="J202" i="6"/>
  <c r="K202" i="6"/>
  <c r="L202" i="6"/>
  <c r="M202" i="6"/>
  <c r="N202" i="6"/>
  <c r="O202" i="6"/>
  <c r="P202" i="6"/>
  <c r="Q202" i="6"/>
  <c r="R202" i="6"/>
  <c r="S202" i="6"/>
  <c r="T202" i="6"/>
  <c r="U202" i="6"/>
  <c r="V202" i="6"/>
  <c r="W202" i="6"/>
  <c r="X202" i="6"/>
  <c r="Y202" i="6"/>
  <c r="Z202" i="6"/>
  <c r="D203" i="6"/>
  <c r="E203" i="6"/>
  <c r="F203" i="6"/>
  <c r="G203" i="6"/>
  <c r="H203" i="6"/>
  <c r="I203" i="6"/>
  <c r="J203" i="6"/>
  <c r="K203" i="6"/>
  <c r="L203" i="6"/>
  <c r="M203" i="6"/>
  <c r="N203" i="6"/>
  <c r="O203" i="6"/>
  <c r="P203" i="6"/>
  <c r="Q203" i="6"/>
  <c r="R203" i="6"/>
  <c r="S203" i="6"/>
  <c r="T203" i="6"/>
  <c r="U203" i="6"/>
  <c r="V203" i="6"/>
  <c r="W203" i="6"/>
  <c r="X203" i="6"/>
  <c r="Y203" i="6"/>
  <c r="Z203" i="6"/>
  <c r="D204" i="6"/>
  <c r="E204" i="6"/>
  <c r="F204" i="6"/>
  <c r="G204" i="6"/>
  <c r="H204" i="6"/>
  <c r="I204" i="6"/>
  <c r="J204" i="6"/>
  <c r="K204" i="6"/>
  <c r="L204" i="6"/>
  <c r="M204" i="6"/>
  <c r="N204" i="6"/>
  <c r="O204" i="6"/>
  <c r="P204" i="6"/>
  <c r="Q204" i="6"/>
  <c r="R204" i="6"/>
  <c r="S204" i="6"/>
  <c r="T204" i="6"/>
  <c r="U204" i="6"/>
  <c r="V204" i="6"/>
  <c r="W204" i="6"/>
  <c r="X204" i="6"/>
  <c r="Y204" i="6"/>
  <c r="Z204" i="6"/>
  <c r="D205" i="6"/>
  <c r="E205" i="6"/>
  <c r="F205" i="6"/>
  <c r="G205" i="6"/>
  <c r="H205" i="6"/>
  <c r="I205" i="6"/>
  <c r="J205" i="6"/>
  <c r="K205" i="6"/>
  <c r="L205" i="6"/>
  <c r="M205" i="6"/>
  <c r="N205" i="6"/>
  <c r="O205" i="6"/>
  <c r="P205" i="6"/>
  <c r="Q205" i="6"/>
  <c r="R205" i="6"/>
  <c r="S205" i="6"/>
  <c r="T205" i="6"/>
  <c r="U205" i="6"/>
  <c r="V205" i="6"/>
  <c r="W205" i="6"/>
  <c r="X205" i="6"/>
  <c r="Y205" i="6"/>
  <c r="Z205" i="6"/>
  <c r="D206" i="6"/>
  <c r="E206" i="6"/>
  <c r="F206" i="6"/>
  <c r="G206" i="6"/>
  <c r="H206" i="6"/>
  <c r="I206" i="6"/>
  <c r="J206" i="6"/>
  <c r="K206" i="6"/>
  <c r="L206" i="6"/>
  <c r="M206" i="6"/>
  <c r="N206" i="6"/>
  <c r="O206" i="6"/>
  <c r="P206" i="6"/>
  <c r="Q206" i="6"/>
  <c r="R206" i="6"/>
  <c r="S206" i="6"/>
  <c r="T206" i="6"/>
  <c r="U206" i="6"/>
  <c r="V206" i="6"/>
  <c r="W206" i="6"/>
  <c r="X206" i="6"/>
  <c r="Y206" i="6"/>
  <c r="Z206" i="6"/>
  <c r="D207" i="6"/>
  <c r="E207" i="6"/>
  <c r="F207" i="6"/>
  <c r="G207" i="6"/>
  <c r="H207" i="6"/>
  <c r="I207" i="6"/>
  <c r="J207" i="6"/>
  <c r="K207" i="6"/>
  <c r="L207" i="6"/>
  <c r="M207" i="6"/>
  <c r="N207" i="6"/>
  <c r="O207" i="6"/>
  <c r="P207" i="6"/>
  <c r="Q207" i="6"/>
  <c r="R207" i="6"/>
  <c r="S207" i="6"/>
  <c r="T207" i="6"/>
  <c r="U207" i="6"/>
  <c r="V207" i="6"/>
  <c r="W207" i="6"/>
  <c r="X207" i="6"/>
  <c r="Y207" i="6"/>
  <c r="Z207" i="6"/>
  <c r="D208" i="6"/>
  <c r="E208" i="6"/>
  <c r="F208" i="6"/>
  <c r="G208" i="6"/>
  <c r="H208" i="6"/>
  <c r="I208" i="6"/>
  <c r="J208" i="6"/>
  <c r="K208" i="6"/>
  <c r="L208" i="6"/>
  <c r="M208" i="6"/>
  <c r="N208" i="6"/>
  <c r="O208" i="6"/>
  <c r="P208" i="6"/>
  <c r="Q208" i="6"/>
  <c r="R208" i="6"/>
  <c r="S208" i="6"/>
  <c r="T208" i="6"/>
  <c r="U208" i="6"/>
  <c r="V208" i="6"/>
  <c r="W208" i="6"/>
  <c r="X208" i="6"/>
  <c r="Y208" i="6"/>
  <c r="Z208" i="6"/>
  <c r="D209" i="6"/>
  <c r="E209" i="6"/>
  <c r="F209" i="6"/>
  <c r="G209" i="6"/>
  <c r="H209" i="6"/>
  <c r="I209" i="6"/>
  <c r="J209" i="6"/>
  <c r="K209" i="6"/>
  <c r="L209" i="6"/>
  <c r="M209" i="6"/>
  <c r="N209" i="6"/>
  <c r="O209" i="6"/>
  <c r="P209" i="6"/>
  <c r="Q209" i="6"/>
  <c r="R209" i="6"/>
  <c r="S209" i="6"/>
  <c r="T209" i="6"/>
  <c r="U209" i="6"/>
  <c r="V209" i="6"/>
  <c r="W209" i="6"/>
  <c r="X209" i="6"/>
  <c r="Y209" i="6"/>
  <c r="Z209" i="6"/>
  <c r="D210" i="6"/>
  <c r="E210" i="6"/>
  <c r="F210" i="6"/>
  <c r="G210" i="6"/>
  <c r="H210" i="6"/>
  <c r="I210" i="6"/>
  <c r="J210" i="6"/>
  <c r="K210" i="6"/>
  <c r="L210" i="6"/>
  <c r="M210" i="6"/>
  <c r="N210" i="6"/>
  <c r="O210" i="6"/>
  <c r="P210" i="6"/>
  <c r="Q210" i="6"/>
  <c r="R210" i="6"/>
  <c r="S210" i="6"/>
  <c r="T210" i="6"/>
  <c r="U210" i="6"/>
  <c r="V210" i="6"/>
  <c r="W210" i="6"/>
  <c r="X210" i="6"/>
  <c r="Y210" i="6"/>
  <c r="Z210" i="6"/>
  <c r="D211" i="6"/>
  <c r="E211" i="6"/>
  <c r="F211" i="6"/>
  <c r="G211" i="6"/>
  <c r="H211" i="6"/>
  <c r="I211" i="6"/>
  <c r="J211" i="6"/>
  <c r="K211" i="6"/>
  <c r="L211" i="6"/>
  <c r="M211" i="6"/>
  <c r="N211" i="6"/>
  <c r="O211" i="6"/>
  <c r="P211" i="6"/>
  <c r="Q211" i="6"/>
  <c r="R211" i="6"/>
  <c r="S211" i="6"/>
  <c r="T211" i="6"/>
  <c r="U211" i="6"/>
  <c r="V211" i="6"/>
  <c r="W211" i="6"/>
  <c r="X211" i="6"/>
  <c r="Y211" i="6"/>
  <c r="Z211" i="6"/>
  <c r="D212" i="6"/>
  <c r="E212" i="6"/>
  <c r="F212" i="6"/>
  <c r="G212" i="6"/>
  <c r="H212" i="6"/>
  <c r="I212" i="6"/>
  <c r="J212" i="6"/>
  <c r="K212" i="6"/>
  <c r="L212" i="6"/>
  <c r="M212" i="6"/>
  <c r="N212" i="6"/>
  <c r="O212" i="6"/>
  <c r="P212" i="6"/>
  <c r="Q212" i="6"/>
  <c r="R212" i="6"/>
  <c r="S212" i="6"/>
  <c r="T212" i="6"/>
  <c r="U212" i="6"/>
  <c r="V212" i="6"/>
  <c r="W212" i="6"/>
  <c r="X212" i="6"/>
  <c r="Y212" i="6"/>
  <c r="Z212" i="6"/>
  <c r="D213" i="6"/>
  <c r="E213" i="6"/>
  <c r="F213" i="6"/>
  <c r="G213" i="6"/>
  <c r="H213" i="6"/>
  <c r="I213" i="6"/>
  <c r="J213" i="6"/>
  <c r="K213" i="6"/>
  <c r="L213" i="6"/>
  <c r="M213" i="6"/>
  <c r="N213" i="6"/>
  <c r="O213" i="6"/>
  <c r="P213" i="6"/>
  <c r="Q213" i="6"/>
  <c r="R213" i="6"/>
  <c r="S213" i="6"/>
  <c r="T213" i="6"/>
  <c r="U213" i="6"/>
  <c r="V213" i="6"/>
  <c r="W213" i="6"/>
  <c r="X213" i="6"/>
  <c r="Y213" i="6"/>
  <c r="Z213" i="6"/>
  <c r="D214" i="6"/>
  <c r="E214" i="6"/>
  <c r="F214" i="6"/>
  <c r="G214" i="6"/>
  <c r="H214" i="6"/>
  <c r="I214" i="6"/>
  <c r="J214" i="6"/>
  <c r="K214" i="6"/>
  <c r="L214" i="6"/>
  <c r="M214" i="6"/>
  <c r="N214" i="6"/>
  <c r="O214" i="6"/>
  <c r="P214" i="6"/>
  <c r="Q214" i="6"/>
  <c r="R214" i="6"/>
  <c r="S214" i="6"/>
  <c r="T214" i="6"/>
  <c r="U214" i="6"/>
  <c r="V214" i="6"/>
  <c r="W214" i="6"/>
  <c r="X214" i="6"/>
  <c r="Y214" i="6"/>
  <c r="Z214" i="6"/>
  <c r="D215" i="6"/>
  <c r="E215" i="6"/>
  <c r="F215" i="6"/>
  <c r="G215" i="6"/>
  <c r="H215" i="6"/>
  <c r="I215" i="6"/>
  <c r="J215" i="6"/>
  <c r="K215" i="6"/>
  <c r="L215" i="6"/>
  <c r="M215" i="6"/>
  <c r="N215" i="6"/>
  <c r="O215" i="6"/>
  <c r="P215" i="6"/>
  <c r="Q215" i="6"/>
  <c r="R215" i="6"/>
  <c r="S215" i="6"/>
  <c r="T215" i="6"/>
  <c r="U215" i="6"/>
  <c r="V215" i="6"/>
  <c r="W215" i="6"/>
  <c r="X215" i="6"/>
  <c r="Y215" i="6"/>
  <c r="Z215" i="6"/>
  <c r="D216" i="6"/>
  <c r="E216" i="6"/>
  <c r="F216" i="6"/>
  <c r="G216" i="6"/>
  <c r="H216" i="6"/>
  <c r="I216" i="6"/>
  <c r="J216" i="6"/>
  <c r="K216" i="6"/>
  <c r="L216" i="6"/>
  <c r="M216" i="6"/>
  <c r="N216" i="6"/>
  <c r="O216" i="6"/>
  <c r="P216" i="6"/>
  <c r="Q216" i="6"/>
  <c r="R216" i="6"/>
  <c r="S216" i="6"/>
  <c r="T216" i="6"/>
  <c r="U216" i="6"/>
  <c r="V216" i="6"/>
  <c r="W216" i="6"/>
  <c r="X216" i="6"/>
  <c r="Y216" i="6"/>
  <c r="Z216" i="6"/>
  <c r="D217" i="6"/>
  <c r="E217" i="6"/>
  <c r="F217" i="6"/>
  <c r="G217" i="6"/>
  <c r="H217" i="6"/>
  <c r="I217" i="6"/>
  <c r="J217" i="6"/>
  <c r="K217" i="6"/>
  <c r="L217" i="6"/>
  <c r="M217" i="6"/>
  <c r="N217" i="6"/>
  <c r="O217" i="6"/>
  <c r="P217" i="6"/>
  <c r="Q217" i="6"/>
  <c r="R217" i="6"/>
  <c r="S217" i="6"/>
  <c r="T217" i="6"/>
  <c r="U217" i="6"/>
  <c r="V217" i="6"/>
  <c r="W217" i="6"/>
  <c r="X217" i="6"/>
  <c r="Y217" i="6"/>
  <c r="Z217" i="6"/>
  <c r="D218" i="6"/>
  <c r="E218" i="6"/>
  <c r="F218" i="6"/>
  <c r="G218" i="6"/>
  <c r="H218" i="6"/>
  <c r="I218" i="6"/>
  <c r="J218" i="6"/>
  <c r="K218" i="6"/>
  <c r="L218" i="6"/>
  <c r="M218" i="6"/>
  <c r="N218" i="6"/>
  <c r="O218" i="6"/>
  <c r="P218" i="6"/>
  <c r="Q218" i="6"/>
  <c r="R218" i="6"/>
  <c r="S218" i="6"/>
  <c r="T218" i="6"/>
  <c r="U218" i="6"/>
  <c r="V218" i="6"/>
  <c r="W218" i="6"/>
  <c r="X218" i="6"/>
  <c r="Y218" i="6"/>
  <c r="Z218" i="6"/>
  <c r="D219" i="6"/>
  <c r="E219" i="6"/>
  <c r="F219" i="6"/>
  <c r="G219" i="6"/>
  <c r="H219" i="6"/>
  <c r="I219" i="6"/>
  <c r="J219" i="6"/>
  <c r="K219" i="6"/>
  <c r="L219" i="6"/>
  <c r="M219" i="6"/>
  <c r="N219" i="6"/>
  <c r="O219" i="6"/>
  <c r="P219" i="6"/>
  <c r="Q219" i="6"/>
  <c r="R219" i="6"/>
  <c r="S219" i="6"/>
  <c r="T219" i="6"/>
  <c r="U219" i="6"/>
  <c r="V219" i="6"/>
  <c r="W219" i="6"/>
  <c r="X219" i="6"/>
  <c r="Y219" i="6"/>
  <c r="Z219" i="6"/>
  <c r="D220" i="6"/>
  <c r="E220" i="6"/>
  <c r="F220" i="6"/>
  <c r="G220" i="6"/>
  <c r="H220" i="6"/>
  <c r="I220" i="6"/>
  <c r="J220" i="6"/>
  <c r="K220" i="6"/>
  <c r="L220" i="6"/>
  <c r="M220" i="6"/>
  <c r="N220" i="6"/>
  <c r="O220" i="6"/>
  <c r="P220" i="6"/>
  <c r="Q220" i="6"/>
  <c r="R220" i="6"/>
  <c r="S220" i="6"/>
  <c r="T220" i="6"/>
  <c r="U220" i="6"/>
  <c r="V220" i="6"/>
  <c r="W220" i="6"/>
  <c r="X220" i="6"/>
  <c r="Y220" i="6"/>
  <c r="Z220" i="6"/>
  <c r="D221" i="6"/>
  <c r="E221" i="6"/>
  <c r="F221" i="6"/>
  <c r="G221" i="6"/>
  <c r="H221" i="6"/>
  <c r="I221" i="6"/>
  <c r="J221" i="6"/>
  <c r="K221" i="6"/>
  <c r="L221" i="6"/>
  <c r="M221" i="6"/>
  <c r="N221" i="6"/>
  <c r="O221" i="6"/>
  <c r="P221" i="6"/>
  <c r="Q221" i="6"/>
  <c r="R221" i="6"/>
  <c r="S221" i="6"/>
  <c r="T221" i="6"/>
  <c r="U221" i="6"/>
  <c r="V221" i="6"/>
  <c r="W221" i="6"/>
  <c r="X221" i="6"/>
  <c r="Y221" i="6"/>
  <c r="Z221" i="6"/>
  <c r="D222" i="6"/>
  <c r="E222" i="6"/>
  <c r="F222" i="6"/>
  <c r="G222" i="6"/>
  <c r="H222" i="6"/>
  <c r="I222" i="6"/>
  <c r="J222" i="6"/>
  <c r="K222" i="6"/>
  <c r="L222" i="6"/>
  <c r="M222" i="6"/>
  <c r="N222" i="6"/>
  <c r="O222" i="6"/>
  <c r="P222" i="6"/>
  <c r="Q222" i="6"/>
  <c r="R222" i="6"/>
  <c r="S222" i="6"/>
  <c r="T222" i="6"/>
  <c r="U222" i="6"/>
  <c r="V222" i="6"/>
  <c r="W222" i="6"/>
  <c r="X222" i="6"/>
  <c r="Y222" i="6"/>
  <c r="Z222" i="6"/>
  <c r="D223" i="6"/>
  <c r="E223" i="6"/>
  <c r="F223" i="6"/>
  <c r="G223" i="6"/>
  <c r="H223" i="6"/>
  <c r="I223" i="6"/>
  <c r="J223" i="6"/>
  <c r="K223" i="6"/>
  <c r="L223" i="6"/>
  <c r="M223" i="6"/>
  <c r="N223" i="6"/>
  <c r="O223" i="6"/>
  <c r="P223" i="6"/>
  <c r="Q223" i="6"/>
  <c r="R223" i="6"/>
  <c r="S223" i="6"/>
  <c r="T223" i="6"/>
  <c r="U223" i="6"/>
  <c r="V223" i="6"/>
  <c r="W223" i="6"/>
  <c r="X223" i="6"/>
  <c r="Y223" i="6"/>
  <c r="Z223" i="6"/>
  <c r="D224" i="6"/>
  <c r="E224" i="6"/>
  <c r="F224" i="6"/>
  <c r="G224" i="6"/>
  <c r="H224" i="6"/>
  <c r="I224" i="6"/>
  <c r="J224" i="6"/>
  <c r="K224" i="6"/>
  <c r="L224" i="6"/>
  <c r="M224" i="6"/>
  <c r="N224" i="6"/>
  <c r="O224" i="6"/>
  <c r="P224" i="6"/>
  <c r="Q224" i="6"/>
  <c r="R224" i="6"/>
  <c r="S224" i="6"/>
  <c r="T224" i="6"/>
  <c r="U224" i="6"/>
  <c r="V224" i="6"/>
  <c r="W224" i="6"/>
  <c r="X224" i="6"/>
  <c r="Y224" i="6"/>
  <c r="Z224" i="6"/>
  <c r="D225" i="6"/>
  <c r="E225" i="6"/>
  <c r="F225" i="6"/>
  <c r="G225" i="6"/>
  <c r="H225" i="6"/>
  <c r="I225" i="6"/>
  <c r="J225" i="6"/>
  <c r="K225" i="6"/>
  <c r="L225" i="6"/>
  <c r="M225" i="6"/>
  <c r="N225" i="6"/>
  <c r="O225" i="6"/>
  <c r="P225" i="6"/>
  <c r="Q225" i="6"/>
  <c r="R225" i="6"/>
  <c r="S225" i="6"/>
  <c r="T225" i="6"/>
  <c r="U225" i="6"/>
  <c r="V225" i="6"/>
  <c r="W225" i="6"/>
  <c r="X225" i="6"/>
  <c r="Y225" i="6"/>
  <c r="Z225" i="6"/>
  <c r="D226" i="6"/>
  <c r="E226" i="6"/>
  <c r="F226" i="6"/>
  <c r="G226" i="6"/>
  <c r="H226" i="6"/>
  <c r="I226" i="6"/>
  <c r="J226" i="6"/>
  <c r="K226" i="6"/>
  <c r="L226" i="6"/>
  <c r="M226" i="6"/>
  <c r="N226" i="6"/>
  <c r="O226" i="6"/>
  <c r="P226" i="6"/>
  <c r="Q226" i="6"/>
  <c r="R226" i="6"/>
  <c r="S226" i="6"/>
  <c r="T226" i="6"/>
  <c r="U226" i="6"/>
  <c r="V226" i="6"/>
  <c r="W226" i="6"/>
  <c r="X226" i="6"/>
  <c r="Y226" i="6"/>
  <c r="Z226" i="6"/>
  <c r="D227" i="6"/>
  <c r="E227" i="6"/>
  <c r="F227" i="6"/>
  <c r="G227" i="6"/>
  <c r="H227" i="6"/>
  <c r="I227" i="6"/>
  <c r="J227" i="6"/>
  <c r="K227" i="6"/>
  <c r="L227" i="6"/>
  <c r="M227" i="6"/>
  <c r="N227" i="6"/>
  <c r="O227" i="6"/>
  <c r="P227" i="6"/>
  <c r="Q227" i="6"/>
  <c r="R227" i="6"/>
  <c r="S227" i="6"/>
  <c r="T227" i="6"/>
  <c r="U227" i="6"/>
  <c r="V227" i="6"/>
  <c r="W227" i="6"/>
  <c r="X227" i="6"/>
  <c r="Y227" i="6"/>
  <c r="Z227" i="6"/>
  <c r="D228" i="6"/>
  <c r="E228" i="6"/>
  <c r="F228" i="6"/>
  <c r="G228" i="6"/>
  <c r="H228" i="6"/>
  <c r="I228" i="6"/>
  <c r="J228" i="6"/>
  <c r="K228" i="6"/>
  <c r="L228" i="6"/>
  <c r="M228" i="6"/>
  <c r="N228" i="6"/>
  <c r="O228" i="6"/>
  <c r="P228" i="6"/>
  <c r="Q228" i="6"/>
  <c r="R228" i="6"/>
  <c r="S228" i="6"/>
  <c r="T228" i="6"/>
  <c r="U228" i="6"/>
  <c r="V228" i="6"/>
  <c r="W228" i="6"/>
  <c r="X228" i="6"/>
  <c r="Y228" i="6"/>
  <c r="Z228" i="6"/>
  <c r="D229" i="6"/>
  <c r="E229" i="6"/>
  <c r="F229" i="6"/>
  <c r="G229" i="6"/>
  <c r="H229" i="6"/>
  <c r="I229" i="6"/>
  <c r="J229" i="6"/>
  <c r="K229" i="6"/>
  <c r="L229" i="6"/>
  <c r="M229" i="6"/>
  <c r="N229" i="6"/>
  <c r="O229" i="6"/>
  <c r="P229" i="6"/>
  <c r="Q229" i="6"/>
  <c r="R229" i="6"/>
  <c r="S229" i="6"/>
  <c r="T229" i="6"/>
  <c r="U229" i="6"/>
  <c r="V229" i="6"/>
  <c r="W229" i="6"/>
  <c r="X229" i="6"/>
  <c r="Y229" i="6"/>
  <c r="Z229" i="6"/>
  <c r="D230" i="6"/>
  <c r="E230" i="6"/>
  <c r="F230" i="6"/>
  <c r="G230" i="6"/>
  <c r="H230" i="6"/>
  <c r="I230" i="6"/>
  <c r="J230" i="6"/>
  <c r="K230" i="6"/>
  <c r="L230" i="6"/>
  <c r="M230" i="6"/>
  <c r="N230" i="6"/>
  <c r="O230" i="6"/>
  <c r="P230" i="6"/>
  <c r="Q230" i="6"/>
  <c r="R230" i="6"/>
  <c r="S230" i="6"/>
  <c r="T230" i="6"/>
  <c r="U230" i="6"/>
  <c r="V230" i="6"/>
  <c r="W230" i="6"/>
  <c r="X230" i="6"/>
  <c r="Y230" i="6"/>
  <c r="Z230" i="6"/>
  <c r="D231" i="6"/>
  <c r="E231" i="6"/>
  <c r="F231" i="6"/>
  <c r="G231" i="6"/>
  <c r="H231" i="6"/>
  <c r="I231" i="6"/>
  <c r="J231" i="6"/>
  <c r="K231" i="6"/>
  <c r="L231" i="6"/>
  <c r="M231" i="6"/>
  <c r="N231" i="6"/>
  <c r="O231" i="6"/>
  <c r="P231" i="6"/>
  <c r="Q231" i="6"/>
  <c r="R231" i="6"/>
  <c r="S231" i="6"/>
  <c r="T231" i="6"/>
  <c r="U231" i="6"/>
  <c r="V231" i="6"/>
  <c r="W231" i="6"/>
  <c r="X231" i="6"/>
  <c r="Y231" i="6"/>
  <c r="Z231" i="6"/>
  <c r="D232" i="6"/>
  <c r="E232" i="6"/>
  <c r="F232" i="6"/>
  <c r="G232" i="6"/>
  <c r="H232" i="6"/>
  <c r="I232" i="6"/>
  <c r="J232" i="6"/>
  <c r="K232" i="6"/>
  <c r="L232" i="6"/>
  <c r="M232" i="6"/>
  <c r="N232" i="6"/>
  <c r="O232" i="6"/>
  <c r="P232" i="6"/>
  <c r="Q232" i="6"/>
  <c r="R232" i="6"/>
  <c r="S232" i="6"/>
  <c r="T232" i="6"/>
  <c r="U232" i="6"/>
  <c r="V232" i="6"/>
  <c r="W232" i="6"/>
  <c r="X232" i="6"/>
  <c r="Y232" i="6"/>
  <c r="Z232" i="6"/>
  <c r="D233" i="6"/>
  <c r="E233" i="6"/>
  <c r="F233" i="6"/>
  <c r="G233" i="6"/>
  <c r="H233" i="6"/>
  <c r="I233" i="6"/>
  <c r="J233" i="6"/>
  <c r="K233" i="6"/>
  <c r="L233" i="6"/>
  <c r="M233" i="6"/>
  <c r="N233" i="6"/>
  <c r="O233" i="6"/>
  <c r="P233" i="6"/>
  <c r="Q233" i="6"/>
  <c r="R233" i="6"/>
  <c r="S233" i="6"/>
  <c r="T233" i="6"/>
  <c r="U233" i="6"/>
  <c r="V233" i="6"/>
  <c r="W233" i="6"/>
  <c r="X233" i="6"/>
  <c r="Y233" i="6"/>
  <c r="Z233" i="6"/>
  <c r="D234" i="6"/>
  <c r="E234" i="6"/>
  <c r="F234" i="6"/>
  <c r="G234" i="6"/>
  <c r="H234" i="6"/>
  <c r="I234" i="6"/>
  <c r="J234" i="6"/>
  <c r="K234" i="6"/>
  <c r="L234" i="6"/>
  <c r="M234" i="6"/>
  <c r="N234" i="6"/>
  <c r="O234" i="6"/>
  <c r="P234" i="6"/>
  <c r="Q234" i="6"/>
  <c r="R234" i="6"/>
  <c r="S234" i="6"/>
  <c r="T234" i="6"/>
  <c r="U234" i="6"/>
  <c r="V234" i="6"/>
  <c r="W234" i="6"/>
  <c r="X234" i="6"/>
  <c r="Y234" i="6"/>
  <c r="Z234" i="6"/>
  <c r="D235" i="6"/>
  <c r="E235" i="6"/>
  <c r="F235" i="6"/>
  <c r="G235" i="6"/>
  <c r="H235" i="6"/>
  <c r="I235" i="6"/>
  <c r="J235" i="6"/>
  <c r="K235" i="6"/>
  <c r="L235" i="6"/>
  <c r="M235" i="6"/>
  <c r="N235" i="6"/>
  <c r="O235" i="6"/>
  <c r="P235" i="6"/>
  <c r="Q235" i="6"/>
  <c r="R235" i="6"/>
  <c r="S235" i="6"/>
  <c r="T235" i="6"/>
  <c r="U235" i="6"/>
  <c r="V235" i="6"/>
  <c r="W235" i="6"/>
  <c r="X235" i="6"/>
  <c r="Y235" i="6"/>
  <c r="Z235" i="6"/>
  <c r="D236" i="6"/>
  <c r="E236" i="6"/>
  <c r="F236" i="6"/>
  <c r="G236" i="6"/>
  <c r="H236" i="6"/>
  <c r="I236" i="6"/>
  <c r="J236" i="6"/>
  <c r="K236" i="6"/>
  <c r="L236" i="6"/>
  <c r="M236" i="6"/>
  <c r="N236" i="6"/>
  <c r="O236" i="6"/>
  <c r="P236" i="6"/>
  <c r="Q236" i="6"/>
  <c r="R236" i="6"/>
  <c r="S236" i="6"/>
  <c r="T236" i="6"/>
  <c r="U236" i="6"/>
  <c r="V236" i="6"/>
  <c r="W236" i="6"/>
  <c r="X236" i="6"/>
  <c r="Y236" i="6"/>
  <c r="Z236" i="6"/>
  <c r="D237" i="6"/>
  <c r="E237" i="6"/>
  <c r="F237" i="6"/>
  <c r="G237" i="6"/>
  <c r="H237" i="6"/>
  <c r="I237" i="6"/>
  <c r="J237" i="6"/>
  <c r="K237" i="6"/>
  <c r="L237" i="6"/>
  <c r="M237" i="6"/>
  <c r="N237" i="6"/>
  <c r="O237" i="6"/>
  <c r="P237" i="6"/>
  <c r="Q237" i="6"/>
  <c r="R237" i="6"/>
  <c r="S237" i="6"/>
  <c r="T237" i="6"/>
  <c r="U237" i="6"/>
  <c r="V237" i="6"/>
  <c r="W237" i="6"/>
  <c r="X237" i="6"/>
  <c r="Y237" i="6"/>
  <c r="Z237" i="6"/>
  <c r="D238" i="6"/>
  <c r="E238" i="6"/>
  <c r="F238" i="6"/>
  <c r="G238" i="6"/>
  <c r="H238" i="6"/>
  <c r="I238" i="6"/>
  <c r="J238" i="6"/>
  <c r="K238" i="6"/>
  <c r="L238" i="6"/>
  <c r="M238" i="6"/>
  <c r="N238" i="6"/>
  <c r="O238" i="6"/>
  <c r="P238" i="6"/>
  <c r="Q238" i="6"/>
  <c r="R238" i="6"/>
  <c r="S238" i="6"/>
  <c r="T238" i="6"/>
  <c r="U238" i="6"/>
  <c r="V238" i="6"/>
  <c r="W238" i="6"/>
  <c r="X238" i="6"/>
  <c r="Y238" i="6"/>
  <c r="Z238" i="6"/>
  <c r="D239" i="6"/>
  <c r="E239" i="6"/>
  <c r="F239" i="6"/>
  <c r="G239" i="6"/>
  <c r="H239" i="6"/>
  <c r="I239" i="6"/>
  <c r="J239" i="6"/>
  <c r="K239" i="6"/>
  <c r="L239" i="6"/>
  <c r="M239" i="6"/>
  <c r="N239" i="6"/>
  <c r="O239" i="6"/>
  <c r="P239" i="6"/>
  <c r="Q239" i="6"/>
  <c r="R239" i="6"/>
  <c r="S239" i="6"/>
  <c r="T239" i="6"/>
  <c r="U239" i="6"/>
  <c r="V239" i="6"/>
  <c r="W239" i="6"/>
  <c r="X239" i="6"/>
  <c r="Y239" i="6"/>
  <c r="Z239" i="6"/>
  <c r="D240" i="6"/>
  <c r="E240" i="6"/>
  <c r="F240" i="6"/>
  <c r="G240" i="6"/>
  <c r="H240" i="6"/>
  <c r="I240" i="6"/>
  <c r="J240" i="6"/>
  <c r="K240" i="6"/>
  <c r="L240" i="6"/>
  <c r="M240" i="6"/>
  <c r="N240" i="6"/>
  <c r="O240" i="6"/>
  <c r="P240" i="6"/>
  <c r="Q240" i="6"/>
  <c r="R240" i="6"/>
  <c r="S240" i="6"/>
  <c r="T240" i="6"/>
  <c r="U240" i="6"/>
  <c r="V240" i="6"/>
  <c r="W240" i="6"/>
  <c r="X240" i="6"/>
  <c r="Y240" i="6"/>
  <c r="Z240" i="6"/>
  <c r="D241" i="6"/>
  <c r="E241" i="6"/>
  <c r="F241" i="6"/>
  <c r="G241" i="6"/>
  <c r="H241" i="6"/>
  <c r="I241" i="6"/>
  <c r="J241" i="6"/>
  <c r="K241" i="6"/>
  <c r="L241" i="6"/>
  <c r="M241" i="6"/>
  <c r="N241" i="6"/>
  <c r="O241" i="6"/>
  <c r="P241" i="6"/>
  <c r="Q241" i="6"/>
  <c r="R241" i="6"/>
  <c r="S241" i="6"/>
  <c r="T241" i="6"/>
  <c r="U241" i="6"/>
  <c r="V241" i="6"/>
  <c r="W241" i="6"/>
  <c r="X241" i="6"/>
  <c r="Y241" i="6"/>
  <c r="Z241" i="6"/>
  <c r="D242" i="6"/>
  <c r="E242" i="6"/>
  <c r="F242" i="6"/>
  <c r="G242" i="6"/>
  <c r="H242" i="6"/>
  <c r="I242" i="6"/>
  <c r="J242" i="6"/>
  <c r="K242" i="6"/>
  <c r="L242" i="6"/>
  <c r="M242" i="6"/>
  <c r="N242" i="6"/>
  <c r="O242" i="6"/>
  <c r="P242" i="6"/>
  <c r="Q242" i="6"/>
  <c r="R242" i="6"/>
  <c r="S242" i="6"/>
  <c r="T242" i="6"/>
  <c r="U242" i="6"/>
  <c r="V242" i="6"/>
  <c r="W242" i="6"/>
  <c r="X242" i="6"/>
  <c r="Y242" i="6"/>
  <c r="Z242" i="6"/>
  <c r="D243" i="6"/>
  <c r="E243" i="6"/>
  <c r="F243" i="6"/>
  <c r="G243" i="6"/>
  <c r="H243" i="6"/>
  <c r="I243" i="6"/>
  <c r="J243" i="6"/>
  <c r="K243" i="6"/>
  <c r="L243" i="6"/>
  <c r="M243" i="6"/>
  <c r="N243" i="6"/>
  <c r="O243" i="6"/>
  <c r="P243" i="6"/>
  <c r="Q243" i="6"/>
  <c r="R243" i="6"/>
  <c r="S243" i="6"/>
  <c r="T243" i="6"/>
  <c r="U243" i="6"/>
  <c r="V243" i="6"/>
  <c r="W243" i="6"/>
  <c r="X243" i="6"/>
  <c r="Y243" i="6"/>
  <c r="Z243" i="6"/>
  <c r="D244" i="6"/>
  <c r="E244" i="6"/>
  <c r="F244" i="6"/>
  <c r="G244" i="6"/>
  <c r="H244" i="6"/>
  <c r="I244" i="6"/>
  <c r="J244" i="6"/>
  <c r="K244" i="6"/>
  <c r="L244" i="6"/>
  <c r="M244" i="6"/>
  <c r="N244" i="6"/>
  <c r="O244" i="6"/>
  <c r="P244" i="6"/>
  <c r="Q244" i="6"/>
  <c r="R244" i="6"/>
  <c r="S244" i="6"/>
  <c r="T244" i="6"/>
  <c r="U244" i="6"/>
  <c r="V244" i="6"/>
  <c r="W244" i="6"/>
  <c r="X244" i="6"/>
  <c r="Y244" i="6"/>
  <c r="Z244" i="6"/>
  <c r="D245" i="6"/>
  <c r="E245" i="6"/>
  <c r="F245" i="6"/>
  <c r="G245" i="6"/>
  <c r="H245" i="6"/>
  <c r="I245" i="6"/>
  <c r="J245" i="6"/>
  <c r="K245" i="6"/>
  <c r="L245" i="6"/>
  <c r="M245" i="6"/>
  <c r="N245" i="6"/>
  <c r="O245" i="6"/>
  <c r="P245" i="6"/>
  <c r="Q245" i="6"/>
  <c r="R245" i="6"/>
  <c r="S245" i="6"/>
  <c r="T245" i="6"/>
  <c r="U245" i="6"/>
  <c r="V245" i="6"/>
  <c r="W245" i="6"/>
  <c r="X245" i="6"/>
  <c r="Y245" i="6"/>
  <c r="Z245" i="6"/>
  <c r="D246" i="6"/>
  <c r="E246" i="6"/>
  <c r="F246" i="6"/>
  <c r="G246" i="6"/>
  <c r="H246" i="6"/>
  <c r="I246" i="6"/>
  <c r="J246" i="6"/>
  <c r="K246" i="6"/>
  <c r="L246" i="6"/>
  <c r="M246" i="6"/>
  <c r="N246" i="6"/>
  <c r="O246" i="6"/>
  <c r="P246" i="6"/>
  <c r="Q246" i="6"/>
  <c r="R246" i="6"/>
  <c r="S246" i="6"/>
  <c r="T246" i="6"/>
  <c r="U246" i="6"/>
  <c r="V246" i="6"/>
  <c r="W246" i="6"/>
  <c r="X246" i="6"/>
  <c r="Y246" i="6"/>
  <c r="Z246" i="6"/>
  <c r="D247" i="6"/>
  <c r="E247" i="6"/>
  <c r="F247" i="6"/>
  <c r="G247" i="6"/>
  <c r="H247" i="6"/>
  <c r="I247" i="6"/>
  <c r="J247" i="6"/>
  <c r="K247" i="6"/>
  <c r="L247" i="6"/>
  <c r="M247" i="6"/>
  <c r="N247" i="6"/>
  <c r="O247" i="6"/>
  <c r="P247" i="6"/>
  <c r="Q247" i="6"/>
  <c r="R247" i="6"/>
  <c r="S247" i="6"/>
  <c r="T247" i="6"/>
  <c r="U247" i="6"/>
  <c r="V247" i="6"/>
  <c r="W247" i="6"/>
  <c r="X247" i="6"/>
  <c r="Y247" i="6"/>
  <c r="Z247" i="6"/>
  <c r="D248" i="6"/>
  <c r="E248" i="6"/>
  <c r="F248" i="6"/>
  <c r="G248" i="6"/>
  <c r="H248" i="6"/>
  <c r="I248" i="6"/>
  <c r="J248" i="6"/>
  <c r="K248" i="6"/>
  <c r="L248" i="6"/>
  <c r="M248" i="6"/>
  <c r="N248" i="6"/>
  <c r="O248" i="6"/>
  <c r="P248" i="6"/>
  <c r="Q248" i="6"/>
  <c r="R248" i="6"/>
  <c r="S248" i="6"/>
  <c r="T248" i="6"/>
  <c r="U248" i="6"/>
  <c r="V248" i="6"/>
  <c r="W248" i="6"/>
  <c r="X248" i="6"/>
  <c r="Y248" i="6"/>
  <c r="Z248" i="6"/>
  <c r="D249" i="6"/>
  <c r="E249" i="6"/>
  <c r="F249" i="6"/>
  <c r="G249" i="6"/>
  <c r="H249" i="6"/>
  <c r="I249" i="6"/>
  <c r="J249" i="6"/>
  <c r="K249" i="6"/>
  <c r="L249" i="6"/>
  <c r="M249" i="6"/>
  <c r="N249" i="6"/>
  <c r="O249" i="6"/>
  <c r="P249" i="6"/>
  <c r="Q249" i="6"/>
  <c r="R249" i="6"/>
  <c r="S249" i="6"/>
  <c r="T249" i="6"/>
  <c r="U249" i="6"/>
  <c r="V249" i="6"/>
  <c r="W249" i="6"/>
  <c r="X249" i="6"/>
  <c r="Y249" i="6"/>
  <c r="Z249" i="6"/>
  <c r="D250" i="6"/>
  <c r="E250" i="6"/>
  <c r="F250" i="6"/>
  <c r="G250" i="6"/>
  <c r="H250" i="6"/>
  <c r="I250" i="6"/>
  <c r="J250" i="6"/>
  <c r="K250" i="6"/>
  <c r="L250" i="6"/>
  <c r="M250" i="6"/>
  <c r="N250" i="6"/>
  <c r="O250" i="6"/>
  <c r="P250" i="6"/>
  <c r="Q250" i="6"/>
  <c r="R250" i="6"/>
  <c r="S250" i="6"/>
  <c r="T250" i="6"/>
  <c r="U250" i="6"/>
  <c r="V250" i="6"/>
  <c r="W250" i="6"/>
  <c r="X250" i="6"/>
  <c r="Y250" i="6"/>
  <c r="Z250" i="6"/>
  <c r="D251" i="6"/>
  <c r="E251" i="6"/>
  <c r="F251" i="6"/>
  <c r="G251" i="6"/>
  <c r="H251" i="6"/>
  <c r="I251" i="6"/>
  <c r="J251" i="6"/>
  <c r="K251" i="6"/>
  <c r="L251" i="6"/>
  <c r="M251" i="6"/>
  <c r="N251" i="6"/>
  <c r="O251" i="6"/>
  <c r="P251" i="6"/>
  <c r="Q251" i="6"/>
  <c r="R251" i="6"/>
  <c r="S251" i="6"/>
  <c r="T251" i="6"/>
  <c r="U251" i="6"/>
  <c r="V251" i="6"/>
  <c r="W251" i="6"/>
  <c r="X251" i="6"/>
  <c r="Y251" i="6"/>
  <c r="Z251" i="6"/>
  <c r="D252" i="6"/>
  <c r="E252" i="6"/>
  <c r="F252" i="6"/>
  <c r="G252" i="6"/>
  <c r="H252" i="6"/>
  <c r="I252" i="6"/>
  <c r="J252" i="6"/>
  <c r="K252" i="6"/>
  <c r="L252" i="6"/>
  <c r="M252" i="6"/>
  <c r="N252" i="6"/>
  <c r="O252" i="6"/>
  <c r="P252" i="6"/>
  <c r="Q252" i="6"/>
  <c r="R252" i="6"/>
  <c r="S252" i="6"/>
  <c r="T252" i="6"/>
  <c r="U252" i="6"/>
  <c r="V252" i="6"/>
  <c r="W252" i="6"/>
  <c r="X252" i="6"/>
  <c r="Y252" i="6"/>
  <c r="Z252" i="6"/>
  <c r="D253" i="6"/>
  <c r="E253" i="6"/>
  <c r="F253" i="6"/>
  <c r="G253" i="6"/>
  <c r="H253" i="6"/>
  <c r="I253" i="6"/>
  <c r="J253" i="6"/>
  <c r="K253" i="6"/>
  <c r="L253" i="6"/>
  <c r="M253" i="6"/>
  <c r="N253" i="6"/>
  <c r="O253" i="6"/>
  <c r="P253" i="6"/>
  <c r="Q253" i="6"/>
  <c r="R253" i="6"/>
  <c r="S253" i="6"/>
  <c r="T253" i="6"/>
  <c r="U253" i="6"/>
  <c r="V253" i="6"/>
  <c r="W253" i="6"/>
  <c r="X253" i="6"/>
  <c r="Y253" i="6"/>
  <c r="Z253" i="6"/>
  <c r="D254" i="6"/>
  <c r="E254" i="6"/>
  <c r="F254" i="6"/>
  <c r="G254" i="6"/>
  <c r="H254" i="6"/>
  <c r="I254" i="6"/>
  <c r="J254" i="6"/>
  <c r="K254" i="6"/>
  <c r="L254" i="6"/>
  <c r="M254" i="6"/>
  <c r="N254" i="6"/>
  <c r="O254" i="6"/>
  <c r="P254" i="6"/>
  <c r="Q254" i="6"/>
  <c r="R254" i="6"/>
  <c r="S254" i="6"/>
  <c r="T254" i="6"/>
  <c r="U254" i="6"/>
  <c r="V254" i="6"/>
  <c r="W254" i="6"/>
  <c r="X254" i="6"/>
  <c r="Y254" i="6"/>
  <c r="Z254" i="6"/>
  <c r="D255" i="6"/>
  <c r="E255" i="6"/>
  <c r="F255" i="6"/>
  <c r="G255" i="6"/>
  <c r="H255" i="6"/>
  <c r="I255" i="6"/>
  <c r="J255" i="6"/>
  <c r="K255" i="6"/>
  <c r="L255" i="6"/>
  <c r="M255" i="6"/>
  <c r="N255" i="6"/>
  <c r="O255" i="6"/>
  <c r="P255" i="6"/>
  <c r="Q255" i="6"/>
  <c r="R255" i="6"/>
  <c r="S255" i="6"/>
  <c r="T255" i="6"/>
  <c r="U255" i="6"/>
  <c r="V255" i="6"/>
  <c r="W255" i="6"/>
  <c r="X255" i="6"/>
  <c r="Y255" i="6"/>
  <c r="Z255" i="6"/>
  <c r="D256" i="6"/>
  <c r="E256" i="6"/>
  <c r="F256" i="6"/>
  <c r="G256" i="6"/>
  <c r="H256" i="6"/>
  <c r="I256" i="6"/>
  <c r="J256" i="6"/>
  <c r="K256" i="6"/>
  <c r="L256" i="6"/>
  <c r="M256" i="6"/>
  <c r="N256" i="6"/>
  <c r="O256" i="6"/>
  <c r="P256" i="6"/>
  <c r="Q256" i="6"/>
  <c r="R256" i="6"/>
  <c r="S256" i="6"/>
  <c r="T256" i="6"/>
  <c r="U256" i="6"/>
  <c r="V256" i="6"/>
  <c r="W256" i="6"/>
  <c r="X256" i="6"/>
  <c r="Y256" i="6"/>
  <c r="Z256" i="6"/>
  <c r="D257" i="6"/>
  <c r="E257" i="6"/>
  <c r="F257" i="6"/>
  <c r="G257" i="6"/>
  <c r="H257" i="6"/>
  <c r="I257" i="6"/>
  <c r="J257" i="6"/>
  <c r="K257" i="6"/>
  <c r="L257" i="6"/>
  <c r="M257" i="6"/>
  <c r="N257" i="6"/>
  <c r="O257" i="6"/>
  <c r="P257" i="6"/>
  <c r="Q257" i="6"/>
  <c r="R257" i="6"/>
  <c r="S257" i="6"/>
  <c r="T257" i="6"/>
  <c r="U257" i="6"/>
  <c r="V257" i="6"/>
  <c r="W257" i="6"/>
  <c r="X257" i="6"/>
  <c r="Y257" i="6"/>
  <c r="Z257" i="6"/>
  <c r="D258" i="6"/>
  <c r="E258" i="6"/>
  <c r="F258" i="6"/>
  <c r="G258" i="6"/>
  <c r="H258" i="6"/>
  <c r="I258" i="6"/>
  <c r="J258" i="6"/>
  <c r="K258" i="6"/>
  <c r="L258" i="6"/>
  <c r="M258" i="6"/>
  <c r="N258" i="6"/>
  <c r="O258" i="6"/>
  <c r="P258" i="6"/>
  <c r="Q258" i="6"/>
  <c r="R258" i="6"/>
  <c r="S258" i="6"/>
  <c r="T258" i="6"/>
  <c r="U258" i="6"/>
  <c r="V258" i="6"/>
  <c r="W258" i="6"/>
  <c r="X258" i="6"/>
  <c r="Y258" i="6"/>
  <c r="Z258" i="6"/>
  <c r="D259" i="6"/>
  <c r="E259" i="6"/>
  <c r="F259" i="6"/>
  <c r="G259" i="6"/>
  <c r="H259" i="6"/>
  <c r="I259" i="6"/>
  <c r="J259" i="6"/>
  <c r="K259" i="6"/>
  <c r="L259" i="6"/>
  <c r="M259" i="6"/>
  <c r="N259" i="6"/>
  <c r="O259" i="6"/>
  <c r="P259" i="6"/>
  <c r="Q259" i="6"/>
  <c r="R259" i="6"/>
  <c r="S259" i="6"/>
  <c r="T259" i="6"/>
  <c r="U259" i="6"/>
  <c r="V259" i="6"/>
  <c r="W259" i="6"/>
  <c r="X259" i="6"/>
  <c r="Y259" i="6"/>
  <c r="Z259" i="6"/>
  <c r="D260" i="6"/>
  <c r="E260" i="6"/>
  <c r="F260" i="6"/>
  <c r="G260" i="6"/>
  <c r="H260" i="6"/>
  <c r="I260" i="6"/>
  <c r="J260" i="6"/>
  <c r="K260" i="6"/>
  <c r="L260" i="6"/>
  <c r="M260" i="6"/>
  <c r="N260" i="6"/>
  <c r="O260" i="6"/>
  <c r="P260" i="6"/>
  <c r="Q260" i="6"/>
  <c r="R260" i="6"/>
  <c r="S260" i="6"/>
  <c r="T260" i="6"/>
  <c r="U260" i="6"/>
  <c r="V260" i="6"/>
  <c r="W260" i="6"/>
  <c r="X260" i="6"/>
  <c r="Y260" i="6"/>
  <c r="Z260" i="6"/>
  <c r="D261" i="6"/>
  <c r="E261" i="6"/>
  <c r="F261" i="6"/>
  <c r="G261" i="6"/>
  <c r="H261" i="6"/>
  <c r="I261" i="6"/>
  <c r="J261" i="6"/>
  <c r="K261" i="6"/>
  <c r="L261" i="6"/>
  <c r="M261" i="6"/>
  <c r="N261" i="6"/>
  <c r="O261" i="6"/>
  <c r="P261" i="6"/>
  <c r="Q261" i="6"/>
  <c r="R261" i="6"/>
  <c r="S261" i="6"/>
  <c r="T261" i="6"/>
  <c r="U261" i="6"/>
  <c r="V261" i="6"/>
  <c r="W261" i="6"/>
  <c r="X261" i="6"/>
  <c r="Y261" i="6"/>
  <c r="Z261" i="6"/>
  <c r="D262" i="6"/>
  <c r="E262" i="6"/>
  <c r="F262" i="6"/>
  <c r="G262" i="6"/>
  <c r="H262" i="6"/>
  <c r="I262" i="6"/>
  <c r="J262" i="6"/>
  <c r="K262" i="6"/>
  <c r="L262" i="6"/>
  <c r="M262" i="6"/>
  <c r="N262" i="6"/>
  <c r="O262" i="6"/>
  <c r="P262" i="6"/>
  <c r="Q262" i="6"/>
  <c r="R262" i="6"/>
  <c r="S262" i="6"/>
  <c r="T262" i="6"/>
  <c r="U262" i="6"/>
  <c r="V262" i="6"/>
  <c r="W262" i="6"/>
  <c r="X262" i="6"/>
  <c r="Y262" i="6"/>
  <c r="Z262" i="6"/>
  <c r="D263" i="6"/>
  <c r="E263" i="6"/>
  <c r="F263" i="6"/>
  <c r="G263" i="6"/>
  <c r="H263" i="6"/>
  <c r="I263" i="6"/>
  <c r="J263" i="6"/>
  <c r="K263" i="6"/>
  <c r="L263" i="6"/>
  <c r="M263" i="6"/>
  <c r="N263" i="6"/>
  <c r="O263" i="6"/>
  <c r="P263" i="6"/>
  <c r="Q263" i="6"/>
  <c r="R263" i="6"/>
  <c r="S263" i="6"/>
  <c r="T263" i="6"/>
  <c r="U263" i="6"/>
  <c r="V263" i="6"/>
  <c r="W263" i="6"/>
  <c r="X263" i="6"/>
  <c r="Y263" i="6"/>
  <c r="Z263" i="6"/>
  <c r="D264" i="6"/>
  <c r="E264" i="6"/>
  <c r="F264" i="6"/>
  <c r="G264" i="6"/>
  <c r="H264" i="6"/>
  <c r="I264" i="6"/>
  <c r="J264" i="6"/>
  <c r="K264" i="6"/>
  <c r="L264" i="6"/>
  <c r="M264" i="6"/>
  <c r="N264" i="6"/>
  <c r="O264" i="6"/>
  <c r="P264" i="6"/>
  <c r="Q264" i="6"/>
  <c r="R264" i="6"/>
  <c r="S264" i="6"/>
  <c r="T264" i="6"/>
  <c r="U264" i="6"/>
  <c r="V264" i="6"/>
  <c r="W264" i="6"/>
  <c r="X264" i="6"/>
  <c r="Y264" i="6"/>
  <c r="Z264" i="6"/>
  <c r="D265" i="6"/>
  <c r="E265" i="6"/>
  <c r="F265" i="6"/>
  <c r="G265" i="6"/>
  <c r="H265" i="6"/>
  <c r="I265" i="6"/>
  <c r="J265" i="6"/>
  <c r="K265" i="6"/>
  <c r="L265" i="6"/>
  <c r="M265" i="6"/>
  <c r="N265" i="6"/>
  <c r="O265" i="6"/>
  <c r="P265" i="6"/>
  <c r="Q265" i="6"/>
  <c r="R265" i="6"/>
  <c r="S265" i="6"/>
  <c r="T265" i="6"/>
  <c r="U265" i="6"/>
  <c r="V265" i="6"/>
  <c r="W265" i="6"/>
  <c r="X265" i="6"/>
  <c r="Y265" i="6"/>
  <c r="Z265" i="6"/>
  <c r="D266" i="6"/>
  <c r="E266" i="6"/>
  <c r="F266" i="6"/>
  <c r="G266" i="6"/>
  <c r="H266" i="6"/>
  <c r="I266" i="6"/>
  <c r="J266" i="6"/>
  <c r="K266" i="6"/>
  <c r="L266" i="6"/>
  <c r="M266" i="6"/>
  <c r="N266" i="6"/>
  <c r="O266" i="6"/>
  <c r="P266" i="6"/>
  <c r="Q266" i="6"/>
  <c r="R266" i="6"/>
  <c r="S266" i="6"/>
  <c r="T266" i="6"/>
  <c r="U266" i="6"/>
  <c r="V266" i="6"/>
  <c r="W266" i="6"/>
  <c r="X266" i="6"/>
  <c r="Y266" i="6"/>
  <c r="Z266" i="6"/>
  <c r="D267" i="6"/>
  <c r="E267" i="6"/>
  <c r="F267" i="6"/>
  <c r="G267" i="6"/>
  <c r="H267" i="6"/>
  <c r="I267" i="6"/>
  <c r="J267" i="6"/>
  <c r="K267" i="6"/>
  <c r="L267" i="6"/>
  <c r="M267" i="6"/>
  <c r="N267" i="6"/>
  <c r="O267" i="6"/>
  <c r="P267" i="6"/>
  <c r="Q267" i="6"/>
  <c r="R267" i="6"/>
  <c r="S267" i="6"/>
  <c r="T267" i="6"/>
  <c r="U267" i="6"/>
  <c r="V267" i="6"/>
  <c r="W267" i="6"/>
  <c r="X267" i="6"/>
  <c r="Y267" i="6"/>
  <c r="Z267" i="6"/>
  <c r="D268" i="6"/>
  <c r="E268" i="6"/>
  <c r="F268" i="6"/>
  <c r="G268" i="6"/>
  <c r="H268" i="6"/>
  <c r="I268" i="6"/>
  <c r="J268" i="6"/>
  <c r="K268" i="6"/>
  <c r="L268" i="6"/>
  <c r="M268" i="6"/>
  <c r="N268" i="6"/>
  <c r="O268" i="6"/>
  <c r="P268" i="6"/>
  <c r="Q268" i="6"/>
  <c r="R268" i="6"/>
  <c r="S268" i="6"/>
  <c r="T268" i="6"/>
  <c r="U268" i="6"/>
  <c r="V268" i="6"/>
  <c r="W268" i="6"/>
  <c r="X268" i="6"/>
  <c r="Y268" i="6"/>
  <c r="Z268" i="6"/>
  <c r="D269" i="6"/>
  <c r="E269" i="6"/>
  <c r="F269" i="6"/>
  <c r="G269" i="6"/>
  <c r="H269" i="6"/>
  <c r="I269" i="6"/>
  <c r="J269" i="6"/>
  <c r="K269" i="6"/>
  <c r="L269" i="6"/>
  <c r="M269" i="6"/>
  <c r="N269" i="6"/>
  <c r="O269" i="6"/>
  <c r="P269" i="6"/>
  <c r="Q269" i="6"/>
  <c r="R269" i="6"/>
  <c r="S269" i="6"/>
  <c r="T269" i="6"/>
  <c r="U269" i="6"/>
  <c r="V269" i="6"/>
  <c r="W269" i="6"/>
  <c r="X269" i="6"/>
  <c r="Y269" i="6"/>
  <c r="Z269" i="6"/>
  <c r="D270" i="6"/>
  <c r="E270" i="6"/>
  <c r="F270" i="6"/>
  <c r="G270" i="6"/>
  <c r="H270" i="6"/>
  <c r="I270" i="6"/>
  <c r="J270" i="6"/>
  <c r="K270" i="6"/>
  <c r="L270" i="6"/>
  <c r="M270" i="6"/>
  <c r="N270" i="6"/>
  <c r="O270" i="6"/>
  <c r="P270" i="6"/>
  <c r="Q270" i="6"/>
  <c r="R270" i="6"/>
  <c r="S270" i="6"/>
  <c r="T270" i="6"/>
  <c r="U270" i="6"/>
  <c r="V270" i="6"/>
  <c r="W270" i="6"/>
  <c r="X270" i="6"/>
  <c r="Y270" i="6"/>
  <c r="Z270" i="6"/>
  <c r="D271" i="6"/>
  <c r="E271" i="6"/>
  <c r="F271" i="6"/>
  <c r="G271" i="6"/>
  <c r="H271" i="6"/>
  <c r="I271" i="6"/>
  <c r="J271" i="6"/>
  <c r="K271" i="6"/>
  <c r="L271" i="6"/>
  <c r="M271" i="6"/>
  <c r="N271" i="6"/>
  <c r="O271" i="6"/>
  <c r="P271" i="6"/>
  <c r="Q271" i="6"/>
  <c r="R271" i="6"/>
  <c r="S271" i="6"/>
  <c r="T271" i="6"/>
  <c r="U271" i="6"/>
  <c r="V271" i="6"/>
  <c r="W271" i="6"/>
  <c r="X271" i="6"/>
  <c r="Y271" i="6"/>
  <c r="Z271" i="6"/>
  <c r="D272" i="6"/>
  <c r="E272" i="6"/>
  <c r="F272" i="6"/>
  <c r="G272" i="6"/>
  <c r="H272" i="6"/>
  <c r="I272" i="6"/>
  <c r="J272" i="6"/>
  <c r="K272" i="6"/>
  <c r="L272" i="6"/>
  <c r="M272" i="6"/>
  <c r="N272" i="6"/>
  <c r="O272" i="6"/>
  <c r="P272" i="6"/>
  <c r="Q272" i="6"/>
  <c r="R272" i="6"/>
  <c r="S272" i="6"/>
  <c r="T272" i="6"/>
  <c r="U272" i="6"/>
  <c r="V272" i="6"/>
  <c r="W272" i="6"/>
  <c r="X272" i="6"/>
  <c r="Y272" i="6"/>
  <c r="Z272" i="6"/>
  <c r="D273" i="6"/>
  <c r="E273" i="6"/>
  <c r="F273" i="6"/>
  <c r="G273" i="6"/>
  <c r="H273" i="6"/>
  <c r="I273" i="6"/>
  <c r="J273" i="6"/>
  <c r="K273" i="6"/>
  <c r="L273" i="6"/>
  <c r="M273" i="6"/>
  <c r="N273" i="6"/>
  <c r="O273" i="6"/>
  <c r="P273" i="6"/>
  <c r="Q273" i="6"/>
  <c r="R273" i="6"/>
  <c r="S273" i="6"/>
  <c r="T273" i="6"/>
  <c r="U273" i="6"/>
  <c r="V273" i="6"/>
  <c r="W273" i="6"/>
  <c r="X273" i="6"/>
  <c r="Y273" i="6"/>
  <c r="Z273" i="6"/>
  <c r="D274" i="6"/>
  <c r="E274" i="6"/>
  <c r="F274" i="6"/>
  <c r="G274" i="6"/>
  <c r="H274" i="6"/>
  <c r="I274" i="6"/>
  <c r="J274" i="6"/>
  <c r="K274" i="6"/>
  <c r="L274" i="6"/>
  <c r="M274" i="6"/>
  <c r="N274" i="6"/>
  <c r="O274" i="6"/>
  <c r="P274" i="6"/>
  <c r="Q274" i="6"/>
  <c r="R274" i="6"/>
  <c r="S274" i="6"/>
  <c r="T274" i="6"/>
  <c r="U274" i="6"/>
  <c r="V274" i="6"/>
  <c r="W274" i="6"/>
  <c r="X274" i="6"/>
  <c r="Y274" i="6"/>
  <c r="Z274" i="6"/>
  <c r="D275" i="6"/>
  <c r="E275" i="6"/>
  <c r="F275" i="6"/>
  <c r="G275" i="6"/>
  <c r="H275" i="6"/>
  <c r="I275" i="6"/>
  <c r="J275" i="6"/>
  <c r="K275" i="6"/>
  <c r="L275" i="6"/>
  <c r="M275" i="6"/>
  <c r="N275" i="6"/>
  <c r="O275" i="6"/>
  <c r="P275" i="6"/>
  <c r="Q275" i="6"/>
  <c r="R275" i="6"/>
  <c r="S275" i="6"/>
  <c r="T275" i="6"/>
  <c r="U275" i="6"/>
  <c r="V275" i="6"/>
  <c r="W275" i="6"/>
  <c r="X275" i="6"/>
  <c r="Y275" i="6"/>
  <c r="Z275" i="6"/>
  <c r="D276" i="6"/>
  <c r="E276" i="6"/>
  <c r="F276" i="6"/>
  <c r="G276" i="6"/>
  <c r="H276" i="6"/>
  <c r="I276" i="6"/>
  <c r="J276" i="6"/>
  <c r="K276" i="6"/>
  <c r="L276" i="6"/>
  <c r="M276" i="6"/>
  <c r="N276" i="6"/>
  <c r="O276" i="6"/>
  <c r="P276" i="6"/>
  <c r="Q276" i="6"/>
  <c r="R276" i="6"/>
  <c r="S276" i="6"/>
  <c r="T276" i="6"/>
  <c r="U276" i="6"/>
  <c r="V276" i="6"/>
  <c r="W276" i="6"/>
  <c r="X276" i="6"/>
  <c r="Y276" i="6"/>
  <c r="Z276" i="6"/>
  <c r="D277" i="6"/>
  <c r="E277" i="6"/>
  <c r="F277" i="6"/>
  <c r="G277" i="6"/>
  <c r="H277" i="6"/>
  <c r="I277" i="6"/>
  <c r="J277" i="6"/>
  <c r="K277" i="6"/>
  <c r="L277" i="6"/>
  <c r="M277" i="6"/>
  <c r="N277" i="6"/>
  <c r="O277" i="6"/>
  <c r="P277" i="6"/>
  <c r="Q277" i="6"/>
  <c r="R277" i="6"/>
  <c r="S277" i="6"/>
  <c r="T277" i="6"/>
  <c r="U277" i="6"/>
  <c r="V277" i="6"/>
  <c r="W277" i="6"/>
  <c r="X277" i="6"/>
  <c r="Y277" i="6"/>
  <c r="Z277" i="6"/>
  <c r="D278" i="6"/>
  <c r="E278" i="6"/>
  <c r="F278" i="6"/>
  <c r="G278" i="6"/>
  <c r="H278" i="6"/>
  <c r="I278" i="6"/>
  <c r="J278" i="6"/>
  <c r="K278" i="6"/>
  <c r="L278" i="6"/>
  <c r="M278" i="6"/>
  <c r="N278" i="6"/>
  <c r="O278" i="6"/>
  <c r="P278" i="6"/>
  <c r="Q278" i="6"/>
  <c r="R278" i="6"/>
  <c r="S278" i="6"/>
  <c r="T278" i="6"/>
  <c r="U278" i="6"/>
  <c r="V278" i="6"/>
  <c r="W278" i="6"/>
  <c r="X278" i="6"/>
  <c r="Y278" i="6"/>
  <c r="Z278" i="6"/>
  <c r="D279" i="6"/>
  <c r="E279" i="6"/>
  <c r="F279" i="6"/>
  <c r="G279" i="6"/>
  <c r="H279" i="6"/>
  <c r="I279" i="6"/>
  <c r="J279" i="6"/>
  <c r="K279" i="6"/>
  <c r="L279" i="6"/>
  <c r="M279" i="6"/>
  <c r="N279" i="6"/>
  <c r="O279" i="6"/>
  <c r="P279" i="6"/>
  <c r="Q279" i="6"/>
  <c r="R279" i="6"/>
  <c r="S279" i="6"/>
  <c r="T279" i="6"/>
  <c r="U279" i="6"/>
  <c r="V279" i="6"/>
  <c r="W279" i="6"/>
  <c r="X279" i="6"/>
  <c r="Y279" i="6"/>
  <c r="Z279" i="6"/>
  <c r="D280" i="6"/>
  <c r="E280" i="6"/>
  <c r="F280" i="6"/>
  <c r="G280" i="6"/>
  <c r="H280" i="6"/>
  <c r="I280" i="6"/>
  <c r="J280" i="6"/>
  <c r="K280" i="6"/>
  <c r="L280" i="6"/>
  <c r="M280" i="6"/>
  <c r="N280" i="6"/>
  <c r="O280" i="6"/>
  <c r="P280" i="6"/>
  <c r="Q280" i="6"/>
  <c r="R280" i="6"/>
  <c r="S280" i="6"/>
  <c r="T280" i="6"/>
  <c r="U280" i="6"/>
  <c r="V280" i="6"/>
  <c r="W280" i="6"/>
  <c r="X280" i="6"/>
  <c r="Y280" i="6"/>
  <c r="Z280" i="6"/>
  <c r="D281" i="6"/>
  <c r="E281" i="6"/>
  <c r="F281" i="6"/>
  <c r="G281" i="6"/>
  <c r="H281" i="6"/>
  <c r="I281" i="6"/>
  <c r="J281" i="6"/>
  <c r="K281" i="6"/>
  <c r="L281" i="6"/>
  <c r="M281" i="6"/>
  <c r="N281" i="6"/>
  <c r="O281" i="6"/>
  <c r="P281" i="6"/>
  <c r="Q281" i="6"/>
  <c r="R281" i="6"/>
  <c r="S281" i="6"/>
  <c r="T281" i="6"/>
  <c r="U281" i="6"/>
  <c r="V281" i="6"/>
  <c r="W281" i="6"/>
  <c r="X281" i="6"/>
  <c r="Y281" i="6"/>
  <c r="Z281" i="6"/>
  <c r="D282" i="6"/>
  <c r="E282" i="6"/>
  <c r="F282" i="6"/>
  <c r="G282" i="6"/>
  <c r="H282" i="6"/>
  <c r="I282" i="6"/>
  <c r="J282" i="6"/>
  <c r="K282" i="6"/>
  <c r="L282" i="6"/>
  <c r="M282" i="6"/>
  <c r="N282" i="6"/>
  <c r="O282" i="6"/>
  <c r="P282" i="6"/>
  <c r="Q282" i="6"/>
  <c r="R282" i="6"/>
  <c r="S282" i="6"/>
  <c r="T282" i="6"/>
  <c r="U282" i="6"/>
  <c r="V282" i="6"/>
  <c r="W282" i="6"/>
  <c r="X282" i="6"/>
  <c r="Y282" i="6"/>
  <c r="Z282" i="6"/>
  <c r="D283" i="6"/>
  <c r="E283" i="6"/>
  <c r="F283" i="6"/>
  <c r="G283" i="6"/>
  <c r="H283" i="6"/>
  <c r="I283" i="6"/>
  <c r="J283" i="6"/>
  <c r="K283" i="6"/>
  <c r="L283" i="6"/>
  <c r="M283" i="6"/>
  <c r="N283" i="6"/>
  <c r="O283" i="6"/>
  <c r="P283" i="6"/>
  <c r="Q283" i="6"/>
  <c r="R283" i="6"/>
  <c r="S283" i="6"/>
  <c r="T283" i="6"/>
  <c r="U283" i="6"/>
  <c r="V283" i="6"/>
  <c r="W283" i="6"/>
  <c r="X283" i="6"/>
  <c r="Y283" i="6"/>
  <c r="Z283" i="6"/>
  <c r="D284" i="6"/>
  <c r="E284" i="6"/>
  <c r="F284" i="6"/>
  <c r="G284" i="6"/>
  <c r="H284" i="6"/>
  <c r="I284" i="6"/>
  <c r="J284" i="6"/>
  <c r="K284" i="6"/>
  <c r="L284" i="6"/>
  <c r="M284" i="6"/>
  <c r="N284" i="6"/>
  <c r="O284" i="6"/>
  <c r="P284" i="6"/>
  <c r="Q284" i="6"/>
  <c r="R284" i="6"/>
  <c r="S284" i="6"/>
  <c r="T284" i="6"/>
  <c r="U284" i="6"/>
  <c r="V284" i="6"/>
  <c r="W284" i="6"/>
  <c r="X284" i="6"/>
  <c r="Y284" i="6"/>
  <c r="Z284" i="6"/>
  <c r="D285" i="6"/>
  <c r="E285" i="6"/>
  <c r="F285" i="6"/>
  <c r="G285" i="6"/>
  <c r="H285" i="6"/>
  <c r="I285" i="6"/>
  <c r="J285" i="6"/>
  <c r="K285" i="6"/>
  <c r="L285" i="6"/>
  <c r="M285" i="6"/>
  <c r="N285" i="6"/>
  <c r="O285" i="6"/>
  <c r="P285" i="6"/>
  <c r="Q285" i="6"/>
  <c r="R285" i="6"/>
  <c r="S285" i="6"/>
  <c r="T285" i="6"/>
  <c r="U285" i="6"/>
  <c r="V285" i="6"/>
  <c r="W285" i="6"/>
  <c r="X285" i="6"/>
  <c r="Y285" i="6"/>
  <c r="Z285" i="6"/>
  <c r="D2" i="6"/>
  <c r="E2" i="6"/>
  <c r="F2" i="6"/>
  <c r="G2" i="6"/>
  <c r="H2" i="6"/>
  <c r="I2" i="6"/>
  <c r="J2" i="6"/>
  <c r="K2" i="6"/>
  <c r="L2" i="6"/>
  <c r="M2" i="6"/>
  <c r="N2" i="6"/>
  <c r="O2" i="6"/>
  <c r="P2" i="6"/>
  <c r="Q2" i="6"/>
  <c r="R2" i="6"/>
  <c r="S2" i="6"/>
  <c r="T2" i="6"/>
  <c r="U2" i="6"/>
  <c r="V2" i="6"/>
  <c r="W2" i="6"/>
  <c r="X2" i="6"/>
  <c r="Y2" i="6"/>
  <c r="Z2" i="6"/>
  <c r="D3" i="6"/>
  <c r="E3" i="6"/>
  <c r="F3" i="6"/>
  <c r="G3" i="6"/>
  <c r="H3" i="6"/>
  <c r="I3" i="6"/>
  <c r="J3" i="6"/>
  <c r="K3" i="6"/>
  <c r="L3" i="6"/>
  <c r="M3" i="6"/>
  <c r="N3" i="6"/>
  <c r="O3" i="6"/>
  <c r="P3" i="6"/>
  <c r="Q3" i="6"/>
  <c r="R3" i="6"/>
  <c r="S3" i="6"/>
  <c r="T3" i="6"/>
  <c r="U3" i="6"/>
  <c r="V3" i="6"/>
  <c r="W3" i="6"/>
  <c r="X3" i="6"/>
  <c r="Y3" i="6"/>
  <c r="Z3" i="6"/>
  <c r="D4" i="6"/>
  <c r="E4" i="6"/>
  <c r="F4" i="6"/>
  <c r="G4" i="6"/>
  <c r="H4" i="6"/>
  <c r="I4" i="6"/>
  <c r="J4" i="6"/>
  <c r="K4" i="6"/>
  <c r="L4" i="6"/>
  <c r="M4" i="6"/>
  <c r="N4" i="6"/>
  <c r="O4" i="6"/>
  <c r="P4" i="6"/>
  <c r="Q4" i="6"/>
  <c r="R4" i="6"/>
  <c r="S4" i="6"/>
  <c r="T4" i="6"/>
  <c r="U4" i="6"/>
  <c r="V4" i="6"/>
  <c r="W4" i="6"/>
  <c r="X4" i="6"/>
  <c r="Y4" i="6"/>
  <c r="Z4" i="6"/>
  <c r="D5" i="6"/>
  <c r="E5" i="6"/>
  <c r="F5" i="6"/>
  <c r="G5" i="6"/>
  <c r="H5" i="6"/>
  <c r="I5" i="6"/>
  <c r="J5" i="6"/>
  <c r="K5" i="6"/>
  <c r="L5" i="6"/>
  <c r="M5" i="6"/>
  <c r="N5" i="6"/>
  <c r="O5" i="6"/>
  <c r="P5" i="6"/>
  <c r="Q5" i="6"/>
  <c r="R5" i="6"/>
  <c r="S5" i="6"/>
  <c r="T5" i="6"/>
  <c r="U5" i="6"/>
  <c r="V5" i="6"/>
  <c r="W5" i="6"/>
  <c r="X5" i="6"/>
  <c r="Y5" i="6"/>
  <c r="Z5" i="6"/>
  <c r="D6" i="6"/>
  <c r="E6" i="6"/>
  <c r="F6" i="6"/>
  <c r="G6" i="6"/>
  <c r="H6" i="6"/>
  <c r="I6" i="6"/>
  <c r="J6" i="6"/>
  <c r="K6" i="6"/>
  <c r="L6" i="6"/>
  <c r="M6" i="6"/>
  <c r="N6" i="6"/>
  <c r="O6" i="6"/>
  <c r="P6" i="6"/>
  <c r="Q6" i="6"/>
  <c r="R6" i="6"/>
  <c r="S6" i="6"/>
  <c r="T6" i="6"/>
  <c r="U6" i="6"/>
  <c r="V6" i="6"/>
  <c r="W6" i="6"/>
  <c r="X6" i="6"/>
  <c r="Y6" i="6"/>
  <c r="Z6" i="6"/>
  <c r="D7" i="6"/>
  <c r="E7" i="6"/>
  <c r="F7" i="6"/>
  <c r="G7" i="6"/>
  <c r="H7" i="6"/>
  <c r="I7" i="6"/>
  <c r="J7" i="6"/>
  <c r="K7" i="6"/>
  <c r="L7" i="6"/>
  <c r="M7" i="6"/>
  <c r="N7" i="6"/>
  <c r="O7" i="6"/>
  <c r="P7" i="6"/>
  <c r="Q7" i="6"/>
  <c r="R7" i="6"/>
  <c r="S7" i="6"/>
  <c r="T7" i="6"/>
  <c r="U7" i="6"/>
  <c r="V7" i="6"/>
  <c r="W7" i="6"/>
  <c r="X7" i="6"/>
  <c r="Y7" i="6"/>
  <c r="Z7" i="6"/>
  <c r="D8" i="6"/>
  <c r="E8" i="6"/>
  <c r="F8" i="6"/>
  <c r="G8" i="6"/>
  <c r="H8" i="6"/>
  <c r="I8" i="6"/>
  <c r="J8" i="6"/>
  <c r="K8" i="6"/>
  <c r="L8" i="6"/>
  <c r="M8" i="6"/>
  <c r="N8" i="6"/>
  <c r="O8" i="6"/>
  <c r="P8" i="6"/>
  <c r="Q8" i="6"/>
  <c r="R8" i="6"/>
  <c r="S8" i="6"/>
  <c r="T8" i="6"/>
  <c r="U8" i="6"/>
  <c r="V8" i="6"/>
  <c r="W8" i="6"/>
  <c r="X8" i="6"/>
  <c r="Y8" i="6"/>
  <c r="Z8" i="6"/>
  <c r="D9" i="6"/>
  <c r="E9" i="6"/>
  <c r="F9" i="6"/>
  <c r="G9" i="6"/>
  <c r="H9" i="6"/>
  <c r="I9" i="6"/>
  <c r="J9" i="6"/>
  <c r="K9" i="6"/>
  <c r="L9" i="6"/>
  <c r="M9" i="6"/>
  <c r="N9" i="6"/>
  <c r="O9" i="6"/>
  <c r="P9" i="6"/>
  <c r="Q9" i="6"/>
  <c r="R9" i="6"/>
  <c r="S9" i="6"/>
  <c r="T9" i="6"/>
  <c r="U9" i="6"/>
  <c r="V9" i="6"/>
  <c r="W9" i="6"/>
  <c r="X9" i="6"/>
  <c r="Y9" i="6"/>
  <c r="Z9" i="6"/>
  <c r="D10" i="6"/>
  <c r="E10" i="6"/>
  <c r="F10" i="6"/>
  <c r="G10" i="6"/>
  <c r="H10" i="6"/>
  <c r="I10" i="6"/>
  <c r="J10" i="6"/>
  <c r="K10" i="6"/>
  <c r="L10" i="6"/>
  <c r="M10" i="6"/>
  <c r="N10" i="6"/>
  <c r="O10" i="6"/>
  <c r="P10" i="6"/>
  <c r="Q10" i="6"/>
  <c r="R10" i="6"/>
  <c r="S10" i="6"/>
  <c r="T10" i="6"/>
  <c r="U10" i="6"/>
  <c r="V10" i="6"/>
  <c r="W10" i="6"/>
  <c r="X10" i="6"/>
  <c r="Y10" i="6"/>
  <c r="Z10" i="6"/>
  <c r="D11" i="6"/>
  <c r="E11" i="6"/>
  <c r="F11" i="6"/>
  <c r="G11" i="6"/>
  <c r="H11" i="6"/>
  <c r="I11" i="6"/>
  <c r="J11" i="6"/>
  <c r="K11" i="6"/>
  <c r="L11" i="6"/>
  <c r="M11" i="6"/>
  <c r="N11" i="6"/>
  <c r="O11" i="6"/>
  <c r="P11" i="6"/>
  <c r="Q11" i="6"/>
  <c r="R11" i="6"/>
  <c r="S11" i="6"/>
  <c r="T11" i="6"/>
  <c r="U11" i="6"/>
  <c r="V11" i="6"/>
  <c r="W11" i="6"/>
  <c r="X11" i="6"/>
  <c r="Y11" i="6"/>
  <c r="Z11" i="6"/>
  <c r="D12" i="6"/>
  <c r="E12" i="6"/>
  <c r="F12" i="6"/>
  <c r="G12" i="6"/>
  <c r="H12" i="6"/>
  <c r="I12" i="6"/>
  <c r="J12" i="6"/>
  <c r="K12" i="6"/>
  <c r="L12" i="6"/>
  <c r="M12" i="6"/>
  <c r="N12" i="6"/>
  <c r="O12" i="6"/>
  <c r="P12" i="6"/>
  <c r="Q12" i="6"/>
  <c r="R12" i="6"/>
  <c r="S12" i="6"/>
  <c r="T12" i="6"/>
  <c r="U12" i="6"/>
  <c r="V12" i="6"/>
  <c r="W12" i="6"/>
  <c r="X12" i="6"/>
  <c r="Y12" i="6"/>
  <c r="Z12" i="6"/>
  <c r="D13" i="6"/>
  <c r="E13" i="6"/>
  <c r="F13" i="6"/>
  <c r="G13" i="6"/>
  <c r="H13" i="6"/>
  <c r="I13" i="6"/>
  <c r="J13" i="6"/>
  <c r="K13" i="6"/>
  <c r="L13" i="6"/>
  <c r="M13" i="6"/>
  <c r="N13" i="6"/>
  <c r="O13" i="6"/>
  <c r="P13" i="6"/>
  <c r="Q13" i="6"/>
  <c r="R13" i="6"/>
  <c r="S13" i="6"/>
  <c r="T13" i="6"/>
  <c r="U13" i="6"/>
  <c r="V13" i="6"/>
  <c r="W13" i="6"/>
  <c r="X13" i="6"/>
  <c r="Y13" i="6"/>
  <c r="Z13" i="6"/>
  <c r="D14" i="6"/>
  <c r="E14" i="6"/>
  <c r="F14" i="6"/>
  <c r="G14" i="6"/>
  <c r="H14" i="6"/>
  <c r="I14" i="6"/>
  <c r="J14" i="6"/>
  <c r="K14" i="6"/>
  <c r="L14" i="6"/>
  <c r="M14" i="6"/>
  <c r="N14" i="6"/>
  <c r="O14" i="6"/>
  <c r="P14" i="6"/>
  <c r="Q14" i="6"/>
  <c r="R14" i="6"/>
  <c r="S14" i="6"/>
  <c r="T14" i="6"/>
  <c r="U14" i="6"/>
  <c r="V14" i="6"/>
  <c r="W14" i="6"/>
  <c r="X14" i="6"/>
  <c r="Y14" i="6"/>
  <c r="Z14" i="6"/>
  <c r="D15" i="6"/>
  <c r="E15" i="6"/>
  <c r="F15" i="6"/>
  <c r="G15" i="6"/>
  <c r="H15" i="6"/>
  <c r="I15" i="6"/>
  <c r="J15" i="6"/>
  <c r="K15" i="6"/>
  <c r="L15" i="6"/>
  <c r="M15" i="6"/>
  <c r="N15" i="6"/>
  <c r="O15" i="6"/>
  <c r="P15" i="6"/>
  <c r="Q15" i="6"/>
  <c r="R15" i="6"/>
  <c r="S15" i="6"/>
  <c r="T15" i="6"/>
  <c r="U15" i="6"/>
  <c r="V15" i="6"/>
  <c r="W15" i="6"/>
  <c r="X15" i="6"/>
  <c r="Y15" i="6"/>
  <c r="Z15" i="6"/>
  <c r="D16" i="6"/>
  <c r="E16" i="6"/>
  <c r="F16" i="6"/>
  <c r="G16" i="6"/>
  <c r="H16" i="6"/>
  <c r="I16" i="6"/>
  <c r="J16" i="6"/>
  <c r="K16" i="6"/>
  <c r="L16" i="6"/>
  <c r="M16" i="6"/>
  <c r="N16" i="6"/>
  <c r="O16" i="6"/>
  <c r="P16" i="6"/>
  <c r="Q16" i="6"/>
  <c r="R16" i="6"/>
  <c r="S16" i="6"/>
  <c r="T16" i="6"/>
  <c r="U16" i="6"/>
  <c r="V16" i="6"/>
  <c r="W16" i="6"/>
  <c r="X16" i="6"/>
  <c r="Y16" i="6"/>
  <c r="Z16" i="6"/>
  <c r="D17" i="6"/>
  <c r="E17" i="6"/>
  <c r="F17" i="6"/>
  <c r="G17" i="6"/>
  <c r="H17" i="6"/>
  <c r="I17" i="6"/>
  <c r="J17" i="6"/>
  <c r="K17" i="6"/>
  <c r="L17" i="6"/>
  <c r="M17" i="6"/>
  <c r="N17" i="6"/>
  <c r="O17" i="6"/>
  <c r="P17" i="6"/>
  <c r="Q17" i="6"/>
  <c r="R17" i="6"/>
  <c r="S17" i="6"/>
  <c r="T17" i="6"/>
  <c r="U17" i="6"/>
  <c r="V17" i="6"/>
  <c r="W17" i="6"/>
  <c r="X17" i="6"/>
  <c r="Y17" i="6"/>
  <c r="Z17" i="6"/>
  <c r="D18" i="6"/>
  <c r="E18" i="6"/>
  <c r="F18" i="6"/>
  <c r="G18" i="6"/>
  <c r="H18" i="6"/>
  <c r="I18" i="6"/>
  <c r="J18" i="6"/>
  <c r="K18" i="6"/>
  <c r="L18" i="6"/>
  <c r="M18" i="6"/>
  <c r="N18" i="6"/>
  <c r="O18" i="6"/>
  <c r="P18" i="6"/>
  <c r="Q18" i="6"/>
  <c r="R18" i="6"/>
  <c r="S18" i="6"/>
  <c r="T18" i="6"/>
  <c r="U18" i="6"/>
  <c r="V18" i="6"/>
  <c r="W18" i="6"/>
  <c r="X18" i="6"/>
  <c r="Y18" i="6"/>
  <c r="Z18" i="6"/>
  <c r="D19" i="6"/>
  <c r="E19" i="6"/>
  <c r="F19" i="6"/>
  <c r="G19" i="6"/>
  <c r="H19" i="6"/>
  <c r="I19" i="6"/>
  <c r="J19" i="6"/>
  <c r="K19" i="6"/>
  <c r="L19" i="6"/>
  <c r="M19" i="6"/>
  <c r="N19" i="6"/>
  <c r="O19" i="6"/>
  <c r="P19" i="6"/>
  <c r="Q19" i="6"/>
  <c r="R19" i="6"/>
  <c r="S19" i="6"/>
  <c r="T19" i="6"/>
  <c r="U19" i="6"/>
  <c r="V19" i="6"/>
  <c r="W19" i="6"/>
  <c r="X19" i="6"/>
  <c r="Y19" i="6"/>
  <c r="Z19" i="6"/>
  <c r="D20" i="6"/>
  <c r="E20" i="6"/>
  <c r="F20" i="6"/>
  <c r="G20" i="6"/>
  <c r="H20" i="6"/>
  <c r="I20" i="6"/>
  <c r="J20" i="6"/>
  <c r="K20" i="6"/>
  <c r="L20" i="6"/>
  <c r="M20" i="6"/>
  <c r="N20" i="6"/>
  <c r="O20" i="6"/>
  <c r="P20" i="6"/>
  <c r="Q20" i="6"/>
  <c r="R20" i="6"/>
  <c r="S20" i="6"/>
  <c r="T20" i="6"/>
  <c r="U20" i="6"/>
  <c r="V20" i="6"/>
  <c r="W20" i="6"/>
  <c r="X20" i="6"/>
  <c r="Y20" i="6"/>
  <c r="Z20" i="6"/>
  <c r="D21" i="6"/>
  <c r="E21" i="6"/>
  <c r="F21" i="6"/>
  <c r="G21" i="6"/>
  <c r="H21" i="6"/>
  <c r="I21" i="6"/>
  <c r="J21" i="6"/>
  <c r="K21" i="6"/>
  <c r="L21" i="6"/>
  <c r="M21" i="6"/>
  <c r="N21" i="6"/>
  <c r="O21" i="6"/>
  <c r="P21" i="6"/>
  <c r="Q21" i="6"/>
  <c r="R21" i="6"/>
  <c r="S21" i="6"/>
  <c r="T21" i="6"/>
  <c r="U21" i="6"/>
  <c r="V21" i="6"/>
  <c r="W21" i="6"/>
  <c r="X21" i="6"/>
  <c r="Y21" i="6"/>
  <c r="Z21" i="6"/>
  <c r="D22" i="6"/>
  <c r="E22" i="6"/>
  <c r="F22" i="6"/>
  <c r="G22" i="6"/>
  <c r="H22" i="6"/>
  <c r="I22" i="6"/>
  <c r="J22" i="6"/>
  <c r="K22" i="6"/>
  <c r="L22" i="6"/>
  <c r="M22" i="6"/>
  <c r="N22" i="6"/>
  <c r="O22" i="6"/>
  <c r="P22" i="6"/>
  <c r="Q22" i="6"/>
  <c r="R22" i="6"/>
  <c r="S22" i="6"/>
  <c r="T22" i="6"/>
  <c r="U22" i="6"/>
  <c r="V22" i="6"/>
  <c r="W22" i="6"/>
  <c r="X22" i="6"/>
  <c r="Y22" i="6"/>
  <c r="Z22" i="6"/>
  <c r="D23" i="6"/>
  <c r="E23" i="6"/>
  <c r="F23" i="6"/>
  <c r="G23" i="6"/>
  <c r="H23" i="6"/>
  <c r="I23" i="6"/>
  <c r="J23" i="6"/>
  <c r="K23" i="6"/>
  <c r="L23" i="6"/>
  <c r="M23" i="6"/>
  <c r="N23" i="6"/>
  <c r="O23" i="6"/>
  <c r="P23" i="6"/>
  <c r="Q23" i="6"/>
  <c r="R23" i="6"/>
  <c r="S23" i="6"/>
  <c r="T23" i="6"/>
  <c r="U23" i="6"/>
  <c r="V23" i="6"/>
  <c r="W23" i="6"/>
  <c r="X23" i="6"/>
  <c r="Y23" i="6"/>
  <c r="Z23" i="6"/>
  <c r="D24" i="6"/>
  <c r="E24" i="6"/>
  <c r="F24" i="6"/>
  <c r="G24" i="6"/>
  <c r="H24" i="6"/>
  <c r="I24" i="6"/>
  <c r="J24" i="6"/>
  <c r="K24" i="6"/>
  <c r="L24" i="6"/>
  <c r="M24" i="6"/>
  <c r="N24" i="6"/>
  <c r="O24" i="6"/>
  <c r="P24" i="6"/>
  <c r="Q24" i="6"/>
  <c r="R24" i="6"/>
  <c r="S24" i="6"/>
  <c r="T24" i="6"/>
  <c r="U24" i="6"/>
  <c r="V24" i="6"/>
  <c r="W24" i="6"/>
  <c r="X24" i="6"/>
  <c r="Y24" i="6"/>
  <c r="Z24" i="6"/>
  <c r="D25" i="6"/>
  <c r="E25" i="6"/>
  <c r="F25" i="6"/>
  <c r="G25" i="6"/>
  <c r="H25" i="6"/>
  <c r="I25" i="6"/>
  <c r="J25" i="6"/>
  <c r="K25" i="6"/>
  <c r="L25" i="6"/>
  <c r="M25" i="6"/>
  <c r="N25" i="6"/>
  <c r="O25" i="6"/>
  <c r="P25" i="6"/>
  <c r="Q25" i="6"/>
  <c r="R25" i="6"/>
  <c r="S25" i="6"/>
  <c r="T25" i="6"/>
  <c r="U25" i="6"/>
  <c r="V25" i="6"/>
  <c r="W25" i="6"/>
  <c r="X25" i="6"/>
  <c r="Y25" i="6"/>
  <c r="Z25" i="6"/>
  <c r="D26" i="6"/>
  <c r="E26" i="6"/>
  <c r="F26" i="6"/>
  <c r="G26" i="6"/>
  <c r="H26" i="6"/>
  <c r="I26" i="6"/>
  <c r="J26" i="6"/>
  <c r="K26" i="6"/>
  <c r="L26" i="6"/>
  <c r="M26" i="6"/>
  <c r="N26" i="6"/>
  <c r="O26" i="6"/>
  <c r="P26" i="6"/>
  <c r="Q26" i="6"/>
  <c r="R26" i="6"/>
  <c r="S26" i="6"/>
  <c r="T26" i="6"/>
  <c r="U26" i="6"/>
  <c r="V26" i="6"/>
  <c r="W26" i="6"/>
  <c r="X26" i="6"/>
  <c r="Y26" i="6"/>
  <c r="Z26" i="6"/>
  <c r="D27" i="6"/>
  <c r="E27" i="6"/>
  <c r="F27" i="6"/>
  <c r="G27" i="6"/>
  <c r="H27" i="6"/>
  <c r="I27" i="6"/>
  <c r="J27" i="6"/>
  <c r="K27" i="6"/>
  <c r="L27" i="6"/>
  <c r="M27" i="6"/>
  <c r="N27" i="6"/>
  <c r="O27" i="6"/>
  <c r="P27" i="6"/>
  <c r="Q27" i="6"/>
  <c r="R27" i="6"/>
  <c r="S27" i="6"/>
  <c r="T27" i="6"/>
  <c r="U27" i="6"/>
  <c r="V27" i="6"/>
  <c r="W27" i="6"/>
  <c r="X27" i="6"/>
  <c r="Y27" i="6"/>
  <c r="Z27" i="6"/>
  <c r="D28" i="6"/>
  <c r="E28" i="6"/>
  <c r="F28" i="6"/>
  <c r="G28" i="6"/>
  <c r="H28" i="6"/>
  <c r="I28" i="6"/>
  <c r="J28" i="6"/>
  <c r="K28" i="6"/>
  <c r="L28" i="6"/>
  <c r="M28" i="6"/>
  <c r="N28" i="6"/>
  <c r="O28" i="6"/>
  <c r="P28" i="6"/>
  <c r="Q28" i="6"/>
  <c r="R28" i="6"/>
  <c r="S28" i="6"/>
  <c r="T28" i="6"/>
  <c r="U28" i="6"/>
  <c r="V28" i="6"/>
  <c r="W28" i="6"/>
  <c r="X28" i="6"/>
  <c r="Y28" i="6"/>
  <c r="Z28" i="6"/>
  <c r="D29" i="6"/>
  <c r="E29" i="6"/>
  <c r="F29" i="6"/>
  <c r="G29" i="6"/>
  <c r="H29" i="6"/>
  <c r="I29" i="6"/>
  <c r="J29" i="6"/>
  <c r="K29" i="6"/>
  <c r="L29" i="6"/>
  <c r="M29" i="6"/>
  <c r="N29" i="6"/>
  <c r="O29" i="6"/>
  <c r="P29" i="6"/>
  <c r="Q29" i="6"/>
  <c r="R29" i="6"/>
  <c r="S29" i="6"/>
  <c r="T29" i="6"/>
  <c r="U29" i="6"/>
  <c r="V29" i="6"/>
  <c r="W29" i="6"/>
  <c r="X29" i="6"/>
  <c r="Y29" i="6"/>
  <c r="Z29" i="6"/>
  <c r="D30" i="6"/>
  <c r="E30" i="6"/>
  <c r="F30" i="6"/>
  <c r="G30" i="6"/>
  <c r="H30" i="6"/>
  <c r="I30" i="6"/>
  <c r="J30" i="6"/>
  <c r="K30" i="6"/>
  <c r="L30" i="6"/>
  <c r="M30" i="6"/>
  <c r="N30" i="6"/>
  <c r="O30" i="6"/>
  <c r="P30" i="6"/>
  <c r="Q30" i="6"/>
  <c r="R30" i="6"/>
  <c r="S30" i="6"/>
  <c r="T30" i="6"/>
  <c r="U30" i="6"/>
  <c r="V30" i="6"/>
  <c r="W30" i="6"/>
  <c r="X30" i="6"/>
  <c r="Y30" i="6"/>
  <c r="Z30" i="6"/>
  <c r="D31" i="6"/>
  <c r="E31" i="6"/>
  <c r="F31" i="6"/>
  <c r="G31" i="6"/>
  <c r="H31" i="6"/>
  <c r="I31" i="6"/>
  <c r="J31" i="6"/>
  <c r="K31" i="6"/>
  <c r="L31" i="6"/>
  <c r="M31" i="6"/>
  <c r="N31" i="6"/>
  <c r="O31" i="6"/>
  <c r="P31" i="6"/>
  <c r="Q31" i="6"/>
  <c r="R31" i="6"/>
  <c r="S31" i="6"/>
  <c r="T31" i="6"/>
  <c r="U31" i="6"/>
  <c r="V31" i="6"/>
  <c r="W31" i="6"/>
  <c r="X31" i="6"/>
  <c r="Y31" i="6"/>
  <c r="Z31" i="6"/>
  <c r="D32" i="6"/>
  <c r="E32" i="6"/>
  <c r="F32" i="6"/>
  <c r="G32" i="6"/>
  <c r="H32" i="6"/>
  <c r="I32" i="6"/>
  <c r="J32" i="6"/>
  <c r="K32" i="6"/>
  <c r="L32" i="6"/>
  <c r="M32" i="6"/>
  <c r="N32" i="6"/>
  <c r="O32" i="6"/>
  <c r="P32" i="6"/>
  <c r="Q32" i="6"/>
  <c r="R32" i="6"/>
  <c r="S32" i="6"/>
  <c r="T32" i="6"/>
  <c r="U32" i="6"/>
  <c r="V32" i="6"/>
  <c r="W32" i="6"/>
  <c r="X32" i="6"/>
  <c r="Y32" i="6"/>
  <c r="Z32" i="6"/>
  <c r="D33" i="6"/>
  <c r="E33" i="6"/>
  <c r="F33" i="6"/>
  <c r="G33" i="6"/>
  <c r="H33" i="6"/>
  <c r="I33" i="6"/>
  <c r="J33" i="6"/>
  <c r="K33" i="6"/>
  <c r="L33" i="6"/>
  <c r="M33" i="6"/>
  <c r="N33" i="6"/>
  <c r="O33" i="6"/>
  <c r="P33" i="6"/>
  <c r="Q33" i="6"/>
  <c r="R33" i="6"/>
  <c r="S33" i="6"/>
  <c r="T33" i="6"/>
  <c r="U33" i="6"/>
  <c r="V33" i="6"/>
  <c r="W33" i="6"/>
  <c r="X33" i="6"/>
  <c r="Y33" i="6"/>
  <c r="Z33" i="6"/>
  <c r="D34" i="6"/>
  <c r="E34" i="6"/>
  <c r="F34" i="6"/>
  <c r="G34" i="6"/>
  <c r="H34" i="6"/>
  <c r="I34" i="6"/>
  <c r="J34" i="6"/>
  <c r="K34" i="6"/>
  <c r="L34" i="6"/>
  <c r="M34" i="6"/>
  <c r="N34" i="6"/>
  <c r="O34" i="6"/>
  <c r="P34" i="6"/>
  <c r="Q34" i="6"/>
  <c r="R34" i="6"/>
  <c r="S34" i="6"/>
  <c r="T34" i="6"/>
  <c r="U34" i="6"/>
  <c r="V34" i="6"/>
  <c r="W34" i="6"/>
  <c r="X34" i="6"/>
  <c r="Y34" i="6"/>
  <c r="Z34" i="6"/>
  <c r="D35" i="6"/>
  <c r="E35" i="6"/>
  <c r="F35" i="6"/>
  <c r="G35" i="6"/>
  <c r="H35" i="6"/>
  <c r="I35" i="6"/>
  <c r="J35" i="6"/>
  <c r="K35" i="6"/>
  <c r="L35" i="6"/>
  <c r="M35" i="6"/>
  <c r="N35" i="6"/>
  <c r="O35" i="6"/>
  <c r="P35" i="6"/>
  <c r="Q35" i="6"/>
  <c r="R35" i="6"/>
  <c r="S35" i="6"/>
  <c r="T35" i="6"/>
  <c r="U35" i="6"/>
  <c r="V35" i="6"/>
  <c r="W35" i="6"/>
  <c r="X35" i="6"/>
  <c r="Y35" i="6"/>
  <c r="Z35" i="6"/>
  <c r="D36" i="6"/>
  <c r="E36" i="6"/>
  <c r="F36" i="6"/>
  <c r="G36" i="6"/>
  <c r="H36" i="6"/>
  <c r="I36" i="6"/>
  <c r="J36" i="6"/>
  <c r="K36" i="6"/>
  <c r="L36" i="6"/>
  <c r="M36" i="6"/>
  <c r="N36" i="6"/>
  <c r="O36" i="6"/>
  <c r="P36" i="6"/>
  <c r="Q36" i="6"/>
  <c r="R36" i="6"/>
  <c r="S36" i="6"/>
  <c r="T36" i="6"/>
  <c r="U36" i="6"/>
  <c r="V36" i="6"/>
  <c r="W36" i="6"/>
  <c r="X36" i="6"/>
  <c r="Y36" i="6"/>
  <c r="Z36" i="6"/>
  <c r="D37" i="6"/>
  <c r="E37" i="6"/>
  <c r="F37" i="6"/>
  <c r="G37" i="6"/>
  <c r="H37" i="6"/>
  <c r="I37" i="6"/>
  <c r="J37" i="6"/>
  <c r="K37" i="6"/>
  <c r="L37" i="6"/>
  <c r="M37" i="6"/>
  <c r="N37" i="6"/>
  <c r="O37" i="6"/>
  <c r="P37" i="6"/>
  <c r="Q37" i="6"/>
  <c r="R37" i="6"/>
  <c r="S37" i="6"/>
  <c r="T37" i="6"/>
  <c r="U37" i="6"/>
  <c r="V37" i="6"/>
  <c r="W37" i="6"/>
  <c r="X37" i="6"/>
  <c r="Y37" i="6"/>
  <c r="Z37" i="6"/>
  <c r="D38" i="6"/>
  <c r="E38" i="6"/>
  <c r="F38" i="6"/>
  <c r="G38" i="6"/>
  <c r="H38" i="6"/>
  <c r="I38" i="6"/>
  <c r="J38" i="6"/>
  <c r="K38" i="6"/>
  <c r="L38" i="6"/>
  <c r="M38" i="6"/>
  <c r="N38" i="6"/>
  <c r="O38" i="6"/>
  <c r="P38" i="6"/>
  <c r="Q38" i="6"/>
  <c r="R38" i="6"/>
  <c r="S38" i="6"/>
  <c r="T38" i="6"/>
  <c r="U38" i="6"/>
  <c r="V38" i="6"/>
  <c r="W38" i="6"/>
  <c r="X38" i="6"/>
  <c r="Y38" i="6"/>
  <c r="Z38" i="6"/>
  <c r="D39" i="6"/>
  <c r="E39" i="6"/>
  <c r="F39" i="6"/>
  <c r="G39" i="6"/>
  <c r="H39" i="6"/>
  <c r="I39" i="6"/>
  <c r="J39" i="6"/>
  <c r="K39" i="6"/>
  <c r="L39" i="6"/>
  <c r="M39" i="6"/>
  <c r="N39" i="6"/>
  <c r="O39" i="6"/>
  <c r="P39" i="6"/>
  <c r="Q39" i="6"/>
  <c r="R39" i="6"/>
  <c r="S39" i="6"/>
  <c r="T39" i="6"/>
  <c r="U39" i="6"/>
  <c r="V39" i="6"/>
  <c r="W39" i="6"/>
  <c r="X39" i="6"/>
  <c r="Y39" i="6"/>
  <c r="Z39" i="6"/>
  <c r="D40" i="6"/>
  <c r="E40" i="6"/>
  <c r="F40" i="6"/>
  <c r="G40" i="6"/>
  <c r="H40" i="6"/>
  <c r="I40" i="6"/>
  <c r="J40" i="6"/>
  <c r="K40" i="6"/>
  <c r="L40" i="6"/>
  <c r="M40" i="6"/>
  <c r="N40" i="6"/>
  <c r="O40" i="6"/>
  <c r="P40" i="6"/>
  <c r="Q40" i="6"/>
  <c r="R40" i="6"/>
  <c r="S40" i="6"/>
  <c r="T40" i="6"/>
  <c r="U40" i="6"/>
  <c r="V40" i="6"/>
  <c r="W40" i="6"/>
  <c r="X40" i="6"/>
  <c r="Y40" i="6"/>
  <c r="Z40" i="6"/>
  <c r="D41" i="6"/>
  <c r="E41" i="6"/>
  <c r="F41" i="6"/>
  <c r="G41" i="6"/>
  <c r="H41" i="6"/>
  <c r="I41" i="6"/>
  <c r="J41" i="6"/>
  <c r="K41" i="6"/>
  <c r="L41" i="6"/>
  <c r="M41" i="6"/>
  <c r="N41" i="6"/>
  <c r="O41" i="6"/>
  <c r="P41" i="6"/>
  <c r="Q41" i="6"/>
  <c r="R41" i="6"/>
  <c r="S41" i="6"/>
  <c r="T41" i="6"/>
  <c r="U41" i="6"/>
  <c r="V41" i="6"/>
  <c r="W41" i="6"/>
  <c r="X41" i="6"/>
  <c r="Y41" i="6"/>
  <c r="Z41" i="6"/>
  <c r="D42" i="6"/>
  <c r="E42" i="6"/>
  <c r="F42" i="6"/>
  <c r="G42" i="6"/>
  <c r="H42" i="6"/>
  <c r="I42" i="6"/>
  <c r="J42" i="6"/>
  <c r="K42" i="6"/>
  <c r="L42" i="6"/>
  <c r="M42" i="6"/>
  <c r="N42" i="6"/>
  <c r="O42" i="6"/>
  <c r="P42" i="6"/>
  <c r="Q42" i="6"/>
  <c r="R42" i="6"/>
  <c r="S42" i="6"/>
  <c r="T42" i="6"/>
  <c r="U42" i="6"/>
  <c r="V42" i="6"/>
  <c r="W42" i="6"/>
  <c r="X42" i="6"/>
  <c r="Y42" i="6"/>
  <c r="Z42" i="6"/>
  <c r="D43" i="6"/>
  <c r="E43" i="6"/>
  <c r="F43" i="6"/>
  <c r="G43" i="6"/>
  <c r="H43" i="6"/>
  <c r="I43" i="6"/>
  <c r="J43" i="6"/>
  <c r="K43" i="6"/>
  <c r="L43" i="6"/>
  <c r="M43" i="6"/>
  <c r="N43" i="6"/>
  <c r="O43" i="6"/>
  <c r="P43" i="6"/>
  <c r="Q43" i="6"/>
  <c r="R43" i="6"/>
  <c r="S43" i="6"/>
  <c r="T43" i="6"/>
  <c r="U43" i="6"/>
  <c r="V43" i="6"/>
  <c r="W43" i="6"/>
  <c r="X43" i="6"/>
  <c r="Y43" i="6"/>
  <c r="Z43" i="6"/>
  <c r="D44" i="6"/>
  <c r="E44" i="6"/>
  <c r="F44" i="6"/>
  <c r="G44" i="6"/>
  <c r="H44" i="6"/>
  <c r="I44" i="6"/>
  <c r="J44" i="6"/>
  <c r="K44" i="6"/>
  <c r="L44" i="6"/>
  <c r="M44" i="6"/>
  <c r="N44" i="6"/>
  <c r="O44" i="6"/>
  <c r="P44" i="6"/>
  <c r="Q44" i="6"/>
  <c r="R44" i="6"/>
  <c r="S44" i="6"/>
  <c r="T44" i="6"/>
  <c r="U44" i="6"/>
  <c r="V44" i="6"/>
  <c r="W44" i="6"/>
  <c r="X44" i="6"/>
  <c r="Y44" i="6"/>
  <c r="Z44" i="6"/>
  <c r="D45" i="6"/>
  <c r="E45" i="6"/>
  <c r="F45" i="6"/>
  <c r="G45" i="6"/>
  <c r="H45" i="6"/>
  <c r="I45" i="6"/>
  <c r="J45" i="6"/>
  <c r="K45" i="6"/>
  <c r="L45" i="6"/>
  <c r="M45" i="6"/>
  <c r="N45" i="6"/>
  <c r="O45" i="6"/>
  <c r="P45" i="6"/>
  <c r="Q45" i="6"/>
  <c r="R45" i="6"/>
  <c r="S45" i="6"/>
  <c r="T45" i="6"/>
  <c r="U45" i="6"/>
  <c r="V45" i="6"/>
  <c r="W45" i="6"/>
  <c r="X45" i="6"/>
  <c r="Y45" i="6"/>
  <c r="Z45" i="6"/>
  <c r="D46" i="6"/>
  <c r="E46" i="6"/>
  <c r="F46" i="6"/>
  <c r="G46" i="6"/>
  <c r="H46" i="6"/>
  <c r="I46" i="6"/>
  <c r="J46" i="6"/>
  <c r="K46" i="6"/>
  <c r="L46" i="6"/>
  <c r="M46" i="6"/>
  <c r="N46" i="6"/>
  <c r="O46" i="6"/>
  <c r="P46" i="6"/>
  <c r="Q46" i="6"/>
  <c r="R46" i="6"/>
  <c r="S46" i="6"/>
  <c r="T46" i="6"/>
  <c r="U46" i="6"/>
  <c r="V46" i="6"/>
  <c r="W46" i="6"/>
  <c r="X46" i="6"/>
  <c r="Y46" i="6"/>
  <c r="Z46" i="6"/>
  <c r="D47" i="6"/>
  <c r="E47" i="6"/>
  <c r="F47" i="6"/>
  <c r="G47" i="6"/>
  <c r="H47" i="6"/>
  <c r="I47" i="6"/>
  <c r="J47" i="6"/>
  <c r="K47" i="6"/>
  <c r="L47" i="6"/>
  <c r="M47" i="6"/>
  <c r="N47" i="6"/>
  <c r="O47" i="6"/>
  <c r="P47" i="6"/>
  <c r="Q47" i="6"/>
  <c r="R47" i="6"/>
  <c r="S47" i="6"/>
  <c r="T47" i="6"/>
  <c r="U47" i="6"/>
  <c r="V47" i="6"/>
  <c r="W47" i="6"/>
  <c r="X47" i="6"/>
  <c r="Y47" i="6"/>
  <c r="Z47" i="6"/>
  <c r="D48" i="6"/>
  <c r="E48" i="6"/>
  <c r="F48" i="6"/>
  <c r="G48" i="6"/>
  <c r="H48" i="6"/>
  <c r="I48" i="6"/>
  <c r="J48" i="6"/>
  <c r="K48" i="6"/>
  <c r="L48" i="6"/>
  <c r="M48" i="6"/>
  <c r="N48" i="6"/>
  <c r="O48" i="6"/>
  <c r="P48" i="6"/>
  <c r="Q48" i="6"/>
  <c r="R48" i="6"/>
  <c r="S48" i="6"/>
  <c r="T48" i="6"/>
  <c r="U48" i="6"/>
  <c r="V48" i="6"/>
  <c r="W48" i="6"/>
  <c r="X48" i="6"/>
  <c r="Y48" i="6"/>
  <c r="Z48" i="6"/>
  <c r="D49" i="6"/>
  <c r="E49" i="6"/>
  <c r="F49" i="6"/>
  <c r="G49" i="6"/>
  <c r="H49" i="6"/>
  <c r="I49" i="6"/>
  <c r="J49" i="6"/>
  <c r="K49" i="6"/>
  <c r="L49" i="6"/>
  <c r="M49" i="6"/>
  <c r="N49" i="6"/>
  <c r="O49" i="6"/>
  <c r="P49" i="6"/>
  <c r="Q49" i="6"/>
  <c r="R49" i="6"/>
  <c r="S49" i="6"/>
  <c r="T49" i="6"/>
  <c r="U49" i="6"/>
  <c r="V49" i="6"/>
  <c r="W49" i="6"/>
  <c r="X49" i="6"/>
  <c r="Y49" i="6"/>
  <c r="Z49" i="6"/>
  <c r="D50" i="6"/>
  <c r="E50" i="6"/>
  <c r="F50" i="6"/>
  <c r="G50" i="6"/>
  <c r="H50" i="6"/>
  <c r="I50" i="6"/>
  <c r="J50" i="6"/>
  <c r="K50" i="6"/>
  <c r="L50" i="6"/>
  <c r="M50" i="6"/>
  <c r="N50" i="6"/>
  <c r="O50" i="6"/>
  <c r="P50" i="6"/>
  <c r="Q50" i="6"/>
  <c r="R50" i="6"/>
  <c r="S50" i="6"/>
  <c r="T50" i="6"/>
  <c r="U50" i="6"/>
  <c r="V50" i="6"/>
  <c r="W50" i="6"/>
  <c r="X50" i="6"/>
  <c r="Y50" i="6"/>
  <c r="Z50" i="6"/>
  <c r="D51" i="6"/>
  <c r="E51" i="6"/>
  <c r="F51" i="6"/>
  <c r="G51" i="6"/>
  <c r="H51" i="6"/>
  <c r="I51" i="6"/>
  <c r="J51" i="6"/>
  <c r="K51" i="6"/>
  <c r="L51" i="6"/>
  <c r="M51" i="6"/>
  <c r="N51" i="6"/>
  <c r="O51" i="6"/>
  <c r="P51" i="6"/>
  <c r="Q51" i="6"/>
  <c r="R51" i="6"/>
  <c r="S51" i="6"/>
  <c r="T51" i="6"/>
  <c r="U51" i="6"/>
  <c r="V51" i="6"/>
  <c r="W51" i="6"/>
  <c r="X51" i="6"/>
  <c r="Y51" i="6"/>
  <c r="Z51" i="6"/>
  <c r="D52" i="6"/>
  <c r="E52" i="6"/>
  <c r="F52" i="6"/>
  <c r="G52" i="6"/>
  <c r="H52" i="6"/>
  <c r="I52" i="6"/>
  <c r="J52" i="6"/>
  <c r="K52" i="6"/>
  <c r="L52" i="6"/>
  <c r="M52" i="6"/>
  <c r="N52" i="6"/>
  <c r="O52" i="6"/>
  <c r="P52" i="6"/>
  <c r="Q52" i="6"/>
  <c r="R52" i="6"/>
  <c r="S52" i="6"/>
  <c r="T52" i="6"/>
  <c r="U52" i="6"/>
  <c r="V52" i="6"/>
  <c r="W52" i="6"/>
  <c r="X52" i="6"/>
  <c r="Y52" i="6"/>
  <c r="Z52" i="6"/>
  <c r="D53" i="6"/>
  <c r="E53" i="6"/>
  <c r="F53" i="6"/>
  <c r="G53" i="6"/>
  <c r="H53" i="6"/>
  <c r="I53" i="6"/>
  <c r="J53" i="6"/>
  <c r="K53" i="6"/>
  <c r="L53" i="6"/>
  <c r="M53" i="6"/>
  <c r="N53" i="6"/>
  <c r="O53" i="6"/>
  <c r="P53" i="6"/>
  <c r="Q53" i="6"/>
  <c r="R53" i="6"/>
  <c r="S53" i="6"/>
  <c r="T53" i="6"/>
  <c r="U53" i="6"/>
  <c r="V53" i="6"/>
  <c r="W53" i="6"/>
  <c r="X53" i="6"/>
  <c r="Y53" i="6"/>
  <c r="Z53" i="6"/>
  <c r="D54" i="6"/>
  <c r="E54" i="6"/>
  <c r="F54" i="6"/>
  <c r="G54" i="6"/>
  <c r="H54" i="6"/>
  <c r="I54" i="6"/>
  <c r="J54" i="6"/>
  <c r="K54" i="6"/>
  <c r="L54" i="6"/>
  <c r="M54" i="6"/>
  <c r="N54" i="6"/>
  <c r="O54" i="6"/>
  <c r="P54" i="6"/>
  <c r="Q54" i="6"/>
  <c r="R54" i="6"/>
  <c r="S54" i="6"/>
  <c r="T54" i="6"/>
  <c r="U54" i="6"/>
  <c r="V54" i="6"/>
  <c r="W54" i="6"/>
  <c r="X54" i="6"/>
  <c r="Y54" i="6"/>
  <c r="Z54" i="6"/>
  <c r="D55" i="6"/>
  <c r="E55" i="6"/>
  <c r="F55" i="6"/>
  <c r="G55" i="6"/>
  <c r="H55" i="6"/>
  <c r="I55" i="6"/>
  <c r="J55" i="6"/>
  <c r="K55" i="6"/>
  <c r="L55" i="6"/>
  <c r="M55" i="6"/>
  <c r="N55" i="6"/>
  <c r="O55" i="6"/>
  <c r="P55" i="6"/>
  <c r="Q55" i="6"/>
  <c r="R55" i="6"/>
  <c r="S55" i="6"/>
  <c r="T55" i="6"/>
  <c r="U55" i="6"/>
  <c r="V55" i="6"/>
  <c r="W55" i="6"/>
  <c r="X55" i="6"/>
  <c r="Y55" i="6"/>
  <c r="Z55" i="6"/>
  <c r="D56" i="6"/>
  <c r="E56" i="6"/>
  <c r="F56" i="6"/>
  <c r="G56" i="6"/>
  <c r="H56" i="6"/>
  <c r="I56" i="6"/>
  <c r="J56" i="6"/>
  <c r="K56" i="6"/>
  <c r="L56" i="6"/>
  <c r="M56" i="6"/>
  <c r="N56" i="6"/>
  <c r="O56" i="6"/>
  <c r="P56" i="6"/>
  <c r="Q56" i="6"/>
  <c r="R56" i="6"/>
  <c r="S56" i="6"/>
  <c r="T56" i="6"/>
  <c r="U56" i="6"/>
  <c r="V56" i="6"/>
  <c r="W56" i="6"/>
  <c r="X56" i="6"/>
  <c r="Y56" i="6"/>
  <c r="Z56" i="6"/>
  <c r="D57" i="6"/>
  <c r="E57" i="6"/>
  <c r="F57" i="6"/>
  <c r="G57" i="6"/>
  <c r="H57" i="6"/>
  <c r="I57" i="6"/>
  <c r="J57" i="6"/>
  <c r="K57" i="6"/>
  <c r="L57" i="6"/>
  <c r="M57" i="6"/>
  <c r="N57" i="6"/>
  <c r="O57" i="6"/>
  <c r="P57" i="6"/>
  <c r="Q57" i="6"/>
  <c r="R57" i="6"/>
  <c r="S57" i="6"/>
  <c r="T57" i="6"/>
  <c r="U57" i="6"/>
  <c r="V57" i="6"/>
  <c r="W57" i="6"/>
  <c r="X57" i="6"/>
  <c r="Y57" i="6"/>
  <c r="Z57" i="6"/>
  <c r="D58" i="6"/>
  <c r="E58" i="6"/>
  <c r="F58" i="6"/>
  <c r="G58" i="6"/>
  <c r="H58" i="6"/>
  <c r="I58" i="6"/>
  <c r="J58" i="6"/>
  <c r="K58" i="6"/>
  <c r="L58" i="6"/>
  <c r="M58" i="6"/>
  <c r="N58" i="6"/>
  <c r="O58" i="6"/>
  <c r="P58" i="6"/>
  <c r="Q58" i="6"/>
  <c r="R58" i="6"/>
  <c r="S58" i="6"/>
  <c r="T58" i="6"/>
  <c r="U58" i="6"/>
  <c r="V58" i="6"/>
  <c r="W58" i="6"/>
  <c r="X58" i="6"/>
  <c r="Y58" i="6"/>
  <c r="Z58" i="6"/>
  <c r="D59" i="6"/>
  <c r="E59" i="6"/>
  <c r="F59" i="6"/>
  <c r="G59" i="6"/>
  <c r="H59" i="6"/>
  <c r="I59" i="6"/>
  <c r="J59" i="6"/>
  <c r="K59" i="6"/>
  <c r="L59" i="6"/>
  <c r="M59" i="6"/>
  <c r="N59" i="6"/>
  <c r="O59" i="6"/>
  <c r="P59" i="6"/>
  <c r="Q59" i="6"/>
  <c r="R59" i="6"/>
  <c r="S59" i="6"/>
  <c r="T59" i="6"/>
  <c r="U59" i="6"/>
  <c r="V59" i="6"/>
  <c r="W59" i="6"/>
  <c r="X59" i="6"/>
  <c r="Y59" i="6"/>
  <c r="Z59" i="6"/>
  <c r="D60" i="6"/>
  <c r="E60" i="6"/>
  <c r="F60" i="6"/>
  <c r="G60" i="6"/>
  <c r="H60" i="6"/>
  <c r="I60" i="6"/>
  <c r="J60" i="6"/>
  <c r="K60" i="6"/>
  <c r="L60" i="6"/>
  <c r="M60" i="6"/>
  <c r="N60" i="6"/>
  <c r="O60" i="6"/>
  <c r="P60" i="6"/>
  <c r="Q60" i="6"/>
  <c r="R60" i="6"/>
  <c r="S60" i="6"/>
  <c r="T60" i="6"/>
  <c r="U60" i="6"/>
  <c r="V60" i="6"/>
  <c r="W60" i="6"/>
  <c r="X60" i="6"/>
  <c r="Y60" i="6"/>
  <c r="Z60" i="6"/>
  <c r="D61" i="6"/>
  <c r="E61" i="6"/>
  <c r="F61" i="6"/>
  <c r="G61" i="6"/>
  <c r="H61" i="6"/>
  <c r="I61" i="6"/>
  <c r="J61" i="6"/>
  <c r="K61" i="6"/>
  <c r="L61" i="6"/>
  <c r="M61" i="6"/>
  <c r="N61" i="6"/>
  <c r="O61" i="6"/>
  <c r="P61" i="6"/>
  <c r="Q61" i="6"/>
  <c r="R61" i="6"/>
  <c r="S61" i="6"/>
  <c r="T61" i="6"/>
  <c r="U61" i="6"/>
  <c r="V61" i="6"/>
  <c r="W61" i="6"/>
  <c r="X61" i="6"/>
  <c r="Y61" i="6"/>
  <c r="Z61" i="6"/>
  <c r="D62" i="6"/>
  <c r="E62" i="6"/>
  <c r="F62" i="6"/>
  <c r="G62" i="6"/>
  <c r="H62" i="6"/>
  <c r="I62" i="6"/>
  <c r="J62" i="6"/>
  <c r="K62" i="6"/>
  <c r="L62" i="6"/>
  <c r="M62" i="6"/>
  <c r="N62" i="6"/>
  <c r="O62" i="6"/>
  <c r="P62" i="6"/>
  <c r="Q62" i="6"/>
  <c r="R62" i="6"/>
  <c r="S62" i="6"/>
  <c r="T62" i="6"/>
  <c r="U62" i="6"/>
  <c r="V62" i="6"/>
  <c r="W62" i="6"/>
  <c r="X62" i="6"/>
  <c r="Y62" i="6"/>
  <c r="Z62" i="6"/>
  <c r="D63" i="6"/>
  <c r="E63" i="6"/>
  <c r="F63" i="6"/>
  <c r="G63" i="6"/>
  <c r="H63" i="6"/>
  <c r="I63" i="6"/>
  <c r="J63" i="6"/>
  <c r="K63" i="6"/>
  <c r="L63" i="6"/>
  <c r="M63" i="6"/>
  <c r="N63" i="6"/>
  <c r="O63" i="6"/>
  <c r="P63" i="6"/>
  <c r="Q63" i="6"/>
  <c r="R63" i="6"/>
  <c r="S63" i="6"/>
  <c r="T63" i="6"/>
  <c r="U63" i="6"/>
  <c r="V63" i="6"/>
  <c r="W63" i="6"/>
  <c r="X63" i="6"/>
  <c r="Y63" i="6"/>
  <c r="Z63" i="6"/>
  <c r="D64" i="6"/>
  <c r="E64" i="6"/>
  <c r="F64" i="6"/>
  <c r="G64" i="6"/>
  <c r="H64" i="6"/>
  <c r="I64" i="6"/>
  <c r="J64" i="6"/>
  <c r="K64" i="6"/>
  <c r="L64" i="6"/>
  <c r="M64" i="6"/>
  <c r="N64" i="6"/>
  <c r="O64" i="6"/>
  <c r="P64" i="6"/>
  <c r="Q64" i="6"/>
  <c r="R64" i="6"/>
  <c r="S64" i="6"/>
  <c r="T64" i="6"/>
  <c r="U64" i="6"/>
  <c r="V64" i="6"/>
  <c r="W64" i="6"/>
  <c r="X64" i="6"/>
  <c r="Y64" i="6"/>
  <c r="Z64" i="6"/>
  <c r="D65" i="6"/>
  <c r="E65" i="6"/>
  <c r="F65" i="6"/>
  <c r="G65" i="6"/>
  <c r="H65" i="6"/>
  <c r="I65" i="6"/>
  <c r="J65" i="6"/>
  <c r="K65" i="6"/>
  <c r="L65" i="6"/>
  <c r="M65" i="6"/>
  <c r="N65" i="6"/>
  <c r="O65" i="6"/>
  <c r="P65" i="6"/>
  <c r="Q65" i="6"/>
  <c r="R65" i="6"/>
  <c r="S65" i="6"/>
  <c r="T65" i="6"/>
  <c r="U65" i="6"/>
  <c r="V65" i="6"/>
  <c r="W65" i="6"/>
  <c r="X65" i="6"/>
  <c r="Y65" i="6"/>
  <c r="Z65" i="6"/>
  <c r="D66" i="6"/>
  <c r="E66" i="6"/>
  <c r="F66" i="6"/>
  <c r="G66" i="6"/>
  <c r="H66" i="6"/>
  <c r="I66" i="6"/>
  <c r="J66" i="6"/>
  <c r="K66" i="6"/>
  <c r="L66" i="6"/>
  <c r="M66" i="6"/>
  <c r="N66" i="6"/>
  <c r="O66" i="6"/>
  <c r="P66" i="6"/>
  <c r="Q66" i="6"/>
  <c r="R66" i="6"/>
  <c r="S66" i="6"/>
  <c r="T66" i="6"/>
  <c r="U66" i="6"/>
  <c r="V66" i="6"/>
  <c r="W66" i="6"/>
  <c r="X66" i="6"/>
  <c r="Y66" i="6"/>
  <c r="Z66" i="6"/>
  <c r="D67" i="6"/>
  <c r="E67" i="6"/>
  <c r="F67" i="6"/>
  <c r="G67" i="6"/>
  <c r="H67" i="6"/>
  <c r="I67" i="6"/>
  <c r="J67" i="6"/>
  <c r="K67" i="6"/>
  <c r="L67" i="6"/>
  <c r="M67" i="6"/>
  <c r="N67" i="6"/>
  <c r="O67" i="6"/>
  <c r="P67" i="6"/>
  <c r="Q67" i="6"/>
  <c r="R67" i="6"/>
  <c r="S67" i="6"/>
  <c r="T67" i="6"/>
  <c r="U67" i="6"/>
  <c r="V67" i="6"/>
  <c r="W67" i="6"/>
  <c r="X67" i="6"/>
  <c r="Y67" i="6"/>
  <c r="Z67" i="6"/>
  <c r="D68" i="6"/>
  <c r="E68" i="6"/>
  <c r="F68" i="6"/>
  <c r="G68" i="6"/>
  <c r="H68" i="6"/>
  <c r="I68" i="6"/>
  <c r="J68" i="6"/>
  <c r="K68" i="6"/>
  <c r="L68" i="6"/>
  <c r="M68" i="6"/>
  <c r="N68" i="6"/>
  <c r="O68" i="6"/>
  <c r="P68" i="6"/>
  <c r="Q68" i="6"/>
  <c r="R68" i="6"/>
  <c r="S68" i="6"/>
  <c r="T68" i="6"/>
  <c r="U68" i="6"/>
  <c r="V68" i="6"/>
  <c r="W68" i="6"/>
  <c r="X68" i="6"/>
  <c r="Y68" i="6"/>
  <c r="Z68" i="6"/>
  <c r="D69" i="6"/>
  <c r="E69" i="6"/>
  <c r="F69" i="6"/>
  <c r="G69" i="6"/>
  <c r="H69" i="6"/>
  <c r="I69" i="6"/>
  <c r="J69" i="6"/>
  <c r="K69" i="6"/>
  <c r="L69" i="6"/>
  <c r="M69" i="6"/>
  <c r="N69" i="6"/>
  <c r="O69" i="6"/>
  <c r="P69" i="6"/>
  <c r="Q69" i="6"/>
  <c r="R69" i="6"/>
  <c r="S69" i="6"/>
  <c r="T69" i="6"/>
  <c r="U69" i="6"/>
  <c r="V69" i="6"/>
  <c r="W69" i="6"/>
  <c r="X69" i="6"/>
  <c r="Y69" i="6"/>
  <c r="Z69" i="6"/>
  <c r="D70" i="6"/>
  <c r="E70" i="6"/>
  <c r="F70" i="6"/>
  <c r="G70" i="6"/>
  <c r="H70" i="6"/>
  <c r="I70" i="6"/>
  <c r="J70" i="6"/>
  <c r="K70" i="6"/>
  <c r="L70" i="6"/>
  <c r="M70" i="6"/>
  <c r="N70" i="6"/>
  <c r="O70" i="6"/>
  <c r="P70" i="6"/>
  <c r="Q70" i="6"/>
  <c r="R70" i="6"/>
  <c r="S70" i="6"/>
  <c r="T70" i="6"/>
  <c r="U70" i="6"/>
  <c r="V70" i="6"/>
  <c r="W70" i="6"/>
  <c r="X70" i="6"/>
  <c r="Y70" i="6"/>
  <c r="Z70" i="6"/>
  <c r="D71" i="6"/>
  <c r="E71" i="6"/>
  <c r="F71" i="6"/>
  <c r="G71" i="6"/>
  <c r="H71" i="6"/>
  <c r="I71" i="6"/>
  <c r="J71" i="6"/>
  <c r="K71" i="6"/>
  <c r="L71" i="6"/>
  <c r="M71" i="6"/>
  <c r="N71" i="6"/>
  <c r="O71" i="6"/>
  <c r="P71" i="6"/>
  <c r="Q71" i="6"/>
  <c r="R71" i="6"/>
  <c r="S71" i="6"/>
  <c r="T71" i="6"/>
  <c r="U71" i="6"/>
  <c r="V71" i="6"/>
  <c r="W71" i="6"/>
  <c r="X71" i="6"/>
  <c r="Y71" i="6"/>
  <c r="Z71" i="6"/>
  <c r="D72" i="6"/>
  <c r="E72" i="6"/>
  <c r="F72" i="6"/>
  <c r="G72" i="6"/>
  <c r="H72" i="6"/>
  <c r="I72" i="6"/>
  <c r="J72" i="6"/>
  <c r="K72" i="6"/>
  <c r="L72" i="6"/>
  <c r="M72" i="6"/>
  <c r="N72" i="6"/>
  <c r="O72" i="6"/>
  <c r="P72" i="6"/>
  <c r="Q72" i="6"/>
  <c r="R72" i="6"/>
  <c r="S72" i="6"/>
  <c r="T72" i="6"/>
  <c r="U72" i="6"/>
  <c r="V72" i="6"/>
  <c r="W72" i="6"/>
  <c r="X72" i="6"/>
  <c r="Y72" i="6"/>
  <c r="Z72" i="6"/>
  <c r="D73" i="6"/>
  <c r="E73" i="6"/>
  <c r="F73" i="6"/>
  <c r="G73" i="6"/>
  <c r="H73" i="6"/>
  <c r="I73" i="6"/>
  <c r="J73" i="6"/>
  <c r="K73" i="6"/>
  <c r="L73" i="6"/>
  <c r="M73" i="6"/>
  <c r="N73" i="6"/>
  <c r="O73" i="6"/>
  <c r="P73" i="6"/>
  <c r="Q73" i="6"/>
  <c r="R73" i="6"/>
  <c r="S73" i="6"/>
  <c r="T73" i="6"/>
  <c r="U73" i="6"/>
  <c r="V73" i="6"/>
  <c r="W73" i="6"/>
  <c r="X73" i="6"/>
  <c r="Y73" i="6"/>
  <c r="Z73" i="6"/>
  <c r="D74" i="6"/>
  <c r="E74" i="6"/>
  <c r="F74" i="6"/>
  <c r="G74" i="6"/>
  <c r="H74" i="6"/>
  <c r="I74" i="6"/>
  <c r="J74" i="6"/>
  <c r="K74" i="6"/>
  <c r="L74" i="6"/>
  <c r="M74" i="6"/>
  <c r="N74" i="6"/>
  <c r="O74" i="6"/>
  <c r="P74" i="6"/>
  <c r="Q74" i="6"/>
  <c r="R74" i="6"/>
  <c r="S74" i="6"/>
  <c r="T74" i="6"/>
  <c r="U74" i="6"/>
  <c r="V74" i="6"/>
  <c r="W74" i="6"/>
  <c r="X74" i="6"/>
  <c r="Y74" i="6"/>
  <c r="Z74" i="6"/>
  <c r="D75" i="6"/>
  <c r="E75" i="6"/>
  <c r="F75" i="6"/>
  <c r="G75" i="6"/>
  <c r="H75" i="6"/>
  <c r="I75" i="6"/>
  <c r="J75" i="6"/>
  <c r="K75" i="6"/>
  <c r="L75" i="6"/>
  <c r="M75" i="6"/>
  <c r="N75" i="6"/>
  <c r="O75" i="6"/>
  <c r="P75" i="6"/>
  <c r="Q75" i="6"/>
  <c r="R75" i="6"/>
  <c r="S75" i="6"/>
  <c r="T75" i="6"/>
  <c r="U75" i="6"/>
  <c r="V75" i="6"/>
  <c r="W75" i="6"/>
  <c r="X75" i="6"/>
  <c r="Y75" i="6"/>
  <c r="Z75" i="6"/>
  <c r="D76" i="6"/>
  <c r="E76" i="6"/>
  <c r="F76" i="6"/>
  <c r="G76" i="6"/>
  <c r="H76" i="6"/>
  <c r="I76" i="6"/>
  <c r="J76" i="6"/>
  <c r="K76" i="6"/>
  <c r="L76" i="6"/>
  <c r="M76" i="6"/>
  <c r="N76" i="6"/>
  <c r="O76" i="6"/>
  <c r="P76" i="6"/>
  <c r="Q76" i="6"/>
  <c r="R76" i="6"/>
  <c r="S76" i="6"/>
  <c r="T76" i="6"/>
  <c r="U76" i="6"/>
  <c r="V76" i="6"/>
  <c r="W76" i="6"/>
  <c r="X76" i="6"/>
  <c r="Y76" i="6"/>
  <c r="Z76" i="6"/>
  <c r="D77" i="6"/>
  <c r="E77" i="6"/>
  <c r="F77" i="6"/>
  <c r="G77" i="6"/>
  <c r="H77" i="6"/>
  <c r="I77" i="6"/>
  <c r="J77" i="6"/>
  <c r="K77" i="6"/>
  <c r="L77" i="6"/>
  <c r="M77" i="6"/>
  <c r="N77" i="6"/>
  <c r="O77" i="6"/>
  <c r="P77" i="6"/>
  <c r="Q77" i="6"/>
  <c r="R77" i="6"/>
  <c r="S77" i="6"/>
  <c r="T77" i="6"/>
  <c r="U77" i="6"/>
  <c r="V77" i="6"/>
  <c r="W77" i="6"/>
  <c r="X77" i="6"/>
  <c r="Y77" i="6"/>
  <c r="Z77" i="6"/>
  <c r="D78" i="6"/>
  <c r="E78" i="6"/>
  <c r="F78" i="6"/>
  <c r="G78" i="6"/>
  <c r="H78" i="6"/>
  <c r="I78" i="6"/>
  <c r="J78" i="6"/>
  <c r="K78" i="6"/>
  <c r="L78" i="6"/>
  <c r="M78" i="6"/>
  <c r="N78" i="6"/>
  <c r="O78" i="6"/>
  <c r="P78" i="6"/>
  <c r="Q78" i="6"/>
  <c r="R78" i="6"/>
  <c r="S78" i="6"/>
  <c r="T78" i="6"/>
  <c r="U78" i="6"/>
  <c r="V78" i="6"/>
  <c r="W78" i="6"/>
  <c r="X78" i="6"/>
  <c r="Y78" i="6"/>
  <c r="Z78" i="6"/>
  <c r="D79" i="6"/>
  <c r="E79" i="6"/>
  <c r="F79" i="6"/>
  <c r="G79" i="6"/>
  <c r="H79" i="6"/>
  <c r="I79" i="6"/>
  <c r="J79" i="6"/>
  <c r="K79" i="6"/>
  <c r="L79" i="6"/>
  <c r="M79" i="6"/>
  <c r="N79" i="6"/>
  <c r="O79" i="6"/>
  <c r="P79" i="6"/>
  <c r="Q79" i="6"/>
  <c r="R79" i="6"/>
  <c r="S79" i="6"/>
  <c r="T79" i="6"/>
  <c r="U79" i="6"/>
  <c r="V79" i="6"/>
  <c r="W79" i="6"/>
  <c r="X79" i="6"/>
  <c r="Y79" i="6"/>
  <c r="Z79" i="6"/>
  <c r="D80" i="6"/>
  <c r="E80" i="6"/>
  <c r="F80" i="6"/>
  <c r="G80" i="6"/>
  <c r="H80" i="6"/>
  <c r="I80" i="6"/>
  <c r="J80" i="6"/>
  <c r="K80" i="6"/>
  <c r="L80" i="6"/>
  <c r="M80" i="6"/>
  <c r="N80" i="6"/>
  <c r="O80" i="6"/>
  <c r="P80" i="6"/>
  <c r="Q80" i="6"/>
  <c r="R80" i="6"/>
  <c r="S80" i="6"/>
  <c r="T80" i="6"/>
  <c r="U80" i="6"/>
  <c r="V80" i="6"/>
  <c r="W80" i="6"/>
  <c r="X80" i="6"/>
  <c r="Y80" i="6"/>
  <c r="Z80" i="6"/>
  <c r="D81" i="6"/>
  <c r="E81" i="6"/>
  <c r="F81" i="6"/>
  <c r="G81" i="6"/>
  <c r="H81" i="6"/>
  <c r="I81" i="6"/>
  <c r="J81" i="6"/>
  <c r="K81" i="6"/>
  <c r="L81" i="6"/>
  <c r="M81" i="6"/>
  <c r="N81" i="6"/>
  <c r="O81" i="6"/>
  <c r="P81" i="6"/>
  <c r="Q81" i="6"/>
  <c r="R81" i="6"/>
  <c r="S81" i="6"/>
  <c r="T81" i="6"/>
  <c r="U81" i="6"/>
  <c r="V81" i="6"/>
  <c r="W81" i="6"/>
  <c r="X81" i="6"/>
  <c r="Y81" i="6"/>
  <c r="Z81" i="6"/>
  <c r="D82" i="6"/>
  <c r="E82" i="6"/>
  <c r="F82" i="6"/>
  <c r="G82" i="6"/>
  <c r="H82" i="6"/>
  <c r="I82" i="6"/>
  <c r="J82" i="6"/>
  <c r="K82" i="6"/>
  <c r="L82" i="6"/>
  <c r="M82" i="6"/>
  <c r="N82" i="6"/>
  <c r="O82" i="6"/>
  <c r="P82" i="6"/>
  <c r="Q82" i="6"/>
  <c r="R82" i="6"/>
  <c r="S82" i="6"/>
  <c r="T82" i="6"/>
  <c r="U82" i="6"/>
  <c r="V82" i="6"/>
  <c r="W82" i="6"/>
  <c r="X82" i="6"/>
  <c r="Y82" i="6"/>
  <c r="Z82" i="6"/>
  <c r="D83" i="6"/>
  <c r="E83" i="6"/>
  <c r="F83" i="6"/>
  <c r="G83" i="6"/>
  <c r="H83" i="6"/>
  <c r="I83" i="6"/>
  <c r="J83" i="6"/>
  <c r="K83" i="6"/>
  <c r="L83" i="6"/>
  <c r="M83" i="6"/>
  <c r="N83" i="6"/>
  <c r="O83" i="6"/>
  <c r="P83" i="6"/>
  <c r="Q83" i="6"/>
  <c r="R83" i="6"/>
  <c r="S83" i="6"/>
  <c r="T83" i="6"/>
  <c r="U83" i="6"/>
  <c r="V83" i="6"/>
  <c r="W83" i="6"/>
  <c r="X83" i="6"/>
  <c r="Y83" i="6"/>
  <c r="Z83" i="6"/>
  <c r="D84" i="6"/>
  <c r="E84" i="6"/>
  <c r="F84" i="6"/>
  <c r="G84" i="6"/>
  <c r="H84" i="6"/>
  <c r="I84" i="6"/>
  <c r="J84" i="6"/>
  <c r="K84" i="6"/>
  <c r="L84" i="6"/>
  <c r="M84" i="6"/>
  <c r="N84" i="6"/>
  <c r="O84" i="6"/>
  <c r="P84" i="6"/>
  <c r="Q84" i="6"/>
  <c r="R84" i="6"/>
  <c r="S84" i="6"/>
  <c r="T84" i="6"/>
  <c r="U84" i="6"/>
  <c r="V84" i="6"/>
  <c r="W84" i="6"/>
  <c r="X84" i="6"/>
  <c r="Y84" i="6"/>
  <c r="Z84" i="6"/>
  <c r="D85" i="6"/>
  <c r="E85" i="6"/>
  <c r="F85" i="6"/>
  <c r="G85" i="6"/>
  <c r="H85" i="6"/>
  <c r="I85" i="6"/>
  <c r="J85" i="6"/>
  <c r="K85" i="6"/>
  <c r="L85" i="6"/>
  <c r="M85" i="6"/>
  <c r="N85" i="6"/>
  <c r="O85" i="6"/>
  <c r="P85" i="6"/>
  <c r="Q85" i="6"/>
  <c r="R85" i="6"/>
  <c r="S85" i="6"/>
  <c r="T85" i="6"/>
  <c r="U85" i="6"/>
  <c r="V85" i="6"/>
  <c r="W85" i="6"/>
  <c r="X85" i="6"/>
  <c r="Y85" i="6"/>
  <c r="Z85" i="6"/>
  <c r="D86" i="6"/>
  <c r="E86" i="6"/>
  <c r="F86" i="6"/>
  <c r="G86" i="6"/>
  <c r="H86" i="6"/>
  <c r="I86" i="6"/>
  <c r="J86" i="6"/>
  <c r="K86" i="6"/>
  <c r="L86" i="6"/>
  <c r="M86" i="6"/>
  <c r="N86" i="6"/>
  <c r="O86" i="6"/>
  <c r="P86" i="6"/>
  <c r="Q86" i="6"/>
  <c r="R86" i="6"/>
  <c r="S86" i="6"/>
  <c r="T86" i="6"/>
  <c r="U86" i="6"/>
  <c r="V86" i="6"/>
  <c r="W86" i="6"/>
  <c r="X86" i="6"/>
  <c r="Y86" i="6"/>
  <c r="Z86" i="6"/>
  <c r="D87" i="6"/>
  <c r="E87" i="6"/>
  <c r="F87" i="6"/>
  <c r="G87" i="6"/>
  <c r="H87" i="6"/>
  <c r="I87" i="6"/>
  <c r="J87" i="6"/>
  <c r="K87" i="6"/>
  <c r="L87" i="6"/>
  <c r="M87" i="6"/>
  <c r="N87" i="6"/>
  <c r="O87" i="6"/>
  <c r="P87" i="6"/>
  <c r="Q87" i="6"/>
  <c r="R87" i="6"/>
  <c r="S87" i="6"/>
  <c r="T87" i="6"/>
  <c r="U87" i="6"/>
  <c r="V87" i="6"/>
  <c r="W87" i="6"/>
  <c r="X87" i="6"/>
  <c r="Y87" i="6"/>
  <c r="Z87" i="6"/>
  <c r="D88" i="6"/>
  <c r="E88" i="6"/>
  <c r="F88" i="6"/>
  <c r="G88" i="6"/>
  <c r="H88" i="6"/>
  <c r="I88" i="6"/>
  <c r="J88" i="6"/>
  <c r="K88" i="6"/>
  <c r="L88" i="6"/>
  <c r="M88" i="6"/>
  <c r="N88" i="6"/>
  <c r="O88" i="6"/>
  <c r="P88" i="6"/>
  <c r="Q88" i="6"/>
  <c r="R88" i="6"/>
  <c r="S88" i="6"/>
  <c r="T88" i="6"/>
  <c r="U88" i="6"/>
  <c r="V88" i="6"/>
  <c r="W88" i="6"/>
  <c r="X88" i="6"/>
  <c r="Y88" i="6"/>
  <c r="Z88" i="6"/>
  <c r="D89" i="6"/>
  <c r="E89" i="6"/>
  <c r="F89" i="6"/>
  <c r="G89" i="6"/>
  <c r="H89" i="6"/>
  <c r="I89" i="6"/>
  <c r="J89" i="6"/>
  <c r="K89" i="6"/>
  <c r="L89" i="6"/>
  <c r="M89" i="6"/>
  <c r="N89" i="6"/>
  <c r="O89" i="6"/>
  <c r="P89" i="6"/>
  <c r="Q89" i="6"/>
  <c r="R89" i="6"/>
  <c r="S89" i="6"/>
  <c r="T89" i="6"/>
  <c r="U89" i="6"/>
  <c r="V89" i="6"/>
  <c r="W89" i="6"/>
  <c r="X89" i="6"/>
  <c r="Y89" i="6"/>
  <c r="Z89" i="6"/>
  <c r="D90" i="6"/>
  <c r="E90" i="6"/>
  <c r="F90" i="6"/>
  <c r="G90" i="6"/>
  <c r="H90" i="6"/>
  <c r="I90" i="6"/>
  <c r="J90" i="6"/>
  <c r="K90" i="6"/>
  <c r="L90" i="6"/>
  <c r="M90" i="6"/>
  <c r="N90" i="6"/>
  <c r="O90" i="6"/>
  <c r="P90" i="6"/>
  <c r="Q90" i="6"/>
  <c r="R90" i="6"/>
  <c r="S90" i="6"/>
  <c r="T90" i="6"/>
  <c r="U90" i="6"/>
  <c r="V90" i="6"/>
  <c r="W90" i="6"/>
  <c r="X90" i="6"/>
  <c r="Y90" i="6"/>
  <c r="Z90" i="6"/>
  <c r="D91" i="6"/>
  <c r="E91" i="6"/>
  <c r="F91" i="6"/>
  <c r="G91" i="6"/>
  <c r="H91" i="6"/>
  <c r="I91" i="6"/>
  <c r="J91" i="6"/>
  <c r="K91" i="6"/>
  <c r="L91" i="6"/>
  <c r="M91" i="6"/>
  <c r="N91" i="6"/>
  <c r="O91" i="6"/>
  <c r="P91" i="6"/>
  <c r="Q91" i="6"/>
  <c r="R91" i="6"/>
  <c r="S91" i="6"/>
  <c r="T91" i="6"/>
  <c r="U91" i="6"/>
  <c r="V91" i="6"/>
  <c r="W91" i="6"/>
  <c r="X91" i="6"/>
  <c r="Y91" i="6"/>
  <c r="Z91" i="6"/>
  <c r="D92" i="6"/>
  <c r="E92" i="6"/>
  <c r="F92" i="6"/>
  <c r="G92" i="6"/>
  <c r="H92" i="6"/>
  <c r="I92" i="6"/>
  <c r="J92" i="6"/>
  <c r="K92" i="6"/>
  <c r="L92" i="6"/>
  <c r="M92" i="6"/>
  <c r="N92" i="6"/>
  <c r="O92" i="6"/>
  <c r="P92" i="6"/>
  <c r="Q92" i="6"/>
  <c r="R92" i="6"/>
  <c r="S92" i="6"/>
  <c r="T92" i="6"/>
  <c r="U92" i="6"/>
  <c r="V92" i="6"/>
  <c r="W92" i="6"/>
  <c r="X92" i="6"/>
  <c r="Y92" i="6"/>
  <c r="Z92" i="6"/>
  <c r="D93" i="6"/>
  <c r="E93" i="6"/>
  <c r="F93" i="6"/>
  <c r="G93" i="6"/>
  <c r="H93" i="6"/>
  <c r="I93" i="6"/>
  <c r="J93" i="6"/>
  <c r="K93" i="6"/>
  <c r="L93" i="6"/>
  <c r="M93" i="6"/>
  <c r="N93" i="6"/>
  <c r="O93" i="6"/>
  <c r="P93" i="6"/>
  <c r="Q93" i="6"/>
  <c r="R93" i="6"/>
  <c r="S93" i="6"/>
  <c r="T93" i="6"/>
  <c r="U93" i="6"/>
  <c r="V93" i="6"/>
  <c r="W93" i="6"/>
  <c r="X93" i="6"/>
  <c r="Y93" i="6"/>
  <c r="Z93" i="6"/>
  <c r="D94" i="6"/>
  <c r="E94" i="6"/>
  <c r="F94" i="6"/>
  <c r="G94" i="6"/>
  <c r="H94" i="6"/>
  <c r="I94" i="6"/>
  <c r="J94" i="6"/>
  <c r="K94" i="6"/>
  <c r="L94" i="6"/>
  <c r="M94" i="6"/>
  <c r="N94" i="6"/>
  <c r="O94" i="6"/>
  <c r="P94" i="6"/>
  <c r="Q94" i="6"/>
  <c r="R94" i="6"/>
  <c r="S94" i="6"/>
  <c r="T94" i="6"/>
  <c r="U94" i="6"/>
  <c r="V94" i="6"/>
  <c r="W94" i="6"/>
  <c r="X94" i="6"/>
  <c r="Y94" i="6"/>
  <c r="Z94" i="6"/>
  <c r="D95" i="6"/>
  <c r="E95" i="6"/>
  <c r="F95" i="6"/>
  <c r="G95" i="6"/>
  <c r="H95" i="6"/>
  <c r="I95" i="6"/>
  <c r="J95" i="6"/>
  <c r="K95" i="6"/>
  <c r="L95" i="6"/>
  <c r="M95" i="6"/>
  <c r="N95" i="6"/>
  <c r="O95" i="6"/>
  <c r="P95" i="6"/>
  <c r="Q95" i="6"/>
  <c r="R95" i="6"/>
  <c r="S95" i="6"/>
  <c r="T95" i="6"/>
  <c r="U95" i="6"/>
  <c r="V95" i="6"/>
  <c r="W95" i="6"/>
  <c r="X95" i="6"/>
  <c r="Y95" i="6"/>
  <c r="Z95" i="6"/>
  <c r="D96" i="6"/>
  <c r="E96" i="6"/>
  <c r="F96" i="6"/>
  <c r="G96" i="6"/>
  <c r="H96" i="6"/>
  <c r="I96" i="6"/>
  <c r="J96" i="6"/>
  <c r="K96" i="6"/>
  <c r="L96" i="6"/>
  <c r="M96" i="6"/>
  <c r="N96" i="6"/>
  <c r="O96" i="6"/>
  <c r="P96" i="6"/>
  <c r="Q96" i="6"/>
  <c r="R96" i="6"/>
  <c r="S96" i="6"/>
  <c r="T96" i="6"/>
  <c r="U96" i="6"/>
  <c r="V96" i="6"/>
  <c r="W96" i="6"/>
  <c r="X96" i="6"/>
  <c r="Y96" i="6"/>
  <c r="Z96" i="6"/>
  <c r="D97" i="6"/>
  <c r="E97" i="6"/>
  <c r="F97" i="6"/>
  <c r="G97" i="6"/>
  <c r="H97" i="6"/>
  <c r="I97" i="6"/>
  <c r="J97" i="6"/>
  <c r="K97" i="6"/>
  <c r="L97" i="6"/>
  <c r="M97" i="6"/>
  <c r="N97" i="6"/>
  <c r="O97" i="6"/>
  <c r="P97" i="6"/>
  <c r="Q97" i="6"/>
  <c r="R97" i="6"/>
  <c r="S97" i="6"/>
  <c r="T97" i="6"/>
  <c r="U97" i="6"/>
  <c r="V97" i="6"/>
  <c r="W97" i="6"/>
  <c r="X97" i="6"/>
  <c r="Y97" i="6"/>
  <c r="Z97" i="6"/>
  <c r="D98" i="6"/>
  <c r="E98" i="6"/>
  <c r="F98" i="6"/>
  <c r="G98" i="6"/>
  <c r="H98" i="6"/>
  <c r="I98" i="6"/>
  <c r="J98" i="6"/>
  <c r="K98" i="6"/>
  <c r="L98" i="6"/>
  <c r="M98" i="6"/>
  <c r="N98" i="6"/>
  <c r="O98" i="6"/>
  <c r="P98" i="6"/>
  <c r="Q98" i="6"/>
  <c r="R98" i="6"/>
  <c r="S98" i="6"/>
  <c r="T98" i="6"/>
  <c r="U98" i="6"/>
  <c r="V98" i="6"/>
  <c r="W98" i="6"/>
  <c r="X98" i="6"/>
  <c r="Y98" i="6"/>
  <c r="Z98" i="6"/>
  <c r="D99" i="6"/>
  <c r="E99" i="6"/>
  <c r="F99" i="6"/>
  <c r="G99" i="6"/>
  <c r="H99" i="6"/>
  <c r="I99" i="6"/>
  <c r="J99" i="6"/>
  <c r="K99" i="6"/>
  <c r="L99" i="6"/>
  <c r="M99" i="6"/>
  <c r="N99" i="6"/>
  <c r="O99" i="6"/>
  <c r="P99" i="6"/>
  <c r="Q99" i="6"/>
  <c r="R99" i="6"/>
  <c r="S99" i="6"/>
  <c r="T99" i="6"/>
  <c r="U99" i="6"/>
  <c r="V99" i="6"/>
  <c r="W99" i="6"/>
  <c r="X99" i="6"/>
  <c r="Y99" i="6"/>
  <c r="Z99" i="6"/>
  <c r="D100" i="6"/>
  <c r="E100" i="6"/>
  <c r="F100" i="6"/>
  <c r="G100" i="6"/>
  <c r="H100" i="6"/>
  <c r="I100" i="6"/>
  <c r="J100" i="6"/>
  <c r="K100" i="6"/>
  <c r="L100" i="6"/>
  <c r="M100" i="6"/>
  <c r="N100" i="6"/>
  <c r="O100" i="6"/>
  <c r="P100" i="6"/>
  <c r="Q100" i="6"/>
  <c r="R100" i="6"/>
  <c r="S100" i="6"/>
  <c r="T100" i="6"/>
  <c r="U100" i="6"/>
  <c r="V100" i="6"/>
  <c r="W100" i="6"/>
  <c r="X100" i="6"/>
  <c r="Y100" i="6"/>
  <c r="Z100" i="6"/>
  <c r="D101" i="6"/>
  <c r="E101" i="6"/>
  <c r="F101" i="6"/>
  <c r="G101" i="6"/>
  <c r="H101" i="6"/>
  <c r="I101" i="6"/>
  <c r="J101" i="6"/>
  <c r="K101" i="6"/>
  <c r="L101" i="6"/>
  <c r="M101" i="6"/>
  <c r="N101" i="6"/>
  <c r="O101" i="6"/>
  <c r="P101" i="6"/>
  <c r="Q101" i="6"/>
  <c r="R101" i="6"/>
  <c r="S101" i="6"/>
  <c r="T101" i="6"/>
  <c r="U101" i="6"/>
  <c r="V101" i="6"/>
  <c r="W101" i="6"/>
  <c r="X101" i="6"/>
  <c r="Y101" i="6"/>
  <c r="Z101" i="6"/>
  <c r="D102" i="6"/>
  <c r="E102" i="6"/>
  <c r="F102" i="6"/>
  <c r="G102" i="6"/>
  <c r="H102" i="6"/>
  <c r="I102" i="6"/>
  <c r="J102" i="6"/>
  <c r="K102" i="6"/>
  <c r="L102" i="6"/>
  <c r="M102" i="6"/>
  <c r="N102" i="6"/>
  <c r="O102" i="6"/>
  <c r="P102" i="6"/>
  <c r="Q102" i="6"/>
  <c r="R102" i="6"/>
  <c r="S102" i="6"/>
  <c r="T102" i="6"/>
  <c r="U102" i="6"/>
  <c r="V102" i="6"/>
  <c r="W102" i="6"/>
  <c r="X102" i="6"/>
  <c r="Y102" i="6"/>
  <c r="Z102" i="6"/>
  <c r="D103" i="6"/>
  <c r="E103" i="6"/>
  <c r="F103" i="6"/>
  <c r="G103" i="6"/>
  <c r="H103" i="6"/>
  <c r="I103" i="6"/>
  <c r="J103" i="6"/>
  <c r="K103" i="6"/>
  <c r="L103" i="6"/>
  <c r="M103" i="6"/>
  <c r="N103" i="6"/>
  <c r="O103" i="6"/>
  <c r="P103" i="6"/>
  <c r="Q103" i="6"/>
  <c r="R103" i="6"/>
  <c r="S103" i="6"/>
  <c r="T103" i="6"/>
  <c r="U103" i="6"/>
  <c r="V103" i="6"/>
  <c r="W103" i="6"/>
  <c r="X103" i="6"/>
  <c r="Y103" i="6"/>
  <c r="Z103" i="6"/>
  <c r="D104" i="6"/>
  <c r="E104" i="6"/>
  <c r="F104" i="6"/>
  <c r="G104" i="6"/>
  <c r="H104" i="6"/>
  <c r="I104" i="6"/>
  <c r="J104" i="6"/>
  <c r="K104" i="6"/>
  <c r="L104" i="6"/>
  <c r="M104" i="6"/>
  <c r="N104" i="6"/>
  <c r="O104" i="6"/>
  <c r="P104" i="6"/>
  <c r="Q104" i="6"/>
  <c r="R104" i="6"/>
  <c r="S104" i="6"/>
  <c r="T104" i="6"/>
  <c r="U104" i="6"/>
  <c r="V104" i="6"/>
  <c r="W104" i="6"/>
  <c r="X104" i="6"/>
  <c r="Y104" i="6"/>
  <c r="Z104" i="6"/>
  <c r="D105" i="6"/>
  <c r="E105" i="6"/>
  <c r="F105" i="6"/>
  <c r="G105" i="6"/>
  <c r="H105" i="6"/>
  <c r="I105" i="6"/>
  <c r="J105" i="6"/>
  <c r="K105" i="6"/>
  <c r="L105" i="6"/>
  <c r="M105" i="6"/>
  <c r="N105" i="6"/>
  <c r="O105" i="6"/>
  <c r="P105" i="6"/>
  <c r="Q105" i="6"/>
  <c r="R105" i="6"/>
  <c r="S105" i="6"/>
  <c r="T105" i="6"/>
  <c r="U105" i="6"/>
  <c r="V105" i="6"/>
  <c r="W105" i="6"/>
  <c r="X105" i="6"/>
  <c r="Y105" i="6"/>
  <c r="Z105" i="6"/>
  <c r="D106" i="6"/>
  <c r="E106" i="6"/>
  <c r="F106" i="6"/>
  <c r="G106" i="6"/>
  <c r="H106" i="6"/>
  <c r="I106" i="6"/>
  <c r="J106" i="6"/>
  <c r="K106" i="6"/>
  <c r="L106" i="6"/>
  <c r="M106" i="6"/>
  <c r="N106" i="6"/>
  <c r="O106" i="6"/>
  <c r="P106" i="6"/>
  <c r="Q106" i="6"/>
  <c r="R106" i="6"/>
  <c r="S106" i="6"/>
  <c r="T106" i="6"/>
  <c r="U106" i="6"/>
  <c r="V106" i="6"/>
  <c r="W106" i="6"/>
  <c r="X106" i="6"/>
  <c r="Y106" i="6"/>
  <c r="Z106" i="6"/>
  <c r="D107" i="6"/>
  <c r="E107" i="6"/>
  <c r="F107" i="6"/>
  <c r="G107" i="6"/>
  <c r="H107" i="6"/>
  <c r="I107" i="6"/>
  <c r="J107" i="6"/>
  <c r="K107" i="6"/>
  <c r="L107" i="6"/>
  <c r="M107" i="6"/>
  <c r="N107" i="6"/>
  <c r="O107" i="6"/>
  <c r="P107" i="6"/>
  <c r="Q107" i="6"/>
  <c r="R107" i="6"/>
  <c r="S107" i="6"/>
  <c r="T107" i="6"/>
  <c r="U107" i="6"/>
  <c r="V107" i="6"/>
  <c r="W107" i="6"/>
  <c r="X107" i="6"/>
  <c r="Y107" i="6"/>
  <c r="Z107" i="6"/>
  <c r="D108" i="6"/>
  <c r="E108" i="6"/>
  <c r="F108" i="6"/>
  <c r="G108" i="6"/>
  <c r="H108" i="6"/>
  <c r="I108" i="6"/>
  <c r="J108" i="6"/>
  <c r="K108" i="6"/>
  <c r="L108" i="6"/>
  <c r="M108" i="6"/>
  <c r="N108" i="6"/>
  <c r="O108" i="6"/>
  <c r="P108" i="6"/>
  <c r="Q108" i="6"/>
  <c r="R108" i="6"/>
  <c r="S108" i="6"/>
  <c r="T108" i="6"/>
  <c r="U108" i="6"/>
  <c r="V108" i="6"/>
  <c r="W108" i="6"/>
  <c r="X108" i="6"/>
  <c r="Y108" i="6"/>
  <c r="Z108" i="6"/>
  <c r="D109" i="6"/>
  <c r="E109" i="6"/>
  <c r="F109" i="6"/>
  <c r="G109" i="6"/>
  <c r="H109" i="6"/>
  <c r="I109" i="6"/>
  <c r="J109" i="6"/>
  <c r="K109" i="6"/>
  <c r="L109" i="6"/>
  <c r="M109" i="6"/>
  <c r="N109" i="6"/>
  <c r="O109" i="6"/>
  <c r="P109" i="6"/>
  <c r="Q109" i="6"/>
  <c r="R109" i="6"/>
  <c r="S109" i="6"/>
  <c r="T109" i="6"/>
  <c r="U109" i="6"/>
  <c r="V109" i="6"/>
  <c r="W109" i="6"/>
  <c r="X109" i="6"/>
  <c r="Y109" i="6"/>
  <c r="Z109" i="6"/>
  <c r="D110" i="6"/>
  <c r="E110" i="6"/>
  <c r="F110" i="6"/>
  <c r="G110" i="6"/>
  <c r="H110" i="6"/>
  <c r="I110" i="6"/>
  <c r="J110" i="6"/>
  <c r="K110" i="6"/>
  <c r="L110" i="6"/>
  <c r="M110" i="6"/>
  <c r="N110" i="6"/>
  <c r="O110" i="6"/>
  <c r="P110" i="6"/>
  <c r="Q110" i="6"/>
  <c r="R110" i="6"/>
  <c r="S110" i="6"/>
  <c r="T110" i="6"/>
  <c r="U110" i="6"/>
  <c r="V110" i="6"/>
  <c r="W110" i="6"/>
  <c r="X110" i="6"/>
  <c r="Y110" i="6"/>
  <c r="Z110" i="6"/>
  <c r="D111" i="6"/>
  <c r="E111" i="6"/>
  <c r="F111" i="6"/>
  <c r="G111" i="6"/>
  <c r="H111" i="6"/>
  <c r="I111" i="6"/>
  <c r="J111" i="6"/>
  <c r="K111" i="6"/>
  <c r="L111" i="6"/>
  <c r="M111" i="6"/>
  <c r="N111" i="6"/>
  <c r="O111" i="6"/>
  <c r="P111" i="6"/>
  <c r="Q111" i="6"/>
  <c r="R111" i="6"/>
  <c r="S111" i="6"/>
  <c r="T111" i="6"/>
  <c r="U111" i="6"/>
  <c r="V111" i="6"/>
  <c r="W111" i="6"/>
  <c r="X111" i="6"/>
  <c r="Y111" i="6"/>
  <c r="Z111" i="6"/>
  <c r="D112" i="6"/>
  <c r="E112" i="6"/>
  <c r="F112" i="6"/>
  <c r="G112" i="6"/>
  <c r="H112" i="6"/>
  <c r="I112" i="6"/>
  <c r="J112" i="6"/>
  <c r="K112" i="6"/>
  <c r="L112" i="6"/>
  <c r="M112" i="6"/>
  <c r="N112" i="6"/>
  <c r="O112" i="6"/>
  <c r="P112" i="6"/>
  <c r="Q112" i="6"/>
  <c r="R112" i="6"/>
  <c r="S112" i="6"/>
  <c r="T112" i="6"/>
  <c r="U112" i="6"/>
  <c r="V112" i="6"/>
  <c r="W112" i="6"/>
  <c r="X112" i="6"/>
  <c r="Y112" i="6"/>
  <c r="Z112" i="6"/>
  <c r="D113" i="6"/>
  <c r="E113" i="6"/>
  <c r="F113" i="6"/>
  <c r="G113" i="6"/>
  <c r="H113" i="6"/>
  <c r="I113" i="6"/>
  <c r="J113" i="6"/>
  <c r="K113" i="6"/>
  <c r="L113" i="6"/>
  <c r="M113" i="6"/>
  <c r="N113" i="6"/>
  <c r="O113" i="6"/>
  <c r="P113" i="6"/>
  <c r="Q113" i="6"/>
  <c r="R113" i="6"/>
  <c r="S113" i="6"/>
  <c r="T113" i="6"/>
  <c r="U113" i="6"/>
  <c r="V113" i="6"/>
  <c r="W113" i="6"/>
  <c r="X113" i="6"/>
  <c r="Y113" i="6"/>
  <c r="Z113" i="6"/>
  <c r="D114" i="6"/>
  <c r="E114" i="6"/>
  <c r="F114" i="6"/>
  <c r="G114" i="6"/>
  <c r="H114" i="6"/>
  <c r="I114" i="6"/>
  <c r="J114" i="6"/>
  <c r="K114" i="6"/>
  <c r="L114" i="6"/>
  <c r="M114" i="6"/>
  <c r="N114" i="6"/>
  <c r="O114" i="6"/>
  <c r="P114" i="6"/>
  <c r="Q114" i="6"/>
  <c r="R114" i="6"/>
  <c r="S114" i="6"/>
  <c r="T114" i="6"/>
  <c r="U114" i="6"/>
  <c r="V114" i="6"/>
  <c r="W114" i="6"/>
  <c r="X114" i="6"/>
  <c r="Y114" i="6"/>
  <c r="Z114" i="6"/>
  <c r="D115" i="6"/>
  <c r="E115" i="6"/>
  <c r="F115" i="6"/>
  <c r="G115" i="6"/>
  <c r="H115" i="6"/>
  <c r="I115" i="6"/>
  <c r="J115" i="6"/>
  <c r="K115" i="6"/>
  <c r="L115" i="6"/>
  <c r="M115" i="6"/>
  <c r="N115" i="6"/>
  <c r="O115" i="6"/>
  <c r="P115" i="6"/>
  <c r="Q115" i="6"/>
  <c r="R115" i="6"/>
  <c r="S115" i="6"/>
  <c r="T115" i="6"/>
  <c r="U115" i="6"/>
  <c r="V115" i="6"/>
  <c r="W115" i="6"/>
  <c r="X115" i="6"/>
  <c r="Y115" i="6"/>
  <c r="Z115" i="6"/>
  <c r="D116" i="6"/>
  <c r="E116" i="6"/>
  <c r="F116" i="6"/>
  <c r="G116" i="6"/>
  <c r="H116" i="6"/>
  <c r="I116" i="6"/>
  <c r="J116" i="6"/>
  <c r="K116" i="6"/>
  <c r="L116" i="6"/>
  <c r="M116" i="6"/>
  <c r="N116" i="6"/>
  <c r="O116" i="6"/>
  <c r="P116" i="6"/>
  <c r="Q116" i="6"/>
  <c r="R116" i="6"/>
  <c r="S116" i="6"/>
  <c r="T116" i="6"/>
  <c r="U116" i="6"/>
  <c r="V116" i="6"/>
  <c r="W116" i="6"/>
  <c r="X116" i="6"/>
  <c r="Y116" i="6"/>
  <c r="Z116" i="6"/>
  <c r="D117" i="6"/>
  <c r="E117" i="6"/>
  <c r="F117" i="6"/>
  <c r="G117" i="6"/>
  <c r="H117" i="6"/>
  <c r="I117" i="6"/>
  <c r="J117" i="6"/>
  <c r="K117" i="6"/>
  <c r="L117" i="6"/>
  <c r="M117" i="6"/>
  <c r="N117" i="6"/>
  <c r="O117" i="6"/>
  <c r="P117" i="6"/>
  <c r="Q117" i="6"/>
  <c r="R117" i="6"/>
  <c r="S117" i="6"/>
  <c r="T117" i="6"/>
  <c r="U117" i="6"/>
  <c r="V117" i="6"/>
  <c r="W117" i="6"/>
  <c r="X117" i="6"/>
  <c r="Y117" i="6"/>
  <c r="Z117" i="6"/>
  <c r="D118" i="6"/>
  <c r="E118" i="6"/>
  <c r="F118" i="6"/>
  <c r="G118" i="6"/>
  <c r="H118" i="6"/>
  <c r="I118" i="6"/>
  <c r="J118" i="6"/>
  <c r="K118" i="6"/>
  <c r="L118" i="6"/>
  <c r="M118" i="6"/>
  <c r="N118" i="6"/>
  <c r="O118" i="6"/>
  <c r="P118" i="6"/>
  <c r="Q118" i="6"/>
  <c r="R118" i="6"/>
  <c r="S118" i="6"/>
  <c r="T118" i="6"/>
  <c r="U118" i="6"/>
  <c r="V118" i="6"/>
  <c r="W118" i="6"/>
  <c r="X118" i="6"/>
  <c r="Y118" i="6"/>
  <c r="Z118" i="6"/>
  <c r="D119" i="6"/>
  <c r="E119" i="6"/>
  <c r="F119" i="6"/>
  <c r="G119" i="6"/>
  <c r="H119" i="6"/>
  <c r="I119" i="6"/>
  <c r="J119" i="6"/>
  <c r="K119" i="6"/>
  <c r="L119" i="6"/>
  <c r="M119" i="6"/>
  <c r="N119" i="6"/>
  <c r="O119" i="6"/>
  <c r="P119" i="6"/>
  <c r="Q119" i="6"/>
  <c r="R119" i="6"/>
  <c r="S119" i="6"/>
  <c r="T119" i="6"/>
  <c r="U119" i="6"/>
  <c r="V119" i="6"/>
  <c r="W119" i="6"/>
  <c r="X119" i="6"/>
  <c r="Y119" i="6"/>
  <c r="Z119" i="6"/>
  <c r="D120" i="6"/>
  <c r="E120" i="6"/>
  <c r="F120" i="6"/>
  <c r="G120" i="6"/>
  <c r="H120" i="6"/>
  <c r="I120" i="6"/>
  <c r="J120" i="6"/>
  <c r="K120" i="6"/>
  <c r="L120" i="6"/>
  <c r="M120" i="6"/>
  <c r="N120" i="6"/>
  <c r="O120" i="6"/>
  <c r="P120" i="6"/>
  <c r="Q120" i="6"/>
  <c r="R120" i="6"/>
  <c r="S120" i="6"/>
  <c r="T120" i="6"/>
  <c r="U120" i="6"/>
  <c r="V120" i="6"/>
  <c r="W120" i="6"/>
  <c r="X120" i="6"/>
  <c r="Y120" i="6"/>
  <c r="Z120" i="6"/>
  <c r="D121" i="6"/>
  <c r="E121" i="6"/>
  <c r="F121" i="6"/>
  <c r="G121" i="6"/>
  <c r="H121" i="6"/>
  <c r="I121" i="6"/>
  <c r="J121" i="6"/>
  <c r="K121" i="6"/>
  <c r="L121" i="6"/>
  <c r="M121" i="6"/>
  <c r="N121" i="6"/>
  <c r="O121" i="6"/>
  <c r="P121" i="6"/>
  <c r="Q121" i="6"/>
  <c r="R121" i="6"/>
  <c r="S121" i="6"/>
  <c r="T121" i="6"/>
  <c r="U121" i="6"/>
  <c r="V121" i="6"/>
  <c r="W121" i="6"/>
  <c r="X121" i="6"/>
  <c r="Y121" i="6"/>
  <c r="Z121" i="6"/>
  <c r="D122" i="6"/>
  <c r="E122" i="6"/>
  <c r="F122" i="6"/>
  <c r="G122" i="6"/>
  <c r="H122" i="6"/>
  <c r="I122" i="6"/>
  <c r="J122" i="6"/>
  <c r="K122" i="6"/>
  <c r="L122" i="6"/>
  <c r="M122" i="6"/>
  <c r="N122" i="6"/>
  <c r="O122" i="6"/>
  <c r="P122" i="6"/>
  <c r="Q122" i="6"/>
  <c r="R122" i="6"/>
  <c r="S122" i="6"/>
  <c r="T122" i="6"/>
  <c r="U122" i="6"/>
  <c r="V122" i="6"/>
  <c r="W122" i="6"/>
  <c r="X122" i="6"/>
  <c r="Y122" i="6"/>
  <c r="Z122" i="6"/>
  <c r="D123" i="6"/>
  <c r="E123" i="6"/>
  <c r="F123" i="6"/>
  <c r="G123" i="6"/>
  <c r="H123" i="6"/>
  <c r="I123" i="6"/>
  <c r="J123" i="6"/>
  <c r="K123" i="6"/>
  <c r="L123" i="6"/>
  <c r="M123" i="6"/>
  <c r="N123" i="6"/>
  <c r="O123" i="6"/>
  <c r="P123" i="6"/>
  <c r="Q123" i="6"/>
  <c r="R123" i="6"/>
  <c r="S123" i="6"/>
  <c r="T123" i="6"/>
  <c r="U123" i="6"/>
  <c r="V123" i="6"/>
  <c r="W123" i="6"/>
  <c r="X123" i="6"/>
  <c r="Y123" i="6"/>
  <c r="Z123" i="6"/>
  <c r="D124" i="6"/>
  <c r="E124" i="6"/>
  <c r="F124" i="6"/>
  <c r="G124" i="6"/>
  <c r="H124" i="6"/>
  <c r="I124" i="6"/>
  <c r="J124" i="6"/>
  <c r="K124" i="6"/>
  <c r="L124" i="6"/>
  <c r="M124" i="6"/>
  <c r="N124" i="6"/>
  <c r="O124" i="6"/>
  <c r="P124" i="6"/>
  <c r="Q124" i="6"/>
  <c r="R124" i="6"/>
  <c r="S124" i="6"/>
  <c r="T124" i="6"/>
  <c r="U124" i="6"/>
  <c r="V124" i="6"/>
  <c r="W124" i="6"/>
  <c r="X124" i="6"/>
  <c r="Y124" i="6"/>
  <c r="Z124" i="6"/>
  <c r="D125" i="6"/>
  <c r="E125" i="6"/>
  <c r="F125" i="6"/>
  <c r="G125" i="6"/>
  <c r="H125" i="6"/>
  <c r="I125" i="6"/>
  <c r="J125" i="6"/>
  <c r="K125" i="6"/>
  <c r="L125" i="6"/>
  <c r="M125" i="6"/>
  <c r="N125" i="6"/>
  <c r="O125" i="6"/>
  <c r="P125" i="6"/>
  <c r="Q125" i="6"/>
  <c r="R125" i="6"/>
  <c r="S125" i="6"/>
  <c r="T125" i="6"/>
  <c r="U125" i="6"/>
  <c r="V125" i="6"/>
  <c r="W125" i="6"/>
  <c r="X125" i="6"/>
  <c r="Y125" i="6"/>
  <c r="Z125" i="6"/>
  <c r="D126" i="6"/>
  <c r="E126" i="6"/>
  <c r="F126" i="6"/>
  <c r="G126" i="6"/>
  <c r="H126" i="6"/>
  <c r="I126" i="6"/>
  <c r="J126" i="6"/>
  <c r="K126" i="6"/>
  <c r="L126" i="6"/>
  <c r="M126" i="6"/>
  <c r="N126" i="6"/>
  <c r="O126" i="6"/>
  <c r="P126" i="6"/>
  <c r="Q126" i="6"/>
  <c r="R126" i="6"/>
  <c r="S126" i="6"/>
  <c r="T126" i="6"/>
  <c r="U126" i="6"/>
  <c r="V126" i="6"/>
  <c r="W126" i="6"/>
  <c r="X126" i="6"/>
  <c r="Y126" i="6"/>
  <c r="Z126" i="6"/>
  <c r="D127" i="6"/>
  <c r="E127" i="6"/>
  <c r="F127" i="6"/>
  <c r="G127" i="6"/>
  <c r="H127" i="6"/>
  <c r="I127" i="6"/>
  <c r="J127" i="6"/>
  <c r="K127" i="6"/>
  <c r="L127" i="6"/>
  <c r="M127" i="6"/>
  <c r="N127" i="6"/>
  <c r="O127" i="6"/>
  <c r="P127" i="6"/>
  <c r="Q127" i="6"/>
  <c r="R127" i="6"/>
  <c r="S127" i="6"/>
  <c r="T127" i="6"/>
  <c r="U127" i="6"/>
  <c r="V127" i="6"/>
  <c r="W127" i="6"/>
  <c r="X127" i="6"/>
  <c r="Y127" i="6"/>
  <c r="Z127" i="6"/>
  <c r="D128" i="6"/>
  <c r="E128" i="6"/>
  <c r="F128" i="6"/>
  <c r="G128" i="6"/>
  <c r="H128" i="6"/>
  <c r="I128" i="6"/>
  <c r="J128" i="6"/>
  <c r="K128" i="6"/>
  <c r="L128" i="6"/>
  <c r="M128" i="6"/>
  <c r="N128" i="6"/>
  <c r="O128" i="6"/>
  <c r="P128" i="6"/>
  <c r="Q128" i="6"/>
  <c r="R128" i="6"/>
  <c r="S128" i="6"/>
  <c r="T128" i="6"/>
  <c r="U128" i="6"/>
  <c r="V128" i="6"/>
  <c r="W128" i="6"/>
  <c r="X128" i="6"/>
  <c r="Y128" i="6"/>
  <c r="Z128" i="6"/>
  <c r="D129" i="6"/>
  <c r="E129" i="6"/>
  <c r="F129" i="6"/>
  <c r="G129" i="6"/>
  <c r="H129" i="6"/>
  <c r="I129" i="6"/>
  <c r="J129" i="6"/>
  <c r="K129" i="6"/>
  <c r="L129" i="6"/>
  <c r="M129" i="6"/>
  <c r="N129" i="6"/>
  <c r="O129" i="6"/>
  <c r="P129" i="6"/>
  <c r="Q129" i="6"/>
  <c r="R129" i="6"/>
  <c r="S129" i="6"/>
  <c r="T129" i="6"/>
  <c r="U129" i="6"/>
  <c r="V129" i="6"/>
  <c r="W129" i="6"/>
  <c r="X129" i="6"/>
  <c r="Y129" i="6"/>
  <c r="Z129" i="6"/>
  <c r="D130" i="6"/>
  <c r="E130" i="6"/>
  <c r="F130" i="6"/>
  <c r="G130" i="6"/>
  <c r="H130" i="6"/>
  <c r="I130" i="6"/>
  <c r="J130" i="6"/>
  <c r="K130" i="6"/>
  <c r="L130" i="6"/>
  <c r="M130" i="6"/>
  <c r="N130" i="6"/>
  <c r="O130" i="6"/>
  <c r="P130" i="6"/>
  <c r="Q130" i="6"/>
  <c r="R130" i="6"/>
  <c r="S130" i="6"/>
  <c r="T130" i="6"/>
  <c r="U130" i="6"/>
  <c r="V130" i="6"/>
  <c r="W130" i="6"/>
  <c r="X130" i="6"/>
  <c r="Y130" i="6"/>
  <c r="Z130" i="6"/>
  <c r="D131" i="6"/>
  <c r="E131" i="6"/>
  <c r="F131" i="6"/>
  <c r="G131" i="6"/>
  <c r="H131" i="6"/>
  <c r="I131" i="6"/>
  <c r="J131" i="6"/>
  <c r="K131" i="6"/>
  <c r="L131" i="6"/>
  <c r="M131" i="6"/>
  <c r="N131" i="6"/>
  <c r="O131" i="6"/>
  <c r="P131" i="6"/>
  <c r="Q131" i="6"/>
  <c r="R131" i="6"/>
  <c r="S131" i="6"/>
  <c r="T131" i="6"/>
  <c r="U131" i="6"/>
  <c r="V131" i="6"/>
  <c r="W131" i="6"/>
  <c r="X131" i="6"/>
  <c r="Y131" i="6"/>
  <c r="Z131" i="6"/>
  <c r="D132" i="6"/>
  <c r="E132" i="6"/>
  <c r="F132" i="6"/>
  <c r="G132" i="6"/>
  <c r="H132" i="6"/>
  <c r="I132" i="6"/>
  <c r="J132" i="6"/>
  <c r="K132" i="6"/>
  <c r="L132" i="6"/>
  <c r="M132" i="6"/>
  <c r="N132" i="6"/>
  <c r="O132" i="6"/>
  <c r="P132" i="6"/>
  <c r="Q132" i="6"/>
  <c r="R132" i="6"/>
  <c r="S132" i="6"/>
  <c r="T132" i="6"/>
  <c r="U132" i="6"/>
  <c r="V132" i="6"/>
  <c r="W132" i="6"/>
  <c r="X132" i="6"/>
  <c r="Y132" i="6"/>
  <c r="Z132" i="6"/>
  <c r="D133" i="6"/>
  <c r="E133" i="6"/>
  <c r="F133" i="6"/>
  <c r="G133" i="6"/>
  <c r="H133" i="6"/>
  <c r="I133" i="6"/>
  <c r="J133" i="6"/>
  <c r="K133" i="6"/>
  <c r="L133" i="6"/>
  <c r="M133" i="6"/>
  <c r="N133" i="6"/>
  <c r="O133" i="6"/>
  <c r="P133" i="6"/>
  <c r="Q133" i="6"/>
  <c r="R133" i="6"/>
  <c r="S133" i="6"/>
  <c r="T133" i="6"/>
  <c r="U133" i="6"/>
  <c r="V133" i="6"/>
  <c r="W133" i="6"/>
  <c r="X133" i="6"/>
  <c r="Y133" i="6"/>
  <c r="Z133" i="6"/>
  <c r="D134" i="6"/>
  <c r="E134" i="6"/>
  <c r="F134" i="6"/>
  <c r="G134" i="6"/>
  <c r="H134" i="6"/>
  <c r="I134" i="6"/>
  <c r="J134" i="6"/>
  <c r="K134" i="6"/>
  <c r="L134" i="6"/>
  <c r="M134" i="6"/>
  <c r="N134" i="6"/>
  <c r="O134" i="6"/>
  <c r="P134" i="6"/>
  <c r="Q134" i="6"/>
  <c r="R134" i="6"/>
  <c r="S134" i="6"/>
  <c r="T134" i="6"/>
  <c r="U134" i="6"/>
  <c r="V134" i="6"/>
  <c r="W134" i="6"/>
  <c r="X134" i="6"/>
  <c r="Y134" i="6"/>
  <c r="Z134" i="6"/>
  <c r="D135" i="6"/>
  <c r="E135" i="6"/>
  <c r="F135" i="6"/>
  <c r="G135" i="6"/>
  <c r="H135" i="6"/>
  <c r="I135" i="6"/>
  <c r="J135" i="6"/>
  <c r="K135" i="6"/>
  <c r="L135" i="6"/>
  <c r="M135" i="6"/>
  <c r="N135" i="6"/>
  <c r="O135" i="6"/>
  <c r="P135" i="6"/>
  <c r="Q135" i="6"/>
  <c r="R135" i="6"/>
  <c r="S135" i="6"/>
  <c r="T135" i="6"/>
  <c r="U135" i="6"/>
  <c r="V135" i="6"/>
  <c r="W135" i="6"/>
  <c r="X135" i="6"/>
  <c r="Y135" i="6"/>
  <c r="Z135" i="6"/>
  <c r="D136" i="6"/>
  <c r="E136" i="6"/>
  <c r="F136" i="6"/>
  <c r="G136" i="6"/>
  <c r="H136" i="6"/>
  <c r="I136" i="6"/>
  <c r="J136" i="6"/>
  <c r="K136" i="6"/>
  <c r="L136" i="6"/>
  <c r="M136" i="6"/>
  <c r="N136" i="6"/>
  <c r="O136" i="6"/>
  <c r="P136" i="6"/>
  <c r="Q136" i="6"/>
  <c r="R136" i="6"/>
  <c r="S136" i="6"/>
  <c r="T136" i="6"/>
  <c r="U136" i="6"/>
  <c r="V136" i="6"/>
  <c r="W136" i="6"/>
  <c r="X136" i="6"/>
  <c r="Y136" i="6"/>
  <c r="Z136" i="6"/>
  <c r="D137" i="6"/>
  <c r="E137" i="6"/>
  <c r="F137" i="6"/>
  <c r="G137" i="6"/>
  <c r="H137" i="6"/>
  <c r="I137" i="6"/>
  <c r="J137" i="6"/>
  <c r="K137" i="6"/>
  <c r="L137" i="6"/>
  <c r="M137" i="6"/>
  <c r="N137" i="6"/>
  <c r="O137" i="6"/>
  <c r="P137" i="6"/>
  <c r="Q137" i="6"/>
  <c r="R137" i="6"/>
  <c r="S137" i="6"/>
  <c r="T137" i="6"/>
  <c r="U137" i="6"/>
  <c r="V137" i="6"/>
  <c r="W137" i="6"/>
  <c r="X137" i="6"/>
  <c r="Y137" i="6"/>
  <c r="Z137" i="6"/>
  <c r="D138" i="6"/>
  <c r="E138" i="6"/>
  <c r="F138" i="6"/>
  <c r="G138" i="6"/>
  <c r="H138" i="6"/>
  <c r="I138" i="6"/>
  <c r="J138" i="6"/>
  <c r="K138" i="6"/>
  <c r="L138" i="6"/>
  <c r="M138" i="6"/>
  <c r="N138" i="6"/>
  <c r="O138" i="6"/>
  <c r="P138" i="6"/>
  <c r="Q138" i="6"/>
  <c r="R138" i="6"/>
  <c r="S138" i="6"/>
  <c r="T138" i="6"/>
  <c r="U138" i="6"/>
  <c r="V138" i="6"/>
  <c r="W138" i="6"/>
  <c r="X138" i="6"/>
  <c r="Y138" i="6"/>
  <c r="Z138" i="6"/>
  <c r="D139" i="6"/>
  <c r="E139" i="6"/>
  <c r="F139" i="6"/>
  <c r="G139" i="6"/>
  <c r="H139" i="6"/>
  <c r="I139" i="6"/>
  <c r="J139" i="6"/>
  <c r="K139" i="6"/>
  <c r="L139" i="6"/>
  <c r="M139" i="6"/>
  <c r="N139" i="6"/>
  <c r="O139" i="6"/>
  <c r="P139" i="6"/>
  <c r="Q139" i="6"/>
  <c r="R139" i="6"/>
  <c r="S139" i="6"/>
  <c r="T139" i="6"/>
  <c r="U139" i="6"/>
  <c r="V139" i="6"/>
  <c r="W139" i="6"/>
  <c r="X139" i="6"/>
  <c r="Y139" i="6"/>
  <c r="Z139" i="6"/>
  <c r="D140" i="6"/>
  <c r="E140" i="6"/>
  <c r="F140" i="6"/>
  <c r="G140" i="6"/>
  <c r="H140" i="6"/>
  <c r="I140" i="6"/>
  <c r="J140" i="6"/>
  <c r="K140" i="6"/>
  <c r="L140" i="6"/>
  <c r="M140" i="6"/>
  <c r="N140" i="6"/>
  <c r="O140" i="6"/>
  <c r="P140" i="6"/>
  <c r="Q140" i="6"/>
  <c r="R140" i="6"/>
  <c r="S140" i="6"/>
  <c r="T140" i="6"/>
  <c r="U140" i="6"/>
  <c r="V140" i="6"/>
  <c r="W140" i="6"/>
  <c r="X140" i="6"/>
  <c r="Y140" i="6"/>
  <c r="Z140" i="6"/>
  <c r="D141" i="6"/>
  <c r="E141" i="6"/>
  <c r="F141" i="6"/>
  <c r="G141" i="6"/>
  <c r="H141" i="6"/>
  <c r="I141" i="6"/>
  <c r="J141" i="6"/>
  <c r="K141" i="6"/>
  <c r="L141" i="6"/>
  <c r="M141" i="6"/>
  <c r="N141" i="6"/>
  <c r="O141" i="6"/>
  <c r="P141" i="6"/>
  <c r="Q141" i="6"/>
  <c r="R141" i="6"/>
  <c r="S141" i="6"/>
  <c r="T141" i="6"/>
  <c r="U141" i="6"/>
  <c r="V141" i="6"/>
  <c r="W141" i="6"/>
  <c r="X141" i="6"/>
  <c r="Y141" i="6"/>
  <c r="Z141" i="6"/>
  <c r="D142" i="6"/>
  <c r="E142" i="6"/>
  <c r="F142" i="6"/>
  <c r="G142" i="6"/>
  <c r="H142" i="6"/>
  <c r="I142" i="6"/>
  <c r="J142" i="6"/>
  <c r="K142" i="6"/>
  <c r="L142" i="6"/>
  <c r="M142" i="6"/>
  <c r="N142" i="6"/>
  <c r="O142" i="6"/>
  <c r="P142" i="6"/>
  <c r="Q142" i="6"/>
  <c r="R142" i="6"/>
  <c r="S142" i="6"/>
  <c r="T142" i="6"/>
  <c r="U142" i="6"/>
  <c r="V142" i="6"/>
  <c r="W142" i="6"/>
  <c r="X142" i="6"/>
  <c r="Y142" i="6"/>
  <c r="Z142" i="6"/>
  <c r="D143" i="6"/>
  <c r="E143" i="6"/>
  <c r="F143" i="6"/>
  <c r="G143" i="6"/>
  <c r="H143" i="6"/>
  <c r="I143" i="6"/>
  <c r="J143" i="6"/>
  <c r="K143" i="6"/>
  <c r="L143" i="6"/>
  <c r="M143" i="6"/>
  <c r="N143" i="6"/>
  <c r="O143" i="6"/>
  <c r="P143" i="6"/>
  <c r="Q143" i="6"/>
  <c r="R143" i="6"/>
  <c r="S143" i="6"/>
  <c r="T143" i="6"/>
  <c r="U143" i="6"/>
  <c r="V143" i="6"/>
  <c r="W143" i="6"/>
  <c r="X143" i="6"/>
  <c r="Y143" i="6"/>
  <c r="Z143" i="6"/>
  <c r="D144" i="6"/>
  <c r="E144" i="6"/>
  <c r="F144" i="6"/>
  <c r="G144" i="6"/>
  <c r="H144" i="6"/>
  <c r="I144" i="6"/>
  <c r="J144" i="6"/>
  <c r="K144" i="6"/>
  <c r="L144" i="6"/>
  <c r="M144" i="6"/>
  <c r="N144" i="6"/>
  <c r="O144" i="6"/>
  <c r="P144" i="6"/>
  <c r="Q144" i="6"/>
  <c r="R144" i="6"/>
  <c r="S144" i="6"/>
  <c r="T144" i="6"/>
  <c r="U144" i="6"/>
  <c r="V144" i="6"/>
  <c r="W144" i="6"/>
  <c r="X144" i="6"/>
  <c r="Y144" i="6"/>
  <c r="Z144" i="6"/>
  <c r="D145" i="6"/>
  <c r="E145" i="6"/>
  <c r="F145" i="6"/>
  <c r="G145" i="6"/>
  <c r="H145" i="6"/>
  <c r="I145" i="6"/>
  <c r="J145" i="6"/>
  <c r="K145" i="6"/>
  <c r="L145" i="6"/>
  <c r="M145" i="6"/>
  <c r="N145" i="6"/>
  <c r="O145" i="6"/>
  <c r="P145" i="6"/>
  <c r="Q145" i="6"/>
  <c r="R145" i="6"/>
  <c r="S145" i="6"/>
  <c r="T145" i="6"/>
  <c r="U145" i="6"/>
  <c r="V145" i="6"/>
  <c r="W145" i="6"/>
  <c r="X145" i="6"/>
  <c r="Y145" i="6"/>
  <c r="Z145" i="6"/>
  <c r="D146" i="6"/>
  <c r="E146" i="6"/>
  <c r="F146" i="6"/>
  <c r="G146" i="6"/>
  <c r="H146" i="6"/>
  <c r="I146" i="6"/>
  <c r="J146" i="6"/>
  <c r="K146" i="6"/>
  <c r="L146" i="6"/>
  <c r="M146" i="6"/>
  <c r="N146" i="6"/>
  <c r="O146" i="6"/>
  <c r="P146" i="6"/>
  <c r="Q146" i="6"/>
  <c r="R146" i="6"/>
  <c r="S146" i="6"/>
  <c r="T146" i="6"/>
  <c r="U146" i="6"/>
  <c r="V146" i="6"/>
  <c r="W146" i="6"/>
  <c r="X146" i="6"/>
  <c r="Y146" i="6"/>
  <c r="Z146" i="6"/>
  <c r="D147" i="6"/>
  <c r="E147" i="6"/>
  <c r="F147" i="6"/>
  <c r="G147" i="6"/>
  <c r="H147" i="6"/>
  <c r="I147" i="6"/>
  <c r="J147" i="6"/>
  <c r="K147" i="6"/>
  <c r="L147" i="6"/>
  <c r="M147" i="6"/>
  <c r="N147" i="6"/>
  <c r="O147" i="6"/>
  <c r="P147" i="6"/>
  <c r="Q147" i="6"/>
  <c r="R147" i="6"/>
  <c r="S147" i="6"/>
  <c r="T147" i="6"/>
  <c r="U147" i="6"/>
  <c r="V147" i="6"/>
  <c r="W147" i="6"/>
  <c r="X147" i="6"/>
  <c r="Y147" i="6"/>
  <c r="Z147" i="6"/>
  <c r="D148" i="6"/>
  <c r="E148" i="6"/>
  <c r="F148" i="6"/>
  <c r="G148" i="6"/>
  <c r="H148" i="6"/>
  <c r="I148" i="6"/>
  <c r="J148" i="6"/>
  <c r="K148" i="6"/>
  <c r="L148" i="6"/>
  <c r="M148" i="6"/>
  <c r="N148" i="6"/>
  <c r="O148" i="6"/>
  <c r="P148" i="6"/>
  <c r="Q148" i="6"/>
  <c r="R148" i="6"/>
  <c r="S148" i="6"/>
  <c r="T148" i="6"/>
  <c r="U148" i="6"/>
  <c r="V148" i="6"/>
  <c r="W148" i="6"/>
  <c r="X148" i="6"/>
  <c r="Y148" i="6"/>
  <c r="Z148" i="6"/>
  <c r="D149" i="6"/>
  <c r="E149" i="6"/>
  <c r="F149" i="6"/>
  <c r="G149" i="6"/>
  <c r="H149" i="6"/>
  <c r="I149" i="6"/>
  <c r="J149" i="6"/>
  <c r="K149" i="6"/>
  <c r="L149" i="6"/>
  <c r="M149" i="6"/>
  <c r="N149" i="6"/>
  <c r="O149" i="6"/>
  <c r="P149" i="6"/>
  <c r="Q149" i="6"/>
  <c r="R149" i="6"/>
  <c r="S149" i="6"/>
  <c r="T149" i="6"/>
  <c r="U149" i="6"/>
  <c r="V149" i="6"/>
  <c r="W149" i="6"/>
  <c r="X149" i="6"/>
  <c r="Y149" i="6"/>
  <c r="Z149" i="6"/>
  <c r="R9" i="2" l="1"/>
  <c r="S9" i="2"/>
  <c r="T9" i="2"/>
  <c r="U9" i="2"/>
  <c r="V9" i="2"/>
  <c r="W9" i="2"/>
  <c r="X9" i="2"/>
  <c r="Y9" i="2"/>
  <c r="Z9" i="2"/>
  <c r="R10" i="2"/>
  <c r="S10" i="2"/>
  <c r="T10" i="2"/>
  <c r="U10" i="2"/>
  <c r="V10" i="2"/>
  <c r="W10" i="2"/>
  <c r="X10" i="2"/>
  <c r="Y10" i="2"/>
  <c r="Z10" i="2"/>
  <c r="R11" i="2"/>
  <c r="S11" i="2"/>
  <c r="T11" i="2"/>
  <c r="U11" i="2"/>
  <c r="V11" i="2"/>
  <c r="W11" i="2"/>
  <c r="X11" i="2"/>
  <c r="Y11" i="2"/>
  <c r="Z11" i="2"/>
  <c r="R12" i="2"/>
  <c r="S12" i="2"/>
  <c r="T12" i="2"/>
  <c r="U12" i="2"/>
  <c r="V12" i="2"/>
  <c r="W12" i="2"/>
  <c r="X12" i="2"/>
  <c r="Y12" i="2"/>
  <c r="Z12" i="2"/>
  <c r="R13" i="2"/>
  <c r="S13" i="2"/>
  <c r="T13" i="2"/>
  <c r="U13" i="2"/>
  <c r="V13" i="2"/>
  <c r="W13" i="2"/>
  <c r="X13" i="2"/>
  <c r="Y13" i="2"/>
  <c r="Z13" i="2"/>
  <c r="R14" i="2"/>
  <c r="S14" i="2"/>
  <c r="T14" i="2"/>
  <c r="U14" i="2"/>
  <c r="V14" i="2"/>
  <c r="W14" i="2"/>
  <c r="X14" i="2"/>
  <c r="Y14" i="2"/>
  <c r="Z14" i="2"/>
  <c r="R15" i="2"/>
  <c r="S15" i="2"/>
  <c r="T15" i="2"/>
  <c r="U15" i="2"/>
  <c r="V15" i="2"/>
  <c r="W15" i="2"/>
  <c r="X15" i="2"/>
  <c r="Y15" i="2"/>
  <c r="Z15" i="2"/>
  <c r="R16" i="2"/>
  <c r="S16" i="2"/>
  <c r="T16" i="2"/>
  <c r="U16" i="2"/>
  <c r="V16" i="2"/>
  <c r="W16" i="2"/>
  <c r="X16" i="2"/>
  <c r="Y16" i="2"/>
  <c r="Z16" i="2"/>
  <c r="R17" i="2"/>
  <c r="S17" i="2"/>
  <c r="T17" i="2"/>
  <c r="U17" i="2"/>
  <c r="V17" i="2"/>
  <c r="W17" i="2"/>
  <c r="X17" i="2"/>
  <c r="Y17" i="2"/>
  <c r="Z17" i="2"/>
  <c r="R18" i="2"/>
  <c r="S18" i="2"/>
  <c r="T18" i="2"/>
  <c r="U18" i="2"/>
  <c r="V18" i="2"/>
  <c r="W18" i="2"/>
  <c r="X18" i="2"/>
  <c r="Y18" i="2"/>
  <c r="Z18" i="2"/>
  <c r="R19" i="2"/>
  <c r="S19" i="2"/>
  <c r="T19" i="2"/>
  <c r="U19" i="2"/>
  <c r="V19" i="2"/>
  <c r="W19" i="2"/>
  <c r="X19" i="2"/>
  <c r="Y19" i="2"/>
  <c r="Z19" i="2"/>
  <c r="R20" i="2"/>
  <c r="S20" i="2"/>
  <c r="T20" i="2"/>
  <c r="U20" i="2"/>
  <c r="V20" i="2"/>
  <c r="W20" i="2"/>
  <c r="X20" i="2"/>
  <c r="Y20" i="2"/>
  <c r="Z20" i="2"/>
  <c r="R21" i="2"/>
  <c r="S21" i="2"/>
  <c r="T21" i="2"/>
  <c r="U21" i="2"/>
  <c r="V21" i="2"/>
  <c r="W21" i="2"/>
  <c r="X21" i="2"/>
  <c r="Y21" i="2"/>
  <c r="Z21" i="2"/>
  <c r="R22" i="2"/>
  <c r="S22" i="2"/>
  <c r="T22" i="2"/>
  <c r="U22" i="2"/>
  <c r="V22" i="2"/>
  <c r="W22" i="2"/>
  <c r="X22" i="2"/>
  <c r="Y22" i="2"/>
  <c r="Z22" i="2"/>
  <c r="R23" i="2"/>
  <c r="S23" i="2"/>
  <c r="T23" i="2"/>
  <c r="U23" i="2"/>
  <c r="V23" i="2"/>
  <c r="W23" i="2"/>
  <c r="X23" i="2"/>
  <c r="Y23" i="2"/>
  <c r="Z23" i="2"/>
  <c r="R24" i="2"/>
  <c r="S24" i="2"/>
  <c r="T24" i="2"/>
  <c r="U24" i="2"/>
  <c r="V24" i="2"/>
  <c r="W24" i="2"/>
  <c r="X24" i="2"/>
  <c r="Y24" i="2"/>
  <c r="Z24" i="2"/>
  <c r="R25" i="2"/>
  <c r="S25" i="2"/>
  <c r="T25" i="2"/>
  <c r="U25" i="2"/>
  <c r="V25" i="2"/>
  <c r="W25" i="2"/>
  <c r="X25" i="2"/>
  <c r="Y25" i="2"/>
  <c r="Z25" i="2"/>
  <c r="R26" i="2"/>
  <c r="S26" i="2"/>
  <c r="T26" i="2"/>
  <c r="U26" i="2"/>
  <c r="V26" i="2"/>
  <c r="W26" i="2"/>
  <c r="X26" i="2"/>
  <c r="Y26" i="2"/>
  <c r="Z26" i="2"/>
  <c r="R27" i="2"/>
  <c r="S27" i="2"/>
  <c r="T27" i="2"/>
  <c r="U27" i="2"/>
  <c r="V27" i="2"/>
  <c r="W27" i="2"/>
  <c r="X27" i="2"/>
  <c r="Y27" i="2"/>
  <c r="Z27" i="2"/>
  <c r="R28" i="2"/>
  <c r="S28" i="2"/>
  <c r="T28" i="2"/>
  <c r="U28" i="2"/>
  <c r="V28" i="2"/>
  <c r="W28" i="2"/>
  <c r="X28" i="2"/>
  <c r="Y28" i="2"/>
  <c r="Z28" i="2"/>
  <c r="R29" i="2"/>
  <c r="S29" i="2"/>
  <c r="T29" i="2"/>
  <c r="U29" i="2"/>
  <c r="V29" i="2"/>
  <c r="W29" i="2"/>
  <c r="X29" i="2"/>
  <c r="Y29" i="2"/>
  <c r="Z29" i="2"/>
  <c r="R30" i="2"/>
  <c r="S30" i="2"/>
  <c r="T30" i="2"/>
  <c r="U30" i="2"/>
  <c r="V30" i="2"/>
  <c r="W30" i="2"/>
  <c r="X30" i="2"/>
  <c r="Y30" i="2"/>
  <c r="Z30" i="2"/>
  <c r="R31" i="2"/>
  <c r="S31" i="2"/>
  <c r="T31" i="2"/>
  <c r="U31" i="2"/>
  <c r="V31" i="2"/>
  <c r="W31" i="2"/>
  <c r="X31" i="2"/>
  <c r="Y31" i="2"/>
  <c r="Z31" i="2"/>
  <c r="R32" i="2"/>
  <c r="S32" i="2"/>
  <c r="T32" i="2"/>
  <c r="U32" i="2"/>
  <c r="V32" i="2"/>
  <c r="W32" i="2"/>
  <c r="X32" i="2"/>
  <c r="Y32" i="2"/>
  <c r="Z32" i="2"/>
  <c r="R33" i="2"/>
  <c r="S33" i="2"/>
  <c r="T33" i="2"/>
  <c r="U33" i="2"/>
  <c r="V33" i="2"/>
  <c r="W33" i="2"/>
  <c r="X33" i="2"/>
  <c r="Y33" i="2"/>
  <c r="Z33" i="2"/>
  <c r="AB34" i="2" l="1" a="1"/>
  <c r="AB34" i="2" s="1"/>
  <c r="AC15" i="2" l="1"/>
  <c r="AC16" i="2"/>
  <c r="AC17" i="2"/>
  <c r="AC18" i="2"/>
  <c r="AC19" i="2"/>
  <c r="AC20" i="2"/>
  <c r="AC21" i="2"/>
  <c r="AC22" i="2"/>
  <c r="AC23" i="2"/>
  <c r="AC24" i="2"/>
  <c r="AC25" i="2"/>
  <c r="AC26" i="2"/>
  <c r="AC27" i="2"/>
  <c r="AC28" i="2"/>
  <c r="AC29" i="2"/>
  <c r="AC30" i="2"/>
  <c r="AC31" i="2"/>
  <c r="AC32" i="2"/>
  <c r="AC33" i="2"/>
  <c r="AC10" i="2"/>
  <c r="Q8" i="2"/>
  <c r="P8" i="2"/>
  <c r="P21" i="2" s="1"/>
  <c r="O8" i="2"/>
  <c r="N8" i="2"/>
  <c r="M8" i="2"/>
  <c r="L8" i="2"/>
  <c r="K8" i="2"/>
  <c r="J8" i="2"/>
  <c r="I8" i="2"/>
  <c r="H8" i="2"/>
  <c r="G8" i="2"/>
  <c r="F8" i="2"/>
  <c r="E8" i="2"/>
  <c r="D8" i="2"/>
  <c r="C8" i="2"/>
  <c r="C9" i="2"/>
  <c r="L18" i="2"/>
  <c r="J13" i="2"/>
  <c r="H11" i="2"/>
  <c r="D16" i="2"/>
  <c r="P32" i="2" l="1"/>
  <c r="Q9" i="2"/>
  <c r="Q21" i="2"/>
  <c r="Q33" i="2"/>
  <c r="Q19" i="2"/>
  <c r="Q20" i="2"/>
  <c r="Q32" i="2"/>
  <c r="Q31" i="2"/>
  <c r="Q18" i="2"/>
  <c r="Q30" i="2"/>
  <c r="Q17" i="2"/>
  <c r="Q29" i="2"/>
  <c r="Q16" i="2"/>
  <c r="Q28" i="2"/>
  <c r="Q15" i="2"/>
  <c r="Q27" i="2"/>
  <c r="Q14" i="2"/>
  <c r="Q26" i="2"/>
  <c r="Q13" i="2"/>
  <c r="Q25" i="2"/>
  <c r="Q12" i="2"/>
  <c r="Q24" i="2"/>
  <c r="Q10" i="2"/>
  <c r="Q22" i="2"/>
  <c r="Q11" i="2"/>
  <c r="Q23" i="2"/>
  <c r="E26" i="2"/>
  <c r="G26" i="2"/>
  <c r="AA19" i="2"/>
  <c r="AA31" i="2"/>
  <c r="AA29" i="2"/>
  <c r="AA18" i="2"/>
  <c r="AA30" i="2"/>
  <c r="AA17" i="2"/>
  <c r="AA16" i="2"/>
  <c r="AA28" i="2"/>
  <c r="AA15" i="2"/>
  <c r="AA27" i="2"/>
  <c r="AA14" i="2"/>
  <c r="AA26" i="2"/>
  <c r="AA32" i="2"/>
  <c r="AA13" i="2"/>
  <c r="AA25" i="2"/>
  <c r="AA12" i="2"/>
  <c r="AA24" i="2"/>
  <c r="AA20" i="2"/>
  <c r="AA11" i="2"/>
  <c r="AA23" i="2"/>
  <c r="AA10" i="2"/>
  <c r="AA22" i="2"/>
  <c r="AA9" i="2"/>
  <c r="AA21" i="2"/>
  <c r="AA33" i="2"/>
  <c r="I25" i="2"/>
  <c r="F26" i="2"/>
  <c r="N17" i="2"/>
  <c r="K20" i="2"/>
  <c r="C20" i="2"/>
  <c r="O17" i="2"/>
  <c r="M24" i="2"/>
  <c r="P16" i="2"/>
  <c r="AC14" i="2"/>
  <c r="D26" i="2"/>
  <c r="D21" i="2"/>
  <c r="N15" i="2"/>
  <c r="D23" i="2"/>
  <c r="H22" i="2"/>
  <c r="H25" i="2"/>
  <c r="L33" i="2"/>
  <c r="L24" i="2"/>
  <c r="O20" i="2"/>
  <c r="L20" i="2"/>
  <c r="D32" i="2"/>
  <c r="F20" i="2"/>
  <c r="O16" i="2"/>
  <c r="N13" i="2"/>
  <c r="H31" i="2"/>
  <c r="E20" i="2"/>
  <c r="N16" i="2"/>
  <c r="L30" i="2"/>
  <c r="N19" i="2"/>
  <c r="P29" i="2"/>
  <c r="D29" i="2"/>
  <c r="H28" i="2"/>
  <c r="N21" i="2"/>
  <c r="O18" i="2"/>
  <c r="P15" i="2"/>
  <c r="P23" i="2"/>
  <c r="L27" i="2"/>
  <c r="O21" i="2"/>
  <c r="H21" i="2"/>
  <c r="N18" i="2"/>
  <c r="O15" i="2"/>
  <c r="O23" i="2"/>
  <c r="P26" i="2"/>
  <c r="P9" i="2"/>
  <c r="C23" i="2"/>
  <c r="G22" i="2"/>
  <c r="K33" i="2"/>
  <c r="O32" i="2"/>
  <c r="C32" i="2"/>
  <c r="G31" i="2"/>
  <c r="K30" i="2"/>
  <c r="O29" i="2"/>
  <c r="C29" i="2"/>
  <c r="G28" i="2"/>
  <c r="K27" i="2"/>
  <c r="O26" i="2"/>
  <c r="C26" i="2"/>
  <c r="G25" i="2"/>
  <c r="K24" i="2"/>
  <c r="D20" i="2"/>
  <c r="P10" i="2"/>
  <c r="O9" i="2"/>
  <c r="N23" i="2"/>
  <c r="F22" i="2"/>
  <c r="J33" i="2"/>
  <c r="N32" i="2"/>
  <c r="F31" i="2"/>
  <c r="J30" i="2"/>
  <c r="N29" i="2"/>
  <c r="F28" i="2"/>
  <c r="J27" i="2"/>
  <c r="N26" i="2"/>
  <c r="F25" i="2"/>
  <c r="J24" i="2"/>
  <c r="P14" i="2"/>
  <c r="P11" i="2"/>
  <c r="O10" i="2"/>
  <c r="N9" i="2"/>
  <c r="M23" i="2"/>
  <c r="E22" i="2"/>
  <c r="I33" i="2"/>
  <c r="M32" i="2"/>
  <c r="E31" i="2"/>
  <c r="I30" i="2"/>
  <c r="M29" i="2"/>
  <c r="E28" i="2"/>
  <c r="I27" i="2"/>
  <c r="M26" i="2"/>
  <c r="E25" i="2"/>
  <c r="I24" i="2"/>
  <c r="O14" i="2"/>
  <c r="P12" i="2"/>
  <c r="O11" i="2"/>
  <c r="N10" i="2"/>
  <c r="L23" i="2"/>
  <c r="P22" i="2"/>
  <c r="D22" i="2"/>
  <c r="H33" i="2"/>
  <c r="L32" i="2"/>
  <c r="P31" i="2"/>
  <c r="D31" i="2"/>
  <c r="H30" i="2"/>
  <c r="L29" i="2"/>
  <c r="P28" i="2"/>
  <c r="D28" i="2"/>
  <c r="H27" i="2"/>
  <c r="L26" i="2"/>
  <c r="P25" i="2"/>
  <c r="D25" i="2"/>
  <c r="H24" i="2"/>
  <c r="P20" i="2"/>
  <c r="M21" i="2"/>
  <c r="L21" i="2"/>
  <c r="N20" i="2"/>
  <c r="P19" i="2"/>
  <c r="N14" i="2"/>
  <c r="P13" i="2"/>
  <c r="O12" i="2"/>
  <c r="N11" i="2"/>
  <c r="K23" i="2"/>
  <c r="O22" i="2"/>
  <c r="C22" i="2"/>
  <c r="G33" i="2"/>
  <c r="K32" i="2"/>
  <c r="O31" i="2"/>
  <c r="C31" i="2"/>
  <c r="G30" i="2"/>
  <c r="K29" i="2"/>
  <c r="O28" i="2"/>
  <c r="C28" i="2"/>
  <c r="G27" i="2"/>
  <c r="K26" i="2"/>
  <c r="O25" i="2"/>
  <c r="C25" i="2"/>
  <c r="G24" i="2"/>
  <c r="K21" i="2"/>
  <c r="M20" i="2"/>
  <c r="O19" i="2"/>
  <c r="O13" i="2"/>
  <c r="N12" i="2"/>
  <c r="J23" i="2"/>
  <c r="N22" i="2"/>
  <c r="F33" i="2"/>
  <c r="J32" i="2"/>
  <c r="N31" i="2"/>
  <c r="F30" i="2"/>
  <c r="J29" i="2"/>
  <c r="N28" i="2"/>
  <c r="F27" i="2"/>
  <c r="J26" i="2"/>
  <c r="N25" i="2"/>
  <c r="F24" i="2"/>
  <c r="I23" i="2"/>
  <c r="M22" i="2"/>
  <c r="E33" i="2"/>
  <c r="I32" i="2"/>
  <c r="M31" i="2"/>
  <c r="E30" i="2"/>
  <c r="I29" i="2"/>
  <c r="M28" i="2"/>
  <c r="E27" i="2"/>
  <c r="I26" i="2"/>
  <c r="M25" i="2"/>
  <c r="E24" i="2"/>
  <c r="I21" i="2"/>
  <c r="H23" i="2"/>
  <c r="L22" i="2"/>
  <c r="P33" i="2"/>
  <c r="D33" i="2"/>
  <c r="H32" i="2"/>
  <c r="L31" i="2"/>
  <c r="P30" i="2"/>
  <c r="D30" i="2"/>
  <c r="H29" i="2"/>
  <c r="L28" i="2"/>
  <c r="P27" i="2"/>
  <c r="D27" i="2"/>
  <c r="H26" i="2"/>
  <c r="L25" i="2"/>
  <c r="P24" i="2"/>
  <c r="D24" i="2"/>
  <c r="AC13" i="2"/>
  <c r="P17" i="2"/>
  <c r="G23" i="2"/>
  <c r="K22" i="2"/>
  <c r="O33" i="2"/>
  <c r="C33" i="2"/>
  <c r="G32" i="2"/>
  <c r="K31" i="2"/>
  <c r="O30" i="2"/>
  <c r="C30" i="2"/>
  <c r="G29" i="2"/>
  <c r="K28" i="2"/>
  <c r="O27" i="2"/>
  <c r="C27" i="2"/>
  <c r="K25" i="2"/>
  <c r="O24" i="2"/>
  <c r="C24" i="2"/>
  <c r="AC12" i="2"/>
  <c r="F21" i="2"/>
  <c r="I20" i="2"/>
  <c r="F23" i="2"/>
  <c r="J22" i="2"/>
  <c r="N33" i="2"/>
  <c r="F32" i="2"/>
  <c r="J31" i="2"/>
  <c r="N30" i="2"/>
  <c r="F29" i="2"/>
  <c r="J28" i="2"/>
  <c r="N27" i="2"/>
  <c r="J25" i="2"/>
  <c r="N24" i="2"/>
  <c r="AC11" i="2"/>
  <c r="J21" i="2"/>
  <c r="P18" i="2"/>
  <c r="J20" i="2"/>
  <c r="E21" i="2"/>
  <c r="H20" i="2"/>
  <c r="E23" i="2"/>
  <c r="I22" i="2"/>
  <c r="M33" i="2"/>
  <c r="E32" i="2"/>
  <c r="I31" i="2"/>
  <c r="M30" i="2"/>
  <c r="E29" i="2"/>
  <c r="I28" i="2"/>
  <c r="M27" i="2"/>
  <c r="AC9" i="2"/>
  <c r="C21" i="2"/>
  <c r="G20" i="2"/>
  <c r="G21" i="2"/>
  <c r="M19" i="2"/>
  <c r="M12" i="2"/>
  <c r="J19" i="2"/>
  <c r="G19" i="2"/>
  <c r="C19" i="2"/>
  <c r="M13" i="2"/>
  <c r="H19" i="2"/>
  <c r="D19" i="2"/>
  <c r="M17" i="2"/>
  <c r="M15" i="2"/>
  <c r="F19" i="2"/>
  <c r="K19" i="2"/>
  <c r="L19" i="2"/>
  <c r="M11" i="2"/>
  <c r="M18" i="2"/>
  <c r="M10" i="2"/>
  <c r="M14" i="2"/>
  <c r="I19" i="2"/>
  <c r="M9" i="2"/>
  <c r="M16" i="2"/>
  <c r="E19" i="2"/>
  <c r="L12" i="2"/>
  <c r="F17" i="2"/>
  <c r="E16" i="2"/>
  <c r="E14" i="2"/>
  <c r="H10" i="2"/>
  <c r="H17" i="2"/>
  <c r="J16" i="2"/>
  <c r="C18" i="2"/>
  <c r="L9" i="2"/>
  <c r="D15" i="2"/>
  <c r="J14" i="2"/>
  <c r="H16" i="2"/>
  <c r="C16" i="2"/>
  <c r="H18" i="2"/>
  <c r="F15" i="2"/>
  <c r="L15" i="2"/>
  <c r="L13" i="2"/>
  <c r="J18" i="2"/>
  <c r="I14" i="2"/>
  <c r="F14" i="2"/>
  <c r="K13" i="2"/>
  <c r="K10" i="2"/>
  <c r="K17" i="2"/>
  <c r="I9" i="2"/>
  <c r="D14" i="2"/>
  <c r="I15" i="2"/>
  <c r="I17" i="2"/>
  <c r="G15" i="2"/>
  <c r="G14" i="2"/>
  <c r="I16" i="2"/>
  <c r="H15" i="2"/>
  <c r="H14" i="2"/>
  <c r="L14" i="2"/>
  <c r="L16" i="2"/>
  <c r="E18" i="2"/>
  <c r="K15" i="2"/>
  <c r="G16" i="2"/>
  <c r="G17" i="2"/>
  <c r="G18" i="2"/>
  <c r="L17" i="2"/>
  <c r="L11" i="2"/>
  <c r="K12" i="2"/>
  <c r="L10" i="2"/>
  <c r="H13" i="2"/>
  <c r="H9" i="2"/>
  <c r="K14" i="2"/>
  <c r="I13" i="2"/>
  <c r="K18" i="2"/>
  <c r="I18" i="2"/>
  <c r="D17" i="2"/>
  <c r="E17" i="2"/>
  <c r="I11" i="2"/>
  <c r="J11" i="2"/>
  <c r="J15" i="2"/>
  <c r="C14" i="2"/>
  <c r="F16" i="2"/>
  <c r="K16" i="2"/>
  <c r="F18" i="2"/>
  <c r="I12" i="2"/>
  <c r="J10" i="2"/>
  <c r="K9" i="2"/>
  <c r="E15" i="2"/>
  <c r="C15" i="2"/>
  <c r="J12" i="2"/>
  <c r="I10" i="2"/>
  <c r="J17" i="2"/>
  <c r="D18" i="2"/>
  <c r="H12" i="2"/>
  <c r="J9" i="2"/>
  <c r="K11" i="2"/>
  <c r="C17" i="2"/>
  <c r="AC34" i="2" l="1" a="1"/>
  <c r="AC34" i="2" s="1"/>
  <c r="BE25" i="8"/>
  <c r="BE24" i="8"/>
  <c r="BE23" i="8"/>
  <c r="BE22" i="8"/>
  <c r="BE21" i="8"/>
  <c r="BE20" i="8"/>
  <c r="BE19" i="8"/>
  <c r="BE18" i="8"/>
  <c r="BE17" i="8"/>
  <c r="BE16" i="8"/>
  <c r="BE15" i="8"/>
  <c r="BE14" i="8"/>
  <c r="BE13" i="8"/>
  <c r="BE12" i="8"/>
  <c r="BE11" i="8"/>
  <c r="BE10" i="8"/>
  <c r="BE9" i="8"/>
  <c r="BE8" i="8"/>
  <c r="BE7" i="8"/>
  <c r="BE6" i="8"/>
  <c r="BE5" i="8"/>
  <c r="BE4" i="8"/>
  <c r="BE3" i="8"/>
  <c r="BE2" i="8"/>
  <c r="BD26" i="8"/>
  <c r="BD24" i="8"/>
  <c r="BD23" i="8"/>
  <c r="BD22" i="8"/>
  <c r="BD21" i="8"/>
  <c r="BD20" i="8"/>
  <c r="BD19" i="8"/>
  <c r="BD18" i="8"/>
  <c r="BD17" i="8"/>
  <c r="BD16" i="8"/>
  <c r="BD15" i="8"/>
  <c r="BD14" i="8"/>
  <c r="BD13" i="8"/>
  <c r="BD12" i="8"/>
  <c r="BD11" i="8"/>
  <c r="BD10" i="8"/>
  <c r="BD9" i="8"/>
  <c r="BD8" i="8"/>
  <c r="BD7" i="8"/>
  <c r="BD6" i="8"/>
  <c r="BD5" i="8"/>
  <c r="BD4" i="8"/>
  <c r="BD3" i="8"/>
  <c r="BD2" i="8"/>
  <c r="BC26" i="8"/>
  <c r="BC25" i="8"/>
  <c r="BC23" i="8"/>
  <c r="BC22" i="8"/>
  <c r="BC21" i="8"/>
  <c r="BC20" i="8"/>
  <c r="BC19" i="8"/>
  <c r="BC18" i="8"/>
  <c r="BC17" i="8"/>
  <c r="BC16" i="8"/>
  <c r="BC15" i="8"/>
  <c r="BC14" i="8"/>
  <c r="BC13" i="8"/>
  <c r="BC12" i="8"/>
  <c r="BC11" i="8"/>
  <c r="BC10" i="8"/>
  <c r="BC9" i="8"/>
  <c r="BC8" i="8"/>
  <c r="BC7" i="8"/>
  <c r="BC6" i="8"/>
  <c r="BC5" i="8"/>
  <c r="BC4" i="8"/>
  <c r="BC3" i="8"/>
  <c r="BC2" i="8"/>
  <c r="BB26" i="8"/>
  <c r="BB25" i="8"/>
  <c r="BB24" i="8"/>
  <c r="BB22" i="8"/>
  <c r="BB21" i="8"/>
  <c r="BB20" i="8"/>
  <c r="BB19" i="8"/>
  <c r="BB18" i="8"/>
  <c r="BB17" i="8"/>
  <c r="BB16" i="8"/>
  <c r="BB15" i="8"/>
  <c r="BB14" i="8"/>
  <c r="BB13" i="8"/>
  <c r="BB12" i="8"/>
  <c r="BB11" i="8"/>
  <c r="BB10" i="8"/>
  <c r="BB9" i="8"/>
  <c r="BB8" i="8"/>
  <c r="BB7" i="8"/>
  <c r="BB6" i="8"/>
  <c r="BB5" i="8"/>
  <c r="BB4" i="8"/>
  <c r="BB3" i="8"/>
  <c r="BB2" i="8"/>
  <c r="BA26" i="8"/>
  <c r="BA25" i="8"/>
  <c r="BA24" i="8"/>
  <c r="BA23" i="8"/>
  <c r="BA21" i="8"/>
  <c r="BA20" i="8"/>
  <c r="BA19" i="8"/>
  <c r="BA18" i="8"/>
  <c r="BA17" i="8"/>
  <c r="BA16" i="8"/>
  <c r="BA15" i="8"/>
  <c r="BA14" i="8"/>
  <c r="BA13" i="8"/>
  <c r="BA12" i="8"/>
  <c r="BA11" i="8"/>
  <c r="BA10" i="8"/>
  <c r="BA9" i="8"/>
  <c r="BA8" i="8"/>
  <c r="BA7" i="8"/>
  <c r="BA6" i="8"/>
  <c r="BA5" i="8"/>
  <c r="BA4" i="8"/>
  <c r="BA3" i="8"/>
  <c r="BA2" i="8"/>
  <c r="AZ26" i="8"/>
  <c r="AZ25" i="8"/>
  <c r="AZ24" i="8"/>
  <c r="AZ23" i="8"/>
  <c r="AZ22" i="8"/>
  <c r="AZ20" i="8"/>
  <c r="AZ19" i="8"/>
  <c r="AZ18" i="8"/>
  <c r="AZ17" i="8"/>
  <c r="AZ16" i="8"/>
  <c r="AZ15" i="8"/>
  <c r="AZ14" i="8"/>
  <c r="AZ13" i="8"/>
  <c r="AZ12" i="8"/>
  <c r="AZ11" i="8"/>
  <c r="AZ10" i="8"/>
  <c r="AZ9" i="8"/>
  <c r="AZ8" i="8"/>
  <c r="AZ7" i="8"/>
  <c r="AZ6" i="8"/>
  <c r="AZ5" i="8"/>
  <c r="AZ4" i="8"/>
  <c r="AZ3" i="8"/>
  <c r="AZ2" i="8"/>
  <c r="AY26" i="8"/>
  <c r="AY25" i="8"/>
  <c r="AY24" i="8"/>
  <c r="AY23" i="8"/>
  <c r="AY22" i="8"/>
  <c r="AY21" i="8"/>
  <c r="AY19" i="8"/>
  <c r="AY18" i="8"/>
  <c r="AY17" i="8"/>
  <c r="AY16" i="8"/>
  <c r="AY15" i="8"/>
  <c r="AY14" i="8"/>
  <c r="AY13" i="8"/>
  <c r="AY12" i="8"/>
  <c r="AY11" i="8"/>
  <c r="AY10" i="8"/>
  <c r="AY9" i="8"/>
  <c r="AY8" i="8"/>
  <c r="AY7" i="8"/>
  <c r="AY6" i="8"/>
  <c r="AY5" i="8"/>
  <c r="AY4" i="8"/>
  <c r="AY3" i="8"/>
  <c r="AY2" i="8"/>
  <c r="AX26" i="8"/>
  <c r="AX25" i="8"/>
  <c r="AX24" i="8"/>
  <c r="AX23" i="8"/>
  <c r="AX22" i="8"/>
  <c r="AX21" i="8"/>
  <c r="AX20" i="8"/>
  <c r="AX18" i="8"/>
  <c r="AX17" i="8"/>
  <c r="AX16" i="8"/>
  <c r="AX15" i="8"/>
  <c r="AX14" i="8"/>
  <c r="AX13" i="8"/>
  <c r="AX12" i="8"/>
  <c r="AX11" i="8"/>
  <c r="AX10" i="8"/>
  <c r="AX9" i="8"/>
  <c r="AX8" i="8"/>
  <c r="AX7" i="8"/>
  <c r="AX6" i="8"/>
  <c r="AX5" i="8"/>
  <c r="AX4" i="8"/>
  <c r="AX3" i="8"/>
  <c r="AX2" i="8"/>
  <c r="AW26" i="8"/>
  <c r="AW25" i="8"/>
  <c r="AW24" i="8"/>
  <c r="AW23" i="8"/>
  <c r="AW22" i="8"/>
  <c r="AW21" i="8"/>
  <c r="AW20" i="8"/>
  <c r="AW19" i="8"/>
  <c r="AW17" i="8"/>
  <c r="AW16" i="8"/>
  <c r="AW15" i="8"/>
  <c r="AW14" i="8"/>
  <c r="AW13" i="8"/>
  <c r="AW12" i="8"/>
  <c r="AW11" i="8"/>
  <c r="AW10" i="8"/>
  <c r="AW9" i="8"/>
  <c r="AW8" i="8"/>
  <c r="AW7" i="8"/>
  <c r="AW6" i="8"/>
  <c r="AW5" i="8"/>
  <c r="AW4" i="8"/>
  <c r="AW3" i="8"/>
  <c r="AW2" i="8"/>
  <c r="AV26" i="8"/>
  <c r="AV25" i="8"/>
  <c r="AV24" i="8"/>
  <c r="AV23" i="8"/>
  <c r="AV22" i="8"/>
  <c r="AV21" i="8"/>
  <c r="AV20" i="8"/>
  <c r="AV19" i="8"/>
  <c r="AV18" i="8"/>
  <c r="AV16" i="8"/>
  <c r="AV15" i="8"/>
  <c r="AV14" i="8"/>
  <c r="AV13" i="8"/>
  <c r="AV12" i="8"/>
  <c r="AV11" i="8"/>
  <c r="AV10" i="8"/>
  <c r="AV9" i="8"/>
  <c r="AV8" i="8"/>
  <c r="AV7" i="8"/>
  <c r="AV6" i="8"/>
  <c r="AV5" i="8"/>
  <c r="AV4" i="8"/>
  <c r="AV3" i="8"/>
  <c r="AV2" i="8"/>
  <c r="AU26" i="8"/>
  <c r="AU25" i="8"/>
  <c r="AU24" i="8"/>
  <c r="AU23" i="8"/>
  <c r="AU22" i="8"/>
  <c r="AU21" i="8"/>
  <c r="AU20" i="8"/>
  <c r="AU19" i="8"/>
  <c r="AU18" i="8"/>
  <c r="AU17" i="8"/>
  <c r="AU15" i="8"/>
  <c r="AU14" i="8"/>
  <c r="AU13" i="8"/>
  <c r="AU12" i="8"/>
  <c r="AU11" i="8"/>
  <c r="AU10" i="8"/>
  <c r="AU9" i="8"/>
  <c r="AU8" i="8"/>
  <c r="AU7" i="8"/>
  <c r="AU6" i="8"/>
  <c r="AU5" i="8"/>
  <c r="AU4" i="8"/>
  <c r="AU3" i="8"/>
  <c r="AU2" i="8"/>
  <c r="AT26" i="8"/>
  <c r="AT25" i="8"/>
  <c r="AT24" i="8"/>
  <c r="AT23" i="8"/>
  <c r="AT22" i="8"/>
  <c r="AT21" i="8"/>
  <c r="AT20" i="8"/>
  <c r="AT19" i="8"/>
  <c r="AT18" i="8"/>
  <c r="AT17" i="8"/>
  <c r="AT16" i="8"/>
  <c r="AT14" i="8"/>
  <c r="AT13" i="8"/>
  <c r="AT12" i="8"/>
  <c r="AT11" i="8"/>
  <c r="AT10" i="8"/>
  <c r="AT9" i="8"/>
  <c r="AT8" i="8"/>
  <c r="AT7" i="8"/>
  <c r="AT6" i="8"/>
  <c r="AT5" i="8"/>
  <c r="AT4" i="8"/>
  <c r="AT3" i="8"/>
  <c r="AT2" i="8"/>
  <c r="AS26" i="8"/>
  <c r="AS25" i="8"/>
  <c r="AS24" i="8"/>
  <c r="AS23" i="8"/>
  <c r="AS22" i="8"/>
  <c r="AS21" i="8"/>
  <c r="AS20" i="8"/>
  <c r="AS19" i="8"/>
  <c r="AS18" i="8"/>
  <c r="AS17" i="8"/>
  <c r="AS16" i="8"/>
  <c r="AS15" i="8"/>
  <c r="AS13" i="8"/>
  <c r="AS12" i="8"/>
  <c r="AS11" i="8"/>
  <c r="AS10" i="8"/>
  <c r="AS9" i="8"/>
  <c r="AS8" i="8"/>
  <c r="AS7" i="8"/>
  <c r="AS6" i="8"/>
  <c r="AS5" i="8"/>
  <c r="AS4" i="8"/>
  <c r="AS3" i="8"/>
  <c r="AS2" i="8"/>
  <c r="AR26" i="8"/>
  <c r="AR25" i="8"/>
  <c r="AR24" i="8"/>
  <c r="AR23" i="8"/>
  <c r="AR22" i="8"/>
  <c r="AR21" i="8"/>
  <c r="AR20" i="8"/>
  <c r="AR19" i="8"/>
  <c r="AR18" i="8"/>
  <c r="AR17" i="8"/>
  <c r="AR16" i="8"/>
  <c r="AR15" i="8"/>
  <c r="AR14" i="8"/>
  <c r="AR12" i="8"/>
  <c r="AR11" i="8"/>
  <c r="AR10" i="8"/>
  <c r="AR9" i="8"/>
  <c r="AR8" i="8"/>
  <c r="AR7" i="8"/>
  <c r="AR6" i="8"/>
  <c r="AR5" i="8"/>
  <c r="AR4" i="8"/>
  <c r="AR3" i="8"/>
  <c r="AR2" i="8"/>
  <c r="AQ26" i="8"/>
  <c r="AQ25" i="8"/>
  <c r="AQ24" i="8"/>
  <c r="AQ23" i="8"/>
  <c r="AQ22" i="8"/>
  <c r="AQ21" i="8"/>
  <c r="AQ20" i="8"/>
  <c r="AQ19" i="8"/>
  <c r="AQ18" i="8"/>
  <c r="AQ17" i="8"/>
  <c r="AQ16" i="8"/>
  <c r="AQ15" i="8"/>
  <c r="AQ14" i="8"/>
  <c r="AQ13" i="8"/>
  <c r="AQ11" i="8"/>
  <c r="AQ10" i="8"/>
  <c r="AQ9" i="8"/>
  <c r="AQ8" i="8"/>
  <c r="AQ7" i="8"/>
  <c r="AQ6" i="8"/>
  <c r="AQ5" i="8"/>
  <c r="AQ4" i="8"/>
  <c r="AQ3" i="8"/>
  <c r="AQ2" i="8"/>
  <c r="AP26" i="8"/>
  <c r="AP25" i="8"/>
  <c r="AP24" i="8"/>
  <c r="AP23" i="8"/>
  <c r="AP22" i="8"/>
  <c r="AP21" i="8"/>
  <c r="AP20" i="8"/>
  <c r="AP19" i="8"/>
  <c r="AP18" i="8"/>
  <c r="AP17" i="8"/>
  <c r="AP16" i="8"/>
  <c r="AP15" i="8"/>
  <c r="AP14" i="8"/>
  <c r="AP13" i="8"/>
  <c r="AP12" i="8"/>
  <c r="AP10" i="8"/>
  <c r="AP9" i="8"/>
  <c r="AP8" i="8"/>
  <c r="AP7" i="8"/>
  <c r="AP6" i="8"/>
  <c r="AP5" i="8"/>
  <c r="AP4" i="8"/>
  <c r="AP3" i="8"/>
  <c r="AP2" i="8"/>
  <c r="AO26" i="8"/>
  <c r="AO25" i="8"/>
  <c r="AO24" i="8"/>
  <c r="AO23" i="8"/>
  <c r="AO22" i="8"/>
  <c r="AO21" i="8"/>
  <c r="AO20" i="8"/>
  <c r="AO19" i="8"/>
  <c r="AO18" i="8"/>
  <c r="AO17" i="8"/>
  <c r="AO16" i="8"/>
  <c r="AO15" i="8"/>
  <c r="AO14" i="8"/>
  <c r="AO13" i="8"/>
  <c r="AO12" i="8"/>
  <c r="AO11" i="8"/>
  <c r="AO9" i="8"/>
  <c r="AO8" i="8"/>
  <c r="AO7" i="8"/>
  <c r="AO6" i="8"/>
  <c r="AO5" i="8"/>
  <c r="AO4" i="8"/>
  <c r="AO3" i="8"/>
  <c r="AO2" i="8"/>
  <c r="AN26" i="8"/>
  <c r="AN25" i="8"/>
  <c r="AN24" i="8"/>
  <c r="AN23" i="8"/>
  <c r="AN22" i="8"/>
  <c r="AN21" i="8"/>
  <c r="AN20" i="8"/>
  <c r="AN19" i="8"/>
  <c r="AN18" i="8"/>
  <c r="AN17" i="8"/>
  <c r="AN16" i="8"/>
  <c r="AN15" i="8"/>
  <c r="AN14" i="8"/>
  <c r="AN13" i="8"/>
  <c r="AN12" i="8"/>
  <c r="AN11" i="8"/>
  <c r="AN10" i="8"/>
  <c r="AN8" i="8"/>
  <c r="AN7" i="8"/>
  <c r="AN6" i="8"/>
  <c r="AN5" i="8"/>
  <c r="AN4" i="8"/>
  <c r="AN3" i="8"/>
  <c r="AN2" i="8"/>
  <c r="AM26" i="8"/>
  <c r="AM25" i="8"/>
  <c r="AM24" i="8"/>
  <c r="AM23" i="8"/>
  <c r="AM22" i="8"/>
  <c r="AM21" i="8"/>
  <c r="AM20" i="8"/>
  <c r="AM19" i="8"/>
  <c r="AM18" i="8"/>
  <c r="AM17" i="8"/>
  <c r="AM16" i="8"/>
  <c r="AM15" i="8"/>
  <c r="AM14" i="8"/>
  <c r="AM13" i="8"/>
  <c r="AM12" i="8"/>
  <c r="AM11" i="8"/>
  <c r="AM10" i="8"/>
  <c r="AM9" i="8"/>
  <c r="AM7" i="8"/>
  <c r="AM6" i="8"/>
  <c r="AM5" i="8"/>
  <c r="AM4" i="8"/>
  <c r="AM3" i="8"/>
  <c r="AM2" i="8"/>
  <c r="AL26" i="8"/>
  <c r="AL25" i="8"/>
  <c r="AL24" i="8"/>
  <c r="AL23" i="8"/>
  <c r="AL22" i="8"/>
  <c r="AL21" i="8"/>
  <c r="AL20" i="8"/>
  <c r="AL19" i="8"/>
  <c r="AL18" i="8"/>
  <c r="AL17" i="8"/>
  <c r="AL16" i="8"/>
  <c r="AL15" i="8"/>
  <c r="AL14" i="8"/>
  <c r="AL13" i="8"/>
  <c r="AL12" i="8"/>
  <c r="AL11" i="8"/>
  <c r="AL10" i="8"/>
  <c r="AL9" i="8"/>
  <c r="AL8" i="8"/>
  <c r="AL6" i="8"/>
  <c r="AL5" i="8"/>
  <c r="AL4" i="8"/>
  <c r="AL3" i="8"/>
  <c r="AL2" i="8"/>
  <c r="AK26" i="8"/>
  <c r="AK25" i="8"/>
  <c r="AK24" i="8"/>
  <c r="AK23" i="8"/>
  <c r="AK22" i="8"/>
  <c r="AK21" i="8"/>
  <c r="AK20" i="8"/>
  <c r="AK19" i="8"/>
  <c r="AK18" i="8"/>
  <c r="AK17" i="8"/>
  <c r="AK16" i="8"/>
  <c r="AK15" i="8"/>
  <c r="AK14" i="8"/>
  <c r="AK13" i="8"/>
  <c r="AK12" i="8"/>
  <c r="AK11" i="8"/>
  <c r="AK10" i="8"/>
  <c r="AK9" i="8"/>
  <c r="AK8" i="8"/>
  <c r="AK7" i="8"/>
  <c r="AK5" i="8"/>
  <c r="AK4" i="8"/>
  <c r="AK3" i="8"/>
  <c r="AK2" i="8"/>
  <c r="AJ26" i="8"/>
  <c r="AJ25" i="8"/>
  <c r="AJ24" i="8"/>
  <c r="AJ23" i="8"/>
  <c r="AJ22" i="8"/>
  <c r="AJ21" i="8"/>
  <c r="AJ20" i="8"/>
  <c r="AJ19" i="8"/>
  <c r="AJ18" i="8"/>
  <c r="AJ17" i="8"/>
  <c r="AJ16" i="8"/>
  <c r="AJ15" i="8"/>
  <c r="AJ14" i="8"/>
  <c r="AJ13" i="8"/>
  <c r="AJ12" i="8"/>
  <c r="AJ11" i="8"/>
  <c r="AJ10" i="8"/>
  <c r="AJ9" i="8"/>
  <c r="AJ8" i="8"/>
  <c r="AJ7" i="8"/>
  <c r="AJ6" i="8"/>
  <c r="AJ4" i="8"/>
  <c r="AJ3" i="8"/>
  <c r="AJ2" i="8"/>
  <c r="AI26" i="8"/>
  <c r="AI25" i="8"/>
  <c r="AI24" i="8"/>
  <c r="AI23" i="8"/>
  <c r="AI22" i="8"/>
  <c r="AI21" i="8"/>
  <c r="AI20" i="8"/>
  <c r="AI19" i="8"/>
  <c r="AI18" i="8"/>
  <c r="AI17" i="8"/>
  <c r="AI16" i="8"/>
  <c r="AI15" i="8"/>
  <c r="AI14" i="8"/>
  <c r="AI13" i="8"/>
  <c r="AI12" i="8"/>
  <c r="AI11" i="8"/>
  <c r="AI10" i="8"/>
  <c r="AI9" i="8"/>
  <c r="AI8" i="8"/>
  <c r="AI7" i="8"/>
  <c r="AI6" i="8"/>
  <c r="AI5" i="8"/>
  <c r="AI3" i="8"/>
  <c r="AI2" i="8"/>
  <c r="AH26" i="8"/>
  <c r="AH25" i="8"/>
  <c r="AH24" i="8"/>
  <c r="AH23" i="8"/>
  <c r="AH22" i="8"/>
  <c r="AH21" i="8"/>
  <c r="AH20" i="8"/>
  <c r="AH19" i="8"/>
  <c r="AH18" i="8"/>
  <c r="AH17" i="8"/>
  <c r="AH16" i="8"/>
  <c r="AH15" i="8"/>
  <c r="AH14" i="8"/>
  <c r="AH13" i="8"/>
  <c r="AH12" i="8"/>
  <c r="AH11" i="8"/>
  <c r="AH10" i="8"/>
  <c r="AH9" i="8"/>
  <c r="AH8" i="8"/>
  <c r="AH7" i="8"/>
  <c r="AH6" i="8"/>
  <c r="AH5" i="8"/>
  <c r="AH4" i="8"/>
  <c r="AH2" i="8"/>
  <c r="AG26" i="8"/>
  <c r="AG25" i="8"/>
  <c r="AG24" i="8"/>
  <c r="AG23" i="8"/>
  <c r="AG22" i="8"/>
  <c r="AG21" i="8"/>
  <c r="AG20" i="8"/>
  <c r="AG19" i="8"/>
  <c r="AG18" i="8"/>
  <c r="AG17" i="8"/>
  <c r="AG16" i="8"/>
  <c r="AG15" i="8"/>
  <c r="AG14" i="8"/>
  <c r="AG13" i="8"/>
  <c r="AG12" i="8"/>
  <c r="AG11" i="8"/>
  <c r="AG10" i="8"/>
  <c r="AG9" i="8"/>
  <c r="AG8" i="8"/>
  <c r="AG7" i="8"/>
  <c r="AG6" i="8"/>
  <c r="AG5" i="8"/>
  <c r="AG4" i="8"/>
  <c r="AG3" i="8"/>
  <c r="AG2" i="8"/>
  <c r="Z2" i="8" s="1"/>
  <c r="AA2" i="8" s="1"/>
  <c r="BE26" i="8"/>
  <c r="BD25" i="8"/>
  <c r="BC24" i="8"/>
  <c r="BB23" i="8"/>
  <c r="BA22" i="8"/>
  <c r="AZ21" i="8"/>
  <c r="AY20" i="8"/>
  <c r="AX19" i="8"/>
  <c r="AW18" i="8"/>
  <c r="AV17" i="8"/>
  <c r="AU16" i="8"/>
  <c r="AT15" i="8"/>
  <c r="AS14" i="8"/>
  <c r="AR13" i="8"/>
  <c r="AQ12" i="8"/>
  <c r="AP11" i="8"/>
  <c r="AO10" i="8"/>
  <c r="AN9" i="8"/>
  <c r="AM8" i="8"/>
  <c r="AL7" i="8"/>
  <c r="AK6" i="8"/>
  <c r="AJ5" i="8"/>
  <c r="AI4" i="8"/>
  <c r="AH3" i="8"/>
  <c r="BE53" i="8"/>
  <c r="BE52" i="8"/>
  <c r="BD52" i="8"/>
  <c r="BE51" i="8"/>
  <c r="BD51" i="8"/>
  <c r="BC51" i="8"/>
  <c r="BE50" i="8"/>
  <c r="BD50" i="8"/>
  <c r="BC50" i="8"/>
  <c r="BB50" i="8"/>
  <c r="BE49" i="8"/>
  <c r="BD49" i="8"/>
  <c r="BC49" i="8"/>
  <c r="BB49" i="8"/>
  <c r="BA49" i="8"/>
  <c r="BE48" i="8"/>
  <c r="BD48" i="8"/>
  <c r="BC48" i="8"/>
  <c r="BB48" i="8"/>
  <c r="BA48" i="8"/>
  <c r="AZ48" i="8"/>
  <c r="BE47" i="8"/>
  <c r="BD47" i="8"/>
  <c r="BC47" i="8"/>
  <c r="BB47" i="8"/>
  <c r="BA47" i="8"/>
  <c r="AZ47" i="8"/>
  <c r="AY47" i="8"/>
  <c r="BE46" i="8"/>
  <c r="BD46" i="8"/>
  <c r="BC46" i="8"/>
  <c r="BB46" i="8"/>
  <c r="BA46" i="8"/>
  <c r="AZ46" i="8"/>
  <c r="AY46" i="8"/>
  <c r="AX46" i="8"/>
  <c r="BE45" i="8"/>
  <c r="BD45" i="8"/>
  <c r="BC45" i="8"/>
  <c r="BB45" i="8"/>
  <c r="BA45" i="8"/>
  <c r="AZ45" i="8"/>
  <c r="AY45" i="8"/>
  <c r="AX45" i="8"/>
  <c r="AW45" i="8"/>
  <c r="BE44" i="8"/>
  <c r="BD44" i="8"/>
  <c r="BC44" i="8"/>
  <c r="BB44" i="8"/>
  <c r="BA44" i="8"/>
  <c r="AZ44" i="8"/>
  <c r="AY44" i="8"/>
  <c r="AX44" i="8"/>
  <c r="AW44" i="8"/>
  <c r="AV44" i="8"/>
  <c r="BE43" i="8"/>
  <c r="BD43" i="8"/>
  <c r="BC43" i="8"/>
  <c r="BB43" i="8"/>
  <c r="BA43" i="8"/>
  <c r="AZ43" i="8"/>
  <c r="AY43" i="8"/>
  <c r="AX43" i="8"/>
  <c r="AW43" i="8"/>
  <c r="AV43" i="8"/>
  <c r="AU43" i="8"/>
  <c r="BE42" i="8"/>
  <c r="BD42" i="8"/>
  <c r="BC42" i="8"/>
  <c r="BB42" i="8"/>
  <c r="BA42" i="8"/>
  <c r="AZ42" i="8"/>
  <c r="AY42" i="8"/>
  <c r="AX42" i="8"/>
  <c r="AW42" i="8"/>
  <c r="AV42" i="8"/>
  <c r="AU42" i="8"/>
  <c r="AT42" i="8"/>
  <c r="BE41" i="8"/>
  <c r="BD41" i="8"/>
  <c r="BC41" i="8"/>
  <c r="BB41" i="8"/>
  <c r="BA41" i="8"/>
  <c r="AZ41" i="8"/>
  <c r="AY41" i="8"/>
  <c r="AX41" i="8"/>
  <c r="AW41" i="8"/>
  <c r="AV41" i="8"/>
  <c r="AU41" i="8"/>
  <c r="AT41" i="8"/>
  <c r="AS41" i="8"/>
  <c r="BE40" i="8"/>
  <c r="BD40" i="8"/>
  <c r="BC40" i="8"/>
  <c r="BB40" i="8"/>
  <c r="BA40" i="8"/>
  <c r="AZ40" i="8"/>
  <c r="AY40" i="8"/>
  <c r="AX40" i="8"/>
  <c r="AW40" i="8"/>
  <c r="AV40" i="8"/>
  <c r="AU40" i="8"/>
  <c r="AT40" i="8"/>
  <c r="AS40" i="8"/>
  <c r="AR40" i="8"/>
  <c r="BE39" i="8"/>
  <c r="BD39" i="8"/>
  <c r="BC39" i="8"/>
  <c r="BB39" i="8"/>
  <c r="BA39" i="8"/>
  <c r="AZ39" i="8"/>
  <c r="AY39" i="8"/>
  <c r="AX39" i="8"/>
  <c r="AW39" i="8"/>
  <c r="AV39" i="8"/>
  <c r="AU39" i="8"/>
  <c r="AT39" i="8"/>
  <c r="AS39" i="8"/>
  <c r="AR39" i="8"/>
  <c r="AQ39" i="8"/>
  <c r="BE38" i="8"/>
  <c r="BD38" i="8"/>
  <c r="BC38" i="8"/>
  <c r="BB38" i="8"/>
  <c r="BA38" i="8"/>
  <c r="AZ38" i="8"/>
  <c r="AY38" i="8"/>
  <c r="AX38" i="8"/>
  <c r="AW38" i="8"/>
  <c r="AV38" i="8"/>
  <c r="AU38" i="8"/>
  <c r="AT38" i="8"/>
  <c r="AS38" i="8"/>
  <c r="AR38" i="8"/>
  <c r="AQ38" i="8"/>
  <c r="AP38" i="8"/>
  <c r="BE37" i="8"/>
  <c r="BD37" i="8"/>
  <c r="BC37" i="8"/>
  <c r="BB37" i="8"/>
  <c r="BA37" i="8"/>
  <c r="AZ37" i="8"/>
  <c r="AY37" i="8"/>
  <c r="AX37" i="8"/>
  <c r="AW37" i="8"/>
  <c r="AV37" i="8"/>
  <c r="AU37" i="8"/>
  <c r="AT37" i="8"/>
  <c r="AS37" i="8"/>
  <c r="AR37" i="8"/>
  <c r="AQ37" i="8"/>
  <c r="AP37" i="8"/>
  <c r="AO37" i="8"/>
  <c r="BE36" i="8"/>
  <c r="BD36" i="8"/>
  <c r="BC36" i="8"/>
  <c r="BB36" i="8"/>
  <c r="BA36" i="8"/>
  <c r="AZ36" i="8"/>
  <c r="AY36" i="8"/>
  <c r="AX36" i="8"/>
  <c r="AW36" i="8"/>
  <c r="AV36" i="8"/>
  <c r="AU36" i="8"/>
  <c r="AT36" i="8"/>
  <c r="AS36" i="8"/>
  <c r="AR36" i="8"/>
  <c r="AQ36" i="8"/>
  <c r="AP36" i="8"/>
  <c r="AO36" i="8"/>
  <c r="AN36" i="8"/>
  <c r="BE35" i="8"/>
  <c r="BD35" i="8"/>
  <c r="BC35" i="8"/>
  <c r="BB35" i="8"/>
  <c r="BA35" i="8"/>
  <c r="AZ35" i="8"/>
  <c r="AY35" i="8"/>
  <c r="AX35" i="8"/>
  <c r="AW35" i="8"/>
  <c r="AV35" i="8"/>
  <c r="AU35" i="8"/>
  <c r="AT35" i="8"/>
  <c r="AS35" i="8"/>
  <c r="AR35" i="8"/>
  <c r="AQ35" i="8"/>
  <c r="AP35" i="8"/>
  <c r="AO35" i="8"/>
  <c r="AN35" i="8"/>
  <c r="AM35" i="8"/>
  <c r="BE34" i="8"/>
  <c r="BD34" i="8"/>
  <c r="BC34" i="8"/>
  <c r="BB34" i="8"/>
  <c r="BA34" i="8"/>
  <c r="AZ34" i="8"/>
  <c r="AY34" i="8"/>
  <c r="AX34" i="8"/>
  <c r="AW34" i="8"/>
  <c r="AV34" i="8"/>
  <c r="AU34" i="8"/>
  <c r="AT34" i="8"/>
  <c r="AS34" i="8"/>
  <c r="AR34" i="8"/>
  <c r="AQ34" i="8"/>
  <c r="AP34" i="8"/>
  <c r="AO34" i="8"/>
  <c r="AN34" i="8"/>
  <c r="AM34" i="8"/>
  <c r="AL34" i="8"/>
  <c r="BE33" i="8"/>
  <c r="BD33" i="8"/>
  <c r="BC33" i="8"/>
  <c r="BB33" i="8"/>
  <c r="BA33" i="8"/>
  <c r="AZ33" i="8"/>
  <c r="AY33" i="8"/>
  <c r="AX33" i="8"/>
  <c r="AW33" i="8"/>
  <c r="AV33" i="8"/>
  <c r="AU33" i="8"/>
  <c r="AT33" i="8"/>
  <c r="AS33" i="8"/>
  <c r="AR33" i="8"/>
  <c r="AQ33" i="8"/>
  <c r="AP33" i="8"/>
  <c r="AO33" i="8"/>
  <c r="AN33" i="8"/>
  <c r="AM33" i="8"/>
  <c r="AL33" i="8"/>
  <c r="AK33" i="8"/>
  <c r="BE32" i="8"/>
  <c r="BD32" i="8"/>
  <c r="BC32" i="8"/>
  <c r="BB32" i="8"/>
  <c r="BA32" i="8"/>
  <c r="AZ32" i="8"/>
  <c r="AY32" i="8"/>
  <c r="AX32" i="8"/>
  <c r="AW32" i="8"/>
  <c r="AV32" i="8"/>
  <c r="AU32" i="8"/>
  <c r="AT32" i="8"/>
  <c r="AS32" i="8"/>
  <c r="AR32" i="8"/>
  <c r="AQ32" i="8"/>
  <c r="AP32" i="8"/>
  <c r="AO32" i="8"/>
  <c r="AN32" i="8"/>
  <c r="AM32" i="8"/>
  <c r="AL32" i="8"/>
  <c r="AK32" i="8"/>
  <c r="AJ32" i="8"/>
  <c r="BE31" i="8"/>
  <c r="BD31" i="8"/>
  <c r="BC31" i="8"/>
  <c r="BB31" i="8"/>
  <c r="BA31" i="8"/>
  <c r="AZ31" i="8"/>
  <c r="AY31" i="8"/>
  <c r="AX31" i="8"/>
  <c r="AW31" i="8"/>
  <c r="AV31" i="8"/>
  <c r="AU31" i="8"/>
  <c r="AT31" i="8"/>
  <c r="AS31" i="8"/>
  <c r="AR31" i="8"/>
  <c r="AQ31" i="8"/>
  <c r="AP31" i="8"/>
  <c r="AO31" i="8"/>
  <c r="AN31" i="8"/>
  <c r="AM31" i="8"/>
  <c r="AL31" i="8"/>
  <c r="AK31" i="8"/>
  <c r="AJ31" i="8"/>
  <c r="AI31" i="8"/>
  <c r="BE30" i="8"/>
  <c r="BD30" i="8"/>
  <c r="BC30" i="8"/>
  <c r="BB30" i="8"/>
  <c r="BA30" i="8"/>
  <c r="AZ30" i="8"/>
  <c r="AY30" i="8"/>
  <c r="AX30" i="8"/>
  <c r="AW30" i="8"/>
  <c r="AV30" i="8"/>
  <c r="AU30" i="8"/>
  <c r="AT30" i="8"/>
  <c r="AS30" i="8"/>
  <c r="AR30" i="8"/>
  <c r="AQ30" i="8"/>
  <c r="AP30" i="8"/>
  <c r="AO30" i="8"/>
  <c r="AN30" i="8"/>
  <c r="AM30" i="8"/>
  <c r="AL30" i="8"/>
  <c r="AK30" i="8"/>
  <c r="AJ30" i="8"/>
  <c r="AI30" i="8"/>
  <c r="AH30" i="8"/>
  <c r="BE29" i="8"/>
  <c r="BD29" i="8"/>
  <c r="BC29" i="8"/>
  <c r="BB29" i="8"/>
  <c r="BA29" i="8"/>
  <c r="AZ29" i="8"/>
  <c r="AY29" i="8"/>
  <c r="AX29" i="8"/>
  <c r="AW29" i="8"/>
  <c r="AV29" i="8"/>
  <c r="AU29" i="8"/>
  <c r="AT29" i="8"/>
  <c r="AS29" i="8"/>
  <c r="AR29" i="8"/>
  <c r="AQ29" i="8"/>
  <c r="AP29" i="8"/>
  <c r="AO29" i="8"/>
  <c r="AN29" i="8"/>
  <c r="AM29" i="8"/>
  <c r="AL29" i="8"/>
  <c r="AK29" i="8"/>
  <c r="AJ29" i="8"/>
  <c r="AI29" i="8"/>
  <c r="AH29" i="8"/>
  <c r="Z3" i="8" l="1" a="1"/>
  <c r="Z3" i="8" s="1"/>
  <c r="AA3" i="8" s="1"/>
  <c r="Z9" i="8" a="1"/>
  <c r="Z9" i="8" s="1"/>
  <c r="AA9" i="8" s="1"/>
  <c r="Z10" i="8" a="1"/>
  <c r="Z10" i="8" s="1"/>
  <c r="AA10" i="8" s="1"/>
  <c r="Z15" i="8" a="1"/>
  <c r="Z15" i="8" s="1"/>
  <c r="AA15" i="8" s="1"/>
  <c r="Z8" i="8" a="1"/>
  <c r="Z8" i="8" s="1"/>
  <c r="AA8" i="8" s="1"/>
  <c r="Z20" i="8" a="1"/>
  <c r="Z20" i="8" s="1"/>
  <c r="AA20" i="8" s="1"/>
  <c r="Z13" i="8" a="1"/>
  <c r="Z13" i="8" s="1"/>
  <c r="AA13" i="8" s="1"/>
  <c r="Z25" i="8" a="1"/>
  <c r="Z25" i="8" s="1"/>
  <c r="AA25" i="8" s="1"/>
  <c r="Z12" i="8" a="1"/>
  <c r="Z12" i="8" s="1"/>
  <c r="AA12" i="8" s="1"/>
  <c r="Z24" i="8" a="1"/>
  <c r="Z24" i="8" s="1"/>
  <c r="AA24" i="8" s="1"/>
  <c r="Z11" i="8" a="1"/>
  <c r="Z11" i="8" s="1"/>
  <c r="AA11" i="8" s="1"/>
  <c r="Z14" i="8" a="1"/>
  <c r="Z14" i="8" s="1"/>
  <c r="AA14" i="8" s="1"/>
  <c r="Z23" i="8" a="1"/>
  <c r="Z23" i="8" s="1"/>
  <c r="AA23" i="8" s="1"/>
  <c r="Z18" i="8" a="1"/>
  <c r="Z18" i="8" s="1"/>
  <c r="AA18" i="8" s="1"/>
  <c r="Z7" i="8" a="1"/>
  <c r="Z7" i="8" s="1"/>
  <c r="AA7" i="8" s="1"/>
  <c r="Z17" i="8" a="1"/>
  <c r="Z17" i="8" s="1"/>
  <c r="AA17" i="8" s="1"/>
  <c r="Z6" i="8" a="1"/>
  <c r="Z6" i="8" s="1"/>
  <c r="AA6" i="8" s="1"/>
  <c r="Z19" i="8" a="1"/>
  <c r="Z19" i="8" s="1"/>
  <c r="AA19" i="8" s="1"/>
  <c r="Z16" i="8" a="1"/>
  <c r="Z16" i="8" s="1"/>
  <c r="AA16" i="8" s="1"/>
  <c r="Z22" i="8" a="1"/>
  <c r="Z22" i="8" s="1"/>
  <c r="AA22" i="8" s="1"/>
  <c r="Z5" i="8" a="1"/>
  <c r="Z5" i="8" s="1"/>
  <c r="AA5" i="8" s="1"/>
  <c r="Z4" i="8" a="1"/>
  <c r="Z4" i="8" s="1"/>
  <c r="AA4" i="8" s="1"/>
  <c r="Z26" i="8" a="1"/>
  <c r="Z26" i="8" s="1"/>
  <c r="AA26" i="8" s="1"/>
  <c r="Z21" i="8" a="1"/>
  <c r="Z21" i="8" s="1"/>
  <c r="AA21" i="8" s="1"/>
  <c r="G11" i="2"/>
  <c r="C12" i="2"/>
  <c r="D9" i="2"/>
  <c r="D11" i="2"/>
  <c r="D13" i="2"/>
  <c r="D10" i="2"/>
  <c r="E13" i="2"/>
  <c r="G13" i="2"/>
  <c r="F10" i="2"/>
  <c r="G9" i="2"/>
  <c r="E11" i="2"/>
  <c r="C13" i="2"/>
  <c r="G10" i="2"/>
  <c r="F11" i="2"/>
  <c r="F13" i="2"/>
  <c r="F12" i="2"/>
  <c r="E10" i="2"/>
  <c r="C10" i="2"/>
  <c r="E9" i="2"/>
  <c r="G12" i="2"/>
  <c r="E12" i="2"/>
  <c r="F9" i="2"/>
  <c r="C11" i="2"/>
  <c r="D12" i="2"/>
  <c r="F40" i="2" l="1"/>
  <c r="F43" i="2" s="1"/>
  <c r="B37" i="2" a="1"/>
  <c r="B37" i="2" s="1"/>
  <c r="B40" i="2" s="1"/>
  <c r="B43" i="2" l="1"/>
  <c r="M39" i="2" l="1"/>
  <c r="N39" i="2" s="1"/>
  <c r="M40" i="2"/>
  <c r="N40" i="2" s="1"/>
  <c r="M41" i="2"/>
  <c r="N41" i="2" s="1"/>
  <c r="M42" i="2"/>
  <c r="N42" i="2" s="1"/>
</calcChain>
</file>

<file path=xl/sharedStrings.xml><?xml version="1.0" encoding="utf-8"?>
<sst xmlns="http://schemas.openxmlformats.org/spreadsheetml/2006/main" count="674" uniqueCount="275">
  <si>
    <t>Variance-Covariance Matrix &amp; Calculations</t>
  </si>
  <si>
    <t>Portfolio Variance</t>
  </si>
  <si>
    <t>MAR</t>
  </si>
  <si>
    <t>LVS</t>
  </si>
  <si>
    <t>LEN</t>
  </si>
  <si>
    <t>BBY</t>
  </si>
  <si>
    <t>LUV</t>
  </si>
  <si>
    <t>HSY</t>
  </si>
  <si>
    <t>STZ</t>
  </si>
  <si>
    <t>ALGN</t>
  </si>
  <si>
    <t>XEL</t>
  </si>
  <si>
    <t>PPL</t>
  </si>
  <si>
    <t>1D</t>
  </si>
  <si>
    <t>1W</t>
  </si>
  <si>
    <t>1M</t>
  </si>
  <si>
    <t>1Q</t>
  </si>
  <si>
    <t>Annualized</t>
  </si>
  <si>
    <t>PEGA</t>
  </si>
  <si>
    <t>ZNGA</t>
  </si>
  <si>
    <t>OLED</t>
  </si>
  <si>
    <t>TREX</t>
  </si>
  <si>
    <t>TPX</t>
  </si>
  <si>
    <t>V</t>
  </si>
  <si>
    <t>DIS</t>
  </si>
  <si>
    <t>NKE</t>
  </si>
  <si>
    <t>ORCL</t>
  </si>
  <si>
    <t>CAT</t>
  </si>
  <si>
    <t>FB</t>
  </si>
  <si>
    <t>AAPL</t>
  </si>
  <si>
    <t>AMZN</t>
  </si>
  <si>
    <t>NFLX</t>
  </si>
  <si>
    <t>MSFT</t>
  </si>
  <si>
    <t>GOOG</t>
  </si>
  <si>
    <t>Size</t>
  </si>
  <si>
    <t>Realized Volatility - Standard Deviation</t>
  </si>
  <si>
    <t>Implied Volatility - Standard Deviation</t>
  </si>
  <si>
    <t>Date:</t>
  </si>
  <si>
    <t>Assets</t>
  </si>
  <si>
    <t>Weights</t>
  </si>
  <si>
    <t>Correlation</t>
  </si>
  <si>
    <t>Notes</t>
  </si>
  <si>
    <t>e.g. structural, industry, regulation, liquidity etc &gt;&gt;&gt; returns are diluted but doesn’t have to be the case for retail</t>
  </si>
  <si>
    <t>E.g. Long Mega-Caps: Portfolio Std Dev (Correlation = 0.6, Asset Volatility = 0.25)</t>
  </si>
  <si>
    <t>E.g. Long/Short Large &amp; Mid Caps: Portfolio Std Dev (Correlation = 0.2, Asset Volatility = 0.35)</t>
  </si>
  <si>
    <t>E.g. Long Large &amp; Mid Caps: Portfolio Std Dev (Correlation = 0.45, Asset Volatility = 0.35)</t>
  </si>
  <si>
    <t>PORTFOLIO VOLATILITY</t>
  </si>
  <si>
    <t>Ticker</t>
  </si>
  <si>
    <t>% Weight</t>
  </si>
  <si>
    <t>Note:</t>
  </si>
  <si>
    <t>Time-series prices for each asset must have the same start and end dates, and the same frequency.</t>
  </si>
  <si>
    <t>$ Net Allocation</t>
  </si>
  <si>
    <t>Gross:</t>
  </si>
  <si>
    <t>Scenario Analysis</t>
  </si>
  <si>
    <t>Volatility</t>
  </si>
  <si>
    <t>Return</t>
  </si>
  <si>
    <t>Gross Sharpe</t>
  </si>
  <si>
    <t>Practical consideration - Overdiversifying to reduce risk dilutes returns. Don't sacrifice quality and conviction in ideas for the sake of "diversification".</t>
  </si>
  <si>
    <t>Theoretical - assumes equal weights, equal volatilities and equal correlations = unrealistic. But the concepts of correlation &amp; diversification are important.</t>
  </si>
  <si>
    <t>Inputs (Yellow Portfolio)</t>
  </si>
  <si>
    <t>A problem that professional money managers face is having to diversify too much away from their high conviction ideas for various reasons…</t>
  </si>
  <si>
    <r>
      <t>*Calculate gross exposure of positions by quantity x current price
*Calculate net exposure in each asset by calculating gross exposure of the long positions in the asset - gross positions of short positions in the asset
*</t>
    </r>
    <r>
      <rPr>
        <b/>
        <sz val="11"/>
        <color rgb="FFFF0000"/>
        <rFont val="Calibri"/>
        <family val="2"/>
        <scheme val="minor"/>
      </rPr>
      <t>Net short positions will equate to a negative weighting</t>
    </r>
    <r>
      <rPr>
        <sz val="11"/>
        <rFont val="Calibri"/>
        <family val="2"/>
        <scheme val="minor"/>
      </rPr>
      <t xml:space="preserve">
*Convert all net exposures to a single currency so that weightings can be caluclated across the portfolio
</t>
    </r>
  </si>
  <si>
    <t>WING</t>
  </si>
  <si>
    <t>FRPT</t>
  </si>
  <si>
    <t>XPO</t>
  </si>
  <si>
    <t>MOS</t>
  </si>
  <si>
    <t>OLLI</t>
  </si>
  <si>
    <t>DKS</t>
  </si>
  <si>
    <t>VIRT</t>
  </si>
  <si>
    <t>JBLU</t>
  </si>
  <si>
    <t>*Matrix Formula</t>
  </si>
  <si>
    <t>VARIANCE-COVARIANCE MATRIX EXAMPLE</t>
  </si>
  <si>
    <t>Time-series returns for each asset must have the same start and end dates, and the same frequency. Be careful of errors in the bottom row due to referencing prices that don't exist!</t>
  </si>
  <si>
    <t>*Weekly</t>
  </si>
  <si>
    <t>Av Asset Std Dev (Annual)</t>
  </si>
  <si>
    <t>Av Asset Std Dev</t>
  </si>
  <si>
    <t>Portfolio Standard Dev (Annual)</t>
  </si>
  <si>
    <t>Portfolio Standard Dev</t>
  </si>
  <si>
    <r>
      <t xml:space="preserve">This sheet has been password-protected to prevent user error. If you would like to unlock the sheet, the password is "portvol". Go to </t>
    </r>
    <r>
      <rPr>
        <b/>
        <i/>
        <sz val="11"/>
        <color theme="0"/>
        <rFont val="Calibri"/>
        <family val="2"/>
        <scheme val="minor"/>
      </rPr>
      <t>Review</t>
    </r>
    <r>
      <rPr>
        <b/>
        <sz val="11"/>
        <color theme="0"/>
        <rFont val="Calibri"/>
        <family val="2"/>
        <scheme val="minor"/>
      </rPr>
      <t xml:space="preserve"> on the ribbon, and then click on </t>
    </r>
    <r>
      <rPr>
        <b/>
        <i/>
        <sz val="11"/>
        <color theme="0"/>
        <rFont val="Calibri"/>
        <family val="2"/>
        <scheme val="minor"/>
      </rPr>
      <t xml:space="preserve">Unprotect Sheet </t>
    </r>
    <r>
      <rPr>
        <b/>
        <sz val="11"/>
        <color theme="0"/>
        <rFont val="Calibri"/>
        <family val="2"/>
        <scheme val="minor"/>
      </rPr>
      <t>and type in the password.</t>
    </r>
  </si>
  <si>
    <t>Market Cap</t>
  </si>
  <si>
    <t>GICS Sector</t>
  </si>
  <si>
    <t>GICS Industry Group</t>
  </si>
  <si>
    <t>GICS Industry</t>
  </si>
  <si>
    <t>EIX</t>
  </si>
  <si>
    <t>Edison International</t>
  </si>
  <si>
    <t>Utilities</t>
  </si>
  <si>
    <t>Electric Utilities</t>
  </si>
  <si>
    <t>IBM</t>
  </si>
  <si>
    <t>International Business Machines Corp</t>
  </si>
  <si>
    <t>Information Technology</t>
  </si>
  <si>
    <t>Software &amp; Services</t>
  </si>
  <si>
    <t>IT Services</t>
  </si>
  <si>
    <t>SYK</t>
  </si>
  <si>
    <t>Stryker Corp</t>
  </si>
  <si>
    <t>Health Care</t>
  </si>
  <si>
    <t>Health Care Equipment &amp; Services</t>
  </si>
  <si>
    <t>Health Care Equipment &amp; Supplies</t>
  </si>
  <si>
    <t>VZ</t>
  </si>
  <si>
    <t>Verizon Communications Inc</t>
  </si>
  <si>
    <t>Communication Services</t>
  </si>
  <si>
    <t>Telecommunication Services</t>
  </si>
  <si>
    <t>Diversified Telecommunication Services</t>
  </si>
  <si>
    <t>TJX</t>
  </si>
  <si>
    <t>TJX Companies Inc</t>
  </si>
  <si>
    <t>Consumer Discretionary</t>
  </si>
  <si>
    <t>Retailing</t>
  </si>
  <si>
    <t>Specialty Retail</t>
  </si>
  <si>
    <t>SPLK</t>
  </si>
  <si>
    <t>Splunk Inc</t>
  </si>
  <si>
    <t>Software</t>
  </si>
  <si>
    <t>NEM</t>
  </si>
  <si>
    <t>Newmont Corporation</t>
  </si>
  <si>
    <t>Materials</t>
  </si>
  <si>
    <t>Metals &amp; Mining</t>
  </si>
  <si>
    <t>VTRS</t>
  </si>
  <si>
    <t>Viatris Inc</t>
  </si>
  <si>
    <t>Pharmaceuticals, Biotechnology &amp; Life Sciences</t>
  </si>
  <si>
    <t>Pharmaceuticals</t>
  </si>
  <si>
    <t>SYY</t>
  </si>
  <si>
    <t>Sysco Corp</t>
  </si>
  <si>
    <t>Consumer Staples</t>
  </si>
  <si>
    <t>Food &amp; Staples Retailing</t>
  </si>
  <si>
    <t>BDX</t>
  </si>
  <si>
    <t>Becton Dickinson and Co</t>
  </si>
  <si>
    <t>DLTR</t>
  </si>
  <si>
    <t>Dollar Tree Inc</t>
  </si>
  <si>
    <t>Multiline Retail</t>
  </si>
  <si>
    <t>PAYC</t>
  </si>
  <si>
    <t>Paycom Software Inc</t>
  </si>
  <si>
    <t>Freshpet Inc</t>
  </si>
  <si>
    <t>Food, Beverage &amp; Tobacco</t>
  </si>
  <si>
    <t>Food Products</t>
  </si>
  <si>
    <t>FEYE</t>
  </si>
  <si>
    <t>FireEye Inc</t>
  </si>
  <si>
    <t>WMS</t>
  </si>
  <si>
    <t>Advanced Drainage Systems Inc</t>
  </si>
  <si>
    <t>Industrials</t>
  </si>
  <si>
    <t>Capital Goods</t>
  </si>
  <si>
    <t>Building Products</t>
  </si>
  <si>
    <t>AGCO</t>
  </si>
  <si>
    <t>AGCO Corp</t>
  </si>
  <si>
    <t>Machinery</t>
  </si>
  <si>
    <t>TTEC</t>
  </si>
  <si>
    <t>TTEC Holdings Inc</t>
  </si>
  <si>
    <t>OGS</t>
  </si>
  <si>
    <t>ONE Gas Inc</t>
  </si>
  <si>
    <t>Gas Utilities</t>
  </si>
  <si>
    <t>ALGT</t>
  </si>
  <si>
    <t>Allegiant Travel Co</t>
  </si>
  <si>
    <t>Transportation</t>
  </si>
  <si>
    <t>Airlines</t>
  </si>
  <si>
    <t>AIZ</t>
  </si>
  <si>
    <t>Assurant Inc</t>
  </si>
  <si>
    <t>Financials</t>
  </si>
  <si>
    <t>Insurance</t>
  </si>
  <si>
    <t>Company Name</t>
  </si>
  <si>
    <t>Visa Inc</t>
  </si>
  <si>
    <t>Walt Disney Co</t>
  </si>
  <si>
    <t>Media &amp; Entertainment</t>
  </si>
  <si>
    <t>Entertainment</t>
  </si>
  <si>
    <t>Nike Inc</t>
  </si>
  <si>
    <t>Consumer Durables &amp; Apparel</t>
  </si>
  <si>
    <t>Textiles, Apparel &amp; Luxury Goods</t>
  </si>
  <si>
    <t>Oracle Corp</t>
  </si>
  <si>
    <t>Caterpillar Inc</t>
  </si>
  <si>
    <t>Facebook Inc</t>
  </si>
  <si>
    <t>Interactive Media &amp; Services</t>
  </si>
  <si>
    <t>Apple Inc</t>
  </si>
  <si>
    <t>Technology Hardware &amp; Equipment</t>
  </si>
  <si>
    <t>Technology Hardware, Storage &amp; Peripherals</t>
  </si>
  <si>
    <t>Amazon.com Inc</t>
  </si>
  <si>
    <t>Internet &amp; Direct Marketing Retail</t>
  </si>
  <si>
    <t>Netflix Inc</t>
  </si>
  <si>
    <t>Microsoft Corp</t>
  </si>
  <si>
    <t>Alphabet Inc</t>
  </si>
  <si>
    <t>Hershey Co</t>
  </si>
  <si>
    <t>Constellation Brands Inc</t>
  </si>
  <si>
    <t>Beverages</t>
  </si>
  <si>
    <t>Align Technology Inc</t>
  </si>
  <si>
    <t>Xcel Energy Inc</t>
  </si>
  <si>
    <t>PPL Corp</t>
  </si>
  <si>
    <t>Marriott International Inc</t>
  </si>
  <si>
    <t>Consumer Services</t>
  </si>
  <si>
    <t>Hotels, Restaurants &amp; Leisure</t>
  </si>
  <si>
    <t>Las Vegas Sands Corp</t>
  </si>
  <si>
    <t>Lennar Corp</t>
  </si>
  <si>
    <t>Household Durables</t>
  </si>
  <si>
    <t>Best Buy Co Inc</t>
  </si>
  <si>
    <t>Southwest Airlines Co</t>
  </si>
  <si>
    <t>Wingstop Inc</t>
  </si>
  <si>
    <t>Pegasystems Inc</t>
  </si>
  <si>
    <t>Zynga Inc</t>
  </si>
  <si>
    <t>Universal Display Corp</t>
  </si>
  <si>
    <t>Semiconductors &amp; Semiconductor Equipment</t>
  </si>
  <si>
    <t>XPO Logistics Inc</t>
  </si>
  <si>
    <t>Air Freight &amp; Logistics</t>
  </si>
  <si>
    <t>Trex Company Inc</t>
  </si>
  <si>
    <t>Mosaic Co</t>
  </si>
  <si>
    <t>Chemicals</t>
  </si>
  <si>
    <t>Ollie's Bargain Outlet Holdings Inc</t>
  </si>
  <si>
    <t>Dick's Sporting Goods Inc</t>
  </si>
  <si>
    <t>Tempur Sealy International Inc</t>
  </si>
  <si>
    <t>Virtu Financial Inc</t>
  </si>
  <si>
    <t>Diversified Financials</t>
  </si>
  <si>
    <t>Capital Markets</t>
  </si>
  <si>
    <t>JetBlue Airways Corp</t>
  </si>
  <si>
    <t>Mega Cap</t>
  </si>
  <si>
    <t>Large Cap</t>
  </si>
  <si>
    <t>Mid Cap</t>
  </si>
  <si>
    <t>Date</t>
  </si>
  <si>
    <t>Series</t>
  </si>
  <si>
    <t>Series minus the Mean</t>
  </si>
  <si>
    <t>Squared Results</t>
  </si>
  <si>
    <t>Total Mean</t>
  </si>
  <si>
    <t>Mean Sq Results</t>
  </si>
  <si>
    <t>Std Dev</t>
  </si>
  <si>
    <t>STEPS:</t>
  </si>
  <si>
    <t>Formula:</t>
  </si>
  <si>
    <t>Reasoning:</t>
  </si>
  <si>
    <t>Calculate the mean of the series</t>
  </si>
  <si>
    <t>I2=AVERAGE(E2:E9)</t>
  </si>
  <si>
    <t>Reference number which we can measure volatility around</t>
  </si>
  <si>
    <t>Subtract the mean from each number in the series</t>
  </si>
  <si>
    <t>F2=E2-$I$2</t>
  </si>
  <si>
    <t>First step in measuring volatility around the mean</t>
  </si>
  <si>
    <t>Square these numbers</t>
  </si>
  <si>
    <t>G2=F2^2</t>
  </si>
  <si>
    <t>Squaring the numbers makes them all positive, so that negatives don’t cancel the positives and we get a fair representation of volatility</t>
  </si>
  <si>
    <t>Calculate the mean of the squared differences</t>
  </si>
  <si>
    <t>=AVERAGE(C2:C9)</t>
  </si>
  <si>
    <t>Takes the individual differences from the mean and averages them</t>
  </si>
  <si>
    <t>Calculate the square root of that number</t>
  </si>
  <si>
    <t>=SQRT(F2)</t>
  </si>
  <si>
    <t>The square root of this gives us the standard deviation - a typical measure of volatility</t>
  </si>
  <si>
    <t>Series - Mean</t>
  </si>
  <si>
    <t>Sq Results</t>
  </si>
  <si>
    <t>a</t>
  </si>
  <si>
    <t>b</t>
  </si>
  <si>
    <t>c</t>
  </si>
  <si>
    <t>d</t>
  </si>
  <si>
    <t>e</t>
  </si>
  <si>
    <t>f</t>
  </si>
  <si>
    <t>g</t>
  </si>
  <si>
    <t>h</t>
  </si>
  <si>
    <t>Portfolio 1</t>
  </si>
  <si>
    <t>Long</t>
  </si>
  <si>
    <t>Short</t>
  </si>
  <si>
    <t>Portfolio 2</t>
  </si>
  <si>
    <t>P1 Returns</t>
  </si>
  <si>
    <t>P2 Returns</t>
  </si>
  <si>
    <t>Descriptive Statistics</t>
  </si>
  <si>
    <t>Mean</t>
  </si>
  <si>
    <t>Median</t>
  </si>
  <si>
    <t>Standard Deviation</t>
  </si>
  <si>
    <t>Sample Variance</t>
  </si>
  <si>
    <t>Kurtosis</t>
  </si>
  <si>
    <t>Skewness</t>
  </si>
  <si>
    <t>Range</t>
  </si>
  <si>
    <t>Minimum</t>
  </si>
  <si>
    <t>Maximum</t>
  </si>
  <si>
    <t>Count</t>
  </si>
  <si>
    <t>Intervals</t>
  </si>
  <si>
    <t>Frequency</t>
  </si>
  <si>
    <t>Probability</t>
  </si>
  <si>
    <t>Frequency Table</t>
  </si>
  <si>
    <t>This chart shows the mean of the series (blue line) and the series values (orange squares). Essentially, all the standard deviation calculation does is take the differences between the series values and the series mean (shown by the black lines) and average them. However, to do that without positives and negative differences cancelling out, we square them first, then take the mean, then square root that number back.</t>
  </si>
  <si>
    <t>Cumulative Probability</t>
  </si>
  <si>
    <t>Long Mega</t>
  </si>
  <si>
    <t>Long Mid/Short Large</t>
  </si>
  <si>
    <t>Long Mid &amp; Large</t>
  </si>
  <si>
    <t>Av Vol</t>
  </si>
  <si>
    <t>Av Cor</t>
  </si>
  <si>
    <t>Portfolio 1 - Long/Short Large Caps</t>
  </si>
  <si>
    <t>Portfolio 2 - Long Mid Caps / Short Large Caps</t>
  </si>
  <si>
    <t>Equal Weight Portfolios</t>
  </si>
  <si>
    <t>Asset Volatility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</si>
</sst>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
    <numFmt numFmtId="165" formatCode="0.000000"/>
    <numFmt numFmtId="166" formatCode="0.0"/>
    <numFmt numFmtId="167" formatCode="#.##,,,\ &quot;B&quot;"/>
    <numFmt numFmtId="168" formatCode="0.000%"/>
  </numFmts>
  <fonts count="31" x14ac:knownFonts="1">
    <font>
      <sz val="11"/>
      <color theme="1"/>
      <name val="Calibri"/>
      <family val="2"/>
      <scheme val="minor"/>
    </font>
    <font>
      <b/>
      <sz val="11"/>
      <color theme="1"/>
      <name val="Calibri"/>
      <family val="2"/>
      <scheme val="minor"/>
    </font>
    <font>
      <b/>
      <sz val="20"/>
      <color theme="1"/>
      <name val="Calibri"/>
      <family val="2"/>
      <scheme val="minor"/>
    </font>
    <font>
      <sz val="11"/>
      <name val="Calibri"/>
      <family val="2"/>
      <scheme val="minor"/>
    </font>
    <font>
      <sz val="11"/>
      <color rgb="FFFF0000"/>
      <name val="Calibri"/>
      <family val="2"/>
      <scheme val="minor"/>
    </font>
    <font>
      <b/>
      <sz val="11"/>
      <name val="Calibri"/>
      <family val="2"/>
      <scheme val="minor"/>
    </font>
    <font>
      <b/>
      <u/>
      <sz val="11"/>
      <color rgb="FFFF0000"/>
      <name val="Calibri"/>
      <family val="2"/>
      <scheme val="minor"/>
    </font>
    <font>
      <sz val="11"/>
      <color rgb="FF3F3F76"/>
      <name val="Calibri"/>
      <family val="2"/>
      <scheme val="minor"/>
    </font>
    <font>
      <b/>
      <sz val="11"/>
      <color rgb="FFFA7D00"/>
      <name val="Calibri"/>
      <family val="2"/>
      <scheme val="minor"/>
    </font>
    <font>
      <sz val="8"/>
      <name val="Calibri"/>
      <family val="2"/>
      <scheme val="minor"/>
    </font>
    <font>
      <b/>
      <sz val="11"/>
      <color rgb="FF3F3F3F"/>
      <name val="Calibri"/>
      <family val="2"/>
      <scheme val="minor"/>
    </font>
    <font>
      <b/>
      <u/>
      <sz val="12"/>
      <color theme="1"/>
      <name val="Calibri"/>
      <family val="2"/>
      <scheme val="minor"/>
    </font>
    <font>
      <sz val="11"/>
      <color theme="1"/>
      <name val="Calibri"/>
      <family val="2"/>
      <scheme val="minor"/>
    </font>
    <font>
      <b/>
      <sz val="11"/>
      <color rgb="FFFF0000"/>
      <name val="Calibri"/>
      <family val="2"/>
      <scheme val="minor"/>
    </font>
    <font>
      <b/>
      <sz val="11"/>
      <color theme="0"/>
      <name val="Calibri"/>
      <family val="2"/>
      <scheme val="minor"/>
    </font>
    <font>
      <b/>
      <sz val="12"/>
      <color rgb="FF0070C0"/>
      <name val="Calibri"/>
      <family val="2"/>
      <scheme val="minor"/>
    </font>
    <font>
      <sz val="12"/>
      <color theme="1"/>
      <name val="Calibri"/>
      <family val="2"/>
      <scheme val="minor"/>
    </font>
    <font>
      <b/>
      <sz val="12"/>
      <color theme="1"/>
      <name val="Calibri"/>
      <family val="2"/>
      <scheme val="minor"/>
    </font>
    <font>
      <b/>
      <sz val="14"/>
      <color theme="1"/>
      <name val="Calibri"/>
      <family val="2"/>
      <scheme val="minor"/>
    </font>
    <font>
      <b/>
      <i/>
      <sz val="11"/>
      <color theme="0"/>
      <name val="Calibri"/>
      <family val="2"/>
      <scheme val="minor"/>
    </font>
    <font>
      <sz val="10"/>
      <name val="Arial"/>
      <family val="2"/>
    </font>
    <font>
      <b/>
      <sz val="10"/>
      <color rgb="FFFF0000"/>
      <name val="Arial"/>
      <family val="2"/>
    </font>
    <font>
      <b/>
      <sz val="10"/>
      <name val="Arial"/>
      <family val="2"/>
    </font>
    <font>
      <sz val="10"/>
      <color rgb="FFFF0000"/>
      <name val="Arial"/>
      <family val="2"/>
    </font>
    <font>
      <i/>
      <sz val="10"/>
      <name val="Arial"/>
      <family val="2"/>
    </font>
    <font>
      <sz val="10"/>
      <color theme="0"/>
      <name val="Arial"/>
      <family val="2"/>
    </font>
    <font>
      <b/>
      <sz val="10"/>
      <color theme="0"/>
      <name val="Arial"/>
      <family val="2"/>
    </font>
    <font>
      <i/>
      <sz val="11"/>
      <name val="Calibri"/>
      <family val="2"/>
      <scheme val="minor"/>
    </font>
    <font>
      <i/>
      <sz val="11"/>
      <color theme="1"/>
      <name val="Calibri"/>
      <family val="2"/>
      <scheme val="minor"/>
    </font>
    <font>
      <sz val="11"/>
      <color rgb="FF00B050"/>
      <name val="Calibri"/>
      <family val="2"/>
      <scheme val="minor"/>
    </font>
    <font>
      <b/>
      <u/>
      <sz val="11"/>
      <color theme="1"/>
      <name val="Calibri"/>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FFCC99"/>
      </patternFill>
    </fill>
    <fill>
      <patternFill patternType="solid">
        <fgColor rgb="FFF2F2F2"/>
      </patternFill>
    </fill>
    <fill>
      <patternFill patternType="solid">
        <fgColor theme="0"/>
        <bgColor indexed="64"/>
      </patternFill>
    </fill>
    <fill>
      <patternFill patternType="solid">
        <fgColor rgb="FFFFFFCC"/>
      </patternFill>
    </fill>
    <fill>
      <patternFill patternType="solid">
        <fgColor theme="3" tint="-0.49998474074526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9" tint="0.79998168889431442"/>
        <bgColor indexed="64"/>
      </patternFill>
    </fill>
  </fills>
  <borders count="3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medium">
        <color indexed="64"/>
      </left>
      <right style="thin">
        <color rgb="FF7F7F7F"/>
      </right>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style="medium">
        <color indexed="64"/>
      </left>
      <right style="medium">
        <color indexed="64"/>
      </right>
      <top style="thin">
        <color rgb="FF7F7F7F"/>
      </top>
      <bottom/>
      <diagonal/>
    </border>
    <border>
      <left style="thin">
        <color rgb="FF7F7F7F"/>
      </left>
      <right style="medium">
        <color indexed="64"/>
      </right>
      <top style="thin">
        <color rgb="FF7F7F7F"/>
      </top>
      <bottom style="thin">
        <color rgb="FF7F7F7F"/>
      </bottom>
      <diagonal/>
    </border>
    <border>
      <left style="thin">
        <color rgb="FF7F7F7F"/>
      </left>
      <right style="medium">
        <color indexed="64"/>
      </right>
      <top style="thin">
        <color rgb="FF7F7F7F"/>
      </top>
      <bottom style="medium">
        <color indexed="64"/>
      </bottom>
      <diagonal/>
    </border>
    <border>
      <left style="thin">
        <color rgb="FF7F7F7F"/>
      </left>
      <right style="medium">
        <color indexed="64"/>
      </right>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6">
    <xf numFmtId="0" fontId="0" fillId="0" borderId="0"/>
    <xf numFmtId="0" fontId="7" fillId="7" borderId="9" applyNumberFormat="0" applyAlignment="0" applyProtection="0"/>
    <xf numFmtId="0" fontId="8" fillId="8" borderId="9" applyNumberFormat="0" applyAlignment="0" applyProtection="0"/>
    <xf numFmtId="0" fontId="10" fillId="8" borderId="24" applyNumberFormat="0" applyAlignment="0" applyProtection="0"/>
    <xf numFmtId="0" fontId="12" fillId="10" borderId="25" applyNumberFormat="0" applyFont="0" applyAlignment="0" applyProtection="0"/>
    <xf numFmtId="0" fontId="20" fillId="0" borderId="0"/>
  </cellStyleXfs>
  <cellXfs count="218">
    <xf numFmtId="0" fontId="0" fillId="0" borderId="0" xfId="0"/>
    <xf numFmtId="10" fontId="0" fillId="0" borderId="0" xfId="0" applyNumberFormat="1"/>
    <xf numFmtId="0" fontId="1" fillId="0" borderId="0" xfId="0" applyFont="1"/>
    <xf numFmtId="0" fontId="3" fillId="0" borderId="0" xfId="0" applyFont="1"/>
    <xf numFmtId="0" fontId="0" fillId="0" borderId="0" xfId="0" quotePrefix="1"/>
    <xf numFmtId="0" fontId="0" fillId="3" borderId="4" xfId="0" applyFill="1" applyBorder="1"/>
    <xf numFmtId="0" fontId="0" fillId="3" borderId="1" xfId="0" applyFill="1" applyBorder="1"/>
    <xf numFmtId="0" fontId="0" fillId="3" borderId="2" xfId="0" applyFill="1" applyBorder="1"/>
    <xf numFmtId="0" fontId="0" fillId="3" borderId="0" xfId="0" applyFill="1"/>
    <xf numFmtId="0" fontId="0" fillId="3" borderId="8" xfId="0" applyFill="1" applyBorder="1"/>
    <xf numFmtId="0" fontId="0" fillId="3" borderId="6" xfId="0" applyFill="1" applyBorder="1"/>
    <xf numFmtId="0" fontId="1" fillId="3" borderId="4" xfId="0" applyFont="1" applyFill="1" applyBorder="1"/>
    <xf numFmtId="0" fontId="1" fillId="3" borderId="0" xfId="0" applyFont="1" applyFill="1"/>
    <xf numFmtId="0" fontId="1" fillId="2" borderId="2" xfId="0" applyFont="1" applyFill="1" applyBorder="1"/>
    <xf numFmtId="0" fontId="1" fillId="2" borderId="0" xfId="0" applyFont="1" applyFill="1"/>
    <xf numFmtId="0" fontId="1" fillId="2" borderId="3" xfId="0" applyFont="1" applyFill="1" applyBorder="1"/>
    <xf numFmtId="0" fontId="1" fillId="2" borderId="5" xfId="0" applyFont="1" applyFill="1" applyBorder="1"/>
    <xf numFmtId="0" fontId="1" fillId="4" borderId="2" xfId="0" applyFont="1" applyFill="1" applyBorder="1"/>
    <xf numFmtId="0" fontId="1" fillId="4" borderId="3" xfId="0" applyFont="1" applyFill="1" applyBorder="1"/>
    <xf numFmtId="0" fontId="1" fillId="4" borderId="0" xfId="0" applyFont="1" applyFill="1"/>
    <xf numFmtId="0" fontId="1" fillId="4" borderId="5" xfId="0" applyFont="1" applyFill="1" applyBorder="1"/>
    <xf numFmtId="0" fontId="1" fillId="2" borderId="1" xfId="0" applyFont="1" applyFill="1" applyBorder="1"/>
    <xf numFmtId="0" fontId="1" fillId="2" borderId="4" xfId="0" applyFont="1" applyFill="1" applyBorder="1"/>
    <xf numFmtId="10" fontId="0" fillId="2" borderId="1" xfId="0" applyNumberFormat="1" applyFill="1" applyBorder="1"/>
    <xf numFmtId="10" fontId="0" fillId="2" borderId="2" xfId="0" applyNumberFormat="1" applyFill="1" applyBorder="1"/>
    <xf numFmtId="10" fontId="0" fillId="2" borderId="3" xfId="0" applyNumberFormat="1" applyFill="1" applyBorder="1"/>
    <xf numFmtId="10" fontId="0" fillId="4" borderId="2" xfId="0" applyNumberFormat="1" applyFill="1" applyBorder="1"/>
    <xf numFmtId="10" fontId="0" fillId="4" borderId="3" xfId="0" applyNumberFormat="1" applyFill="1" applyBorder="1"/>
    <xf numFmtId="10" fontId="0" fillId="2" borderId="4" xfId="0" applyNumberFormat="1" applyFill="1" applyBorder="1"/>
    <xf numFmtId="10" fontId="0" fillId="2" borderId="0" xfId="0" applyNumberFormat="1" applyFill="1"/>
    <xf numFmtId="10" fontId="0" fillId="2" borderId="5" xfId="0" applyNumberFormat="1" applyFill="1" applyBorder="1"/>
    <xf numFmtId="10" fontId="0" fillId="4" borderId="0" xfId="0" applyNumberFormat="1" applyFill="1"/>
    <xf numFmtId="10" fontId="0" fillId="4" borderId="5" xfId="0" applyNumberFormat="1" applyFill="1" applyBorder="1"/>
    <xf numFmtId="10" fontId="0" fillId="2" borderId="8" xfId="0" applyNumberFormat="1" applyFill="1" applyBorder="1"/>
    <xf numFmtId="10" fontId="0" fillId="2" borderId="6" xfId="0" applyNumberFormat="1" applyFill="1" applyBorder="1"/>
    <xf numFmtId="10" fontId="0" fillId="2" borderId="7" xfId="0" applyNumberFormat="1" applyFill="1" applyBorder="1"/>
    <xf numFmtId="10" fontId="0" fillId="4" borderId="6" xfId="0" applyNumberFormat="1" applyFill="1" applyBorder="1"/>
    <xf numFmtId="10" fontId="0" fillId="4" borderId="7" xfId="0" applyNumberFormat="1" applyFill="1" applyBorder="1"/>
    <xf numFmtId="15" fontId="0" fillId="0" borderId="0" xfId="0" applyNumberFormat="1"/>
    <xf numFmtId="0" fontId="0" fillId="5" borderId="0" xfId="0" applyFill="1"/>
    <xf numFmtId="0" fontId="0" fillId="6" borderId="0" xfId="0" applyFill="1"/>
    <xf numFmtId="0" fontId="5" fillId="0" borderId="0" xfId="0" applyFont="1"/>
    <xf numFmtId="164" fontId="0" fillId="0" borderId="0" xfId="0" applyNumberFormat="1"/>
    <xf numFmtId="0" fontId="4" fillId="0" borderId="0" xfId="0" applyFont="1"/>
    <xf numFmtId="0" fontId="6" fillId="0" borderId="0" xfId="0" applyFont="1"/>
    <xf numFmtId="0" fontId="1" fillId="9" borderId="10" xfId="0" applyFont="1" applyFill="1" applyBorder="1"/>
    <xf numFmtId="0" fontId="1" fillId="9" borderId="15" xfId="0" applyFont="1" applyFill="1" applyBorder="1"/>
    <xf numFmtId="0" fontId="0" fillId="0" borderId="5" xfId="0" applyBorder="1"/>
    <xf numFmtId="10" fontId="8" fillId="8" borderId="21" xfId="2" applyNumberFormat="1" applyBorder="1"/>
    <xf numFmtId="10" fontId="8" fillId="8" borderId="22" xfId="2" applyNumberFormat="1" applyBorder="1"/>
    <xf numFmtId="10" fontId="8" fillId="8" borderId="23" xfId="2" applyNumberFormat="1" applyBorder="1"/>
    <xf numFmtId="0" fontId="1" fillId="9" borderId="14" xfId="0" applyFont="1" applyFill="1" applyBorder="1"/>
    <xf numFmtId="165" fontId="0" fillId="0" borderId="0" xfId="0" applyNumberFormat="1"/>
    <xf numFmtId="10" fontId="0" fillId="9" borderId="0" xfId="0" applyNumberFormat="1" applyFill="1"/>
    <xf numFmtId="10" fontId="0" fillId="9" borderId="5" xfId="0" applyNumberFormat="1" applyFill="1" applyBorder="1"/>
    <xf numFmtId="0" fontId="0" fillId="9" borderId="2" xfId="0" applyFill="1" applyBorder="1"/>
    <xf numFmtId="0" fontId="0" fillId="9" borderId="3" xfId="0" applyFill="1" applyBorder="1"/>
    <xf numFmtId="0" fontId="0" fillId="9" borderId="0" xfId="0" applyFill="1"/>
    <xf numFmtId="0" fontId="0" fillId="9" borderId="5" xfId="0" applyFill="1" applyBorder="1"/>
    <xf numFmtId="0" fontId="0" fillId="9" borderId="4" xfId="0" applyFill="1" applyBorder="1"/>
    <xf numFmtId="10" fontId="0" fillId="9" borderId="4" xfId="0" applyNumberFormat="1" applyFill="1" applyBorder="1"/>
    <xf numFmtId="0" fontId="0" fillId="9" borderId="6" xfId="0" applyFill="1" applyBorder="1"/>
    <xf numFmtId="0" fontId="0" fillId="9" borderId="7" xfId="0" applyFill="1" applyBorder="1"/>
    <xf numFmtId="0" fontId="7" fillId="7" borderId="9" xfId="1"/>
    <xf numFmtId="0" fontId="11" fillId="0" borderId="0" xfId="0" applyFont="1"/>
    <xf numFmtId="4" fontId="10" fillId="8" borderId="24" xfId="3" applyNumberFormat="1"/>
    <xf numFmtId="10" fontId="10" fillId="8" borderId="24" xfId="3" applyNumberFormat="1"/>
    <xf numFmtId="164" fontId="0" fillId="9" borderId="1" xfId="0" applyNumberFormat="1" applyFill="1" applyBorder="1"/>
    <xf numFmtId="164" fontId="0" fillId="9" borderId="2" xfId="0" applyNumberFormat="1" applyFill="1" applyBorder="1"/>
    <xf numFmtId="164" fontId="0" fillId="9" borderId="4" xfId="0" applyNumberFormat="1" applyFill="1" applyBorder="1"/>
    <xf numFmtId="164" fontId="0" fillId="9" borderId="0" xfId="0" applyNumberFormat="1" applyFill="1"/>
    <xf numFmtId="164" fontId="0" fillId="9" borderId="8" xfId="0" applyNumberFormat="1" applyFill="1" applyBorder="1"/>
    <xf numFmtId="164" fontId="0" fillId="9" borderId="6" xfId="0" applyNumberFormat="1" applyFill="1" applyBorder="1"/>
    <xf numFmtId="10" fontId="15" fillId="9" borderId="8" xfId="0" applyNumberFormat="1" applyFont="1" applyFill="1" applyBorder="1"/>
    <xf numFmtId="10" fontId="16" fillId="9" borderId="4" xfId="0" applyNumberFormat="1" applyFont="1" applyFill="1" applyBorder="1"/>
    <xf numFmtId="0" fontId="17" fillId="9" borderId="4" xfId="0" applyFont="1" applyFill="1" applyBorder="1"/>
    <xf numFmtId="0" fontId="17" fillId="9" borderId="1" xfId="0" applyFont="1" applyFill="1" applyBorder="1"/>
    <xf numFmtId="165" fontId="16" fillId="9" borderId="4" xfId="0" quotePrefix="1" applyNumberFormat="1" applyFont="1" applyFill="1" applyBorder="1"/>
    <xf numFmtId="0" fontId="16" fillId="9" borderId="0" xfId="0" applyFont="1" applyFill="1"/>
    <xf numFmtId="0" fontId="17" fillId="9" borderId="14" xfId="0" applyFont="1" applyFill="1" applyBorder="1"/>
    <xf numFmtId="0" fontId="16" fillId="9" borderId="15" xfId="0" applyFont="1" applyFill="1" applyBorder="1"/>
    <xf numFmtId="0" fontId="16" fillId="9" borderId="16" xfId="0" applyFont="1" applyFill="1" applyBorder="1"/>
    <xf numFmtId="166" fontId="16" fillId="9" borderId="1" xfId="0" applyNumberFormat="1" applyFont="1" applyFill="1" applyBorder="1"/>
    <xf numFmtId="10" fontId="16" fillId="9" borderId="26" xfId="0" applyNumberFormat="1" applyFont="1" applyFill="1" applyBorder="1"/>
    <xf numFmtId="10" fontId="16" fillId="9" borderId="3" xfId="0" applyNumberFormat="1" applyFont="1" applyFill="1" applyBorder="1"/>
    <xf numFmtId="166" fontId="16" fillId="9" borderId="4" xfId="0" applyNumberFormat="1" applyFont="1" applyFill="1" applyBorder="1"/>
    <xf numFmtId="10" fontId="16" fillId="9" borderId="28" xfId="0" applyNumberFormat="1" applyFont="1" applyFill="1" applyBorder="1"/>
    <xf numFmtId="10" fontId="16" fillId="9" borderId="5" xfId="0" applyNumberFormat="1" applyFont="1" applyFill="1" applyBorder="1"/>
    <xf numFmtId="166" fontId="16" fillId="9" borderId="8" xfId="0" applyNumberFormat="1" applyFont="1" applyFill="1" applyBorder="1"/>
    <xf numFmtId="10" fontId="16" fillId="9" borderId="27" xfId="0" applyNumberFormat="1" applyFont="1" applyFill="1" applyBorder="1"/>
    <xf numFmtId="10" fontId="16" fillId="9" borderId="7" xfId="0" applyNumberFormat="1" applyFont="1" applyFill="1" applyBorder="1"/>
    <xf numFmtId="0" fontId="7" fillId="7" borderId="17" xfId="1" applyBorder="1" applyProtection="1">
      <protection locked="0"/>
    </xf>
    <xf numFmtId="0" fontId="7" fillId="7" borderId="18" xfId="1" applyBorder="1" applyProtection="1">
      <protection locked="0"/>
    </xf>
    <xf numFmtId="0" fontId="7" fillId="7" borderId="20" xfId="1" applyBorder="1" applyProtection="1">
      <protection locked="0"/>
    </xf>
    <xf numFmtId="0" fontId="7" fillId="7" borderId="19" xfId="1" applyBorder="1" applyProtection="1">
      <protection locked="0"/>
    </xf>
    <xf numFmtId="4" fontId="7" fillId="7" borderId="13" xfId="1" applyNumberFormat="1" applyBorder="1" applyProtection="1">
      <protection locked="0"/>
    </xf>
    <xf numFmtId="4" fontId="7" fillId="7" borderId="11" xfId="1" applyNumberFormat="1" applyBorder="1" applyProtection="1">
      <protection locked="0"/>
    </xf>
    <xf numFmtId="4" fontId="7" fillId="7" borderId="12" xfId="1" applyNumberFormat="1" applyBorder="1" applyProtection="1">
      <protection locked="0"/>
    </xf>
    <xf numFmtId="15" fontId="0" fillId="0" borderId="0" xfId="0" quotePrefix="1" applyNumberFormat="1"/>
    <xf numFmtId="15" fontId="4" fillId="0" borderId="0" xfId="0" applyNumberFormat="1" applyFont="1"/>
    <xf numFmtId="0" fontId="17" fillId="9" borderId="2" xfId="0" applyFont="1" applyFill="1" applyBorder="1"/>
    <xf numFmtId="0" fontId="17" fillId="9" borderId="0" xfId="0" applyFont="1" applyFill="1"/>
    <xf numFmtId="10" fontId="16" fillId="9" borderId="0" xfId="0" applyNumberFormat="1" applyFont="1" applyFill="1"/>
    <xf numFmtId="10" fontId="16" fillId="9" borderId="6" xfId="0" applyNumberFormat="1" applyFont="1" applyFill="1" applyBorder="1"/>
    <xf numFmtId="167" fontId="0" fillId="0" borderId="0" xfId="0" applyNumberFormat="1"/>
    <xf numFmtId="2" fontId="0" fillId="0" borderId="0" xfId="0" applyNumberFormat="1"/>
    <xf numFmtId="16" fontId="0" fillId="0" borderId="0" xfId="0" applyNumberFormat="1"/>
    <xf numFmtId="0" fontId="1" fillId="3" borderId="0" xfId="0" applyFont="1" applyFill="1" applyAlignment="1">
      <alignment wrapText="1"/>
    </xf>
    <xf numFmtId="167" fontId="0" fillId="3" borderId="0" xfId="0" applyNumberFormat="1" applyFill="1"/>
    <xf numFmtId="167" fontId="0" fillId="3" borderId="6" xfId="0" applyNumberFormat="1" applyFill="1" applyBorder="1"/>
    <xf numFmtId="167" fontId="0" fillId="3" borderId="2" xfId="0" applyNumberFormat="1" applyFill="1" applyBorder="1"/>
    <xf numFmtId="4" fontId="0" fillId="0" borderId="0" xfId="0" applyNumberFormat="1"/>
    <xf numFmtId="2" fontId="1" fillId="0" borderId="0" xfId="0" applyNumberFormat="1" applyFont="1"/>
    <xf numFmtId="0" fontId="21" fillId="9" borderId="1" xfId="5" applyFont="1" applyFill="1" applyBorder="1"/>
    <xf numFmtId="0" fontId="20" fillId="9" borderId="2" xfId="5" applyFill="1" applyBorder="1"/>
    <xf numFmtId="0" fontId="22" fillId="9" borderId="2" xfId="5" applyFont="1" applyFill="1" applyBorder="1"/>
    <xf numFmtId="0" fontId="20" fillId="9" borderId="3" xfId="5" applyFill="1" applyBorder="1"/>
    <xf numFmtId="0" fontId="20" fillId="9" borderId="0" xfId="5" applyFill="1"/>
    <xf numFmtId="0" fontId="23" fillId="9" borderId="4" xfId="5" applyFont="1" applyFill="1" applyBorder="1"/>
    <xf numFmtId="2" fontId="20" fillId="9" borderId="0" xfId="5" applyNumberFormat="1" applyFill="1"/>
    <xf numFmtId="0" fontId="20" fillId="9" borderId="5" xfId="5" applyFill="1" applyBorder="1"/>
    <xf numFmtId="0" fontId="23" fillId="9" borderId="8" xfId="5" applyFont="1" applyFill="1" applyBorder="1"/>
    <xf numFmtId="0" fontId="20" fillId="9" borderId="6" xfId="5" applyFill="1" applyBorder="1"/>
    <xf numFmtId="0" fontId="20" fillId="9" borderId="7" xfId="5" applyFill="1" applyBorder="1"/>
    <xf numFmtId="0" fontId="22" fillId="9" borderId="0" xfId="5" applyFont="1" applyFill="1"/>
    <xf numFmtId="0" fontId="20" fillId="2" borderId="0" xfId="5" applyFill="1" applyAlignment="1">
      <alignment horizontal="left"/>
    </xf>
    <xf numFmtId="0" fontId="24" fillId="2" borderId="0" xfId="5" applyFont="1" applyFill="1" applyAlignment="1">
      <alignment wrapText="1"/>
    </xf>
    <xf numFmtId="0" fontId="20" fillId="2" borderId="0" xfId="5" applyFill="1"/>
    <xf numFmtId="0" fontId="20" fillId="2" borderId="0" xfId="5" quotePrefix="1" applyFill="1"/>
    <xf numFmtId="0" fontId="20" fillId="14" borderId="0" xfId="5" applyFill="1" applyAlignment="1">
      <alignment horizontal="left"/>
    </xf>
    <xf numFmtId="0" fontId="24" fillId="14" borderId="0" xfId="5" applyFont="1" applyFill="1" applyAlignment="1">
      <alignment wrapText="1"/>
    </xf>
    <xf numFmtId="0" fontId="20" fillId="14" borderId="0" xfId="5" applyFill="1"/>
    <xf numFmtId="0" fontId="20" fillId="14" borderId="0" xfId="5" quotePrefix="1" applyFill="1"/>
    <xf numFmtId="0" fontId="20" fillId="6" borderId="0" xfId="5" applyFill="1"/>
    <xf numFmtId="0" fontId="20" fillId="0" borderId="0" xfId="5"/>
    <xf numFmtId="0" fontId="20" fillId="9" borderId="0" xfId="5" applyFill="1" applyAlignment="1">
      <alignment vertical="top" wrapText="1"/>
    </xf>
    <xf numFmtId="0" fontId="20" fillId="0" borderId="0" xfId="5" applyAlignment="1">
      <alignment vertical="top" wrapText="1"/>
    </xf>
    <xf numFmtId="0" fontId="20" fillId="9" borderId="0" xfId="5" applyFill="1" applyAlignment="1">
      <alignment horizontal="left" vertical="top" wrapText="1"/>
    </xf>
    <xf numFmtId="0" fontId="20" fillId="0" borderId="0" xfId="5" applyAlignment="1">
      <alignment horizontal="left" vertical="top" wrapText="1"/>
    </xf>
    <xf numFmtId="0" fontId="20" fillId="6" borderId="0" xfId="5" applyFill="1" applyAlignment="1">
      <alignment vertical="top" wrapText="1"/>
    </xf>
    <xf numFmtId="0" fontId="25" fillId="9" borderId="0" xfId="5" applyFont="1" applyFill="1"/>
    <xf numFmtId="0" fontId="26" fillId="9" borderId="0" xfId="5" applyFont="1" applyFill="1"/>
    <xf numFmtId="2" fontId="25" fillId="9" borderId="0" xfId="5" applyNumberFormat="1" applyFont="1" applyFill="1"/>
    <xf numFmtId="0" fontId="0" fillId="3" borderId="3" xfId="0" applyFill="1" applyBorder="1"/>
    <xf numFmtId="0" fontId="1" fillId="3" borderId="1" xfId="0" applyFont="1" applyFill="1" applyBorder="1"/>
    <xf numFmtId="0" fontId="3" fillId="9" borderId="4" xfId="0" applyFont="1" applyFill="1" applyBorder="1"/>
    <xf numFmtId="0" fontId="0" fillId="3" borderId="5" xfId="0" applyFill="1" applyBorder="1"/>
    <xf numFmtId="0" fontId="1" fillId="3" borderId="5" xfId="0" applyFont="1" applyFill="1" applyBorder="1"/>
    <xf numFmtId="0" fontId="3" fillId="9" borderId="5" xfId="0" applyFont="1" applyFill="1" applyBorder="1"/>
    <xf numFmtId="168" fontId="3" fillId="9" borderId="5" xfId="0" applyNumberFormat="1" applyFont="1" applyFill="1" applyBorder="1"/>
    <xf numFmtId="2" fontId="3" fillId="9" borderId="5" xfId="0" applyNumberFormat="1" applyFont="1" applyFill="1" applyBorder="1"/>
    <xf numFmtId="168" fontId="3" fillId="9" borderId="0" xfId="0" applyNumberFormat="1" applyFont="1" applyFill="1"/>
    <xf numFmtId="2" fontId="3" fillId="9" borderId="0" xfId="0" applyNumberFormat="1" applyFont="1" applyFill="1"/>
    <xf numFmtId="0" fontId="27" fillId="9" borderId="0" xfId="0" applyFont="1" applyFill="1" applyAlignment="1">
      <alignment horizontal="centerContinuous"/>
    </xf>
    <xf numFmtId="0" fontId="3" fillId="9" borderId="0" xfId="0" applyFont="1" applyFill="1"/>
    <xf numFmtId="0" fontId="0" fillId="9" borderId="8" xfId="0" applyFill="1" applyBorder="1"/>
    <xf numFmtId="0" fontId="27" fillId="9" borderId="4" xfId="0" applyFont="1" applyFill="1" applyBorder="1" applyAlignment="1">
      <alignment horizontal="left"/>
    </xf>
    <xf numFmtId="0" fontId="3" fillId="9" borderId="0" xfId="0" applyFont="1" applyFill="1" applyAlignment="1">
      <alignment horizontal="center"/>
    </xf>
    <xf numFmtId="0" fontId="28" fillId="9" borderId="4" xfId="0" applyFont="1" applyFill="1" applyBorder="1"/>
    <xf numFmtId="0" fontId="27" fillId="9" borderId="5" xfId="0" applyFont="1" applyFill="1" applyBorder="1" applyAlignment="1">
      <alignment horizontal="centerContinuous"/>
    </xf>
    <xf numFmtId="0" fontId="0" fillId="3" borderId="30" xfId="0" applyFill="1" applyBorder="1"/>
    <xf numFmtId="0" fontId="0" fillId="3" borderId="29" xfId="0" applyFill="1" applyBorder="1"/>
    <xf numFmtId="0" fontId="0" fillId="3" borderId="31" xfId="0" applyFill="1" applyBorder="1"/>
    <xf numFmtId="0" fontId="3" fillId="9" borderId="30" xfId="0" applyFont="1" applyFill="1" applyBorder="1"/>
    <xf numFmtId="0" fontId="3" fillId="9" borderId="29" xfId="0" applyFont="1" applyFill="1" applyBorder="1"/>
    <xf numFmtId="0" fontId="3" fillId="9" borderId="31" xfId="0" applyFont="1" applyFill="1" applyBorder="1"/>
    <xf numFmtId="0" fontId="0" fillId="9" borderId="29" xfId="0" applyFill="1" applyBorder="1"/>
    <xf numFmtId="0" fontId="0" fillId="9" borderId="31" xfId="0" applyFill="1" applyBorder="1"/>
    <xf numFmtId="0" fontId="0" fillId="9" borderId="30" xfId="0" applyFill="1" applyBorder="1"/>
    <xf numFmtId="10" fontId="0" fillId="9" borderId="29" xfId="0" applyNumberFormat="1" applyFill="1" applyBorder="1"/>
    <xf numFmtId="10" fontId="0" fillId="9" borderId="31" xfId="0" applyNumberFormat="1" applyFill="1" applyBorder="1"/>
    <xf numFmtId="0" fontId="1" fillId="0" borderId="10" xfId="0" applyFont="1" applyBorder="1"/>
    <xf numFmtId="0" fontId="1" fillId="0" borderId="4" xfId="0" applyFont="1" applyBorder="1"/>
    <xf numFmtId="0" fontId="1" fillId="0" borderId="8" xfId="0" applyFont="1" applyBorder="1"/>
    <xf numFmtId="0" fontId="1" fillId="0" borderId="2" xfId="0" applyFont="1" applyBorder="1"/>
    <xf numFmtId="0" fontId="1" fillId="0" borderId="3" xfId="0" applyFont="1" applyBorder="1"/>
    <xf numFmtId="164" fontId="0" fillId="13" borderId="1" xfId="0" applyNumberFormat="1" applyFill="1" applyBorder="1"/>
    <xf numFmtId="164" fontId="0" fillId="0" borderId="2" xfId="0" applyNumberFormat="1" applyBorder="1"/>
    <xf numFmtId="164" fontId="0" fillId="0" borderId="3" xfId="0" applyNumberFormat="1" applyBorder="1"/>
    <xf numFmtId="164" fontId="0" fillId="0" borderId="4" xfId="0" applyNumberFormat="1" applyBorder="1"/>
    <xf numFmtId="164" fontId="0" fillId="13" borderId="0" xfId="0" applyNumberFormat="1" applyFill="1"/>
    <xf numFmtId="164" fontId="0" fillId="0" borderId="5" xfId="0" applyNumberFormat="1" applyBorder="1"/>
    <xf numFmtId="164" fontId="0" fillId="0" borderId="8" xfId="0" applyNumberFormat="1" applyBorder="1"/>
    <xf numFmtId="164" fontId="0" fillId="0" borderId="6" xfId="0" applyNumberFormat="1" applyBorder="1"/>
    <xf numFmtId="164" fontId="0" fillId="13" borderId="7" xfId="0" applyNumberFormat="1" applyFill="1" applyBorder="1"/>
    <xf numFmtId="0" fontId="29" fillId="0" borderId="0" xfId="0" applyFont="1"/>
    <xf numFmtId="10" fontId="0" fillId="0" borderId="0" xfId="0" applyNumberFormat="1" applyAlignment="1">
      <alignment horizontal="left"/>
    </xf>
    <xf numFmtId="0" fontId="1" fillId="0" borderId="0" xfId="0" applyFont="1" applyAlignment="1">
      <alignment horizontal="right"/>
    </xf>
    <xf numFmtId="0" fontId="30" fillId="0" borderId="0" xfId="0" applyFont="1"/>
    <xf numFmtId="0" fontId="20" fillId="6" borderId="0" xfId="5" applyFill="1" applyAlignment="1">
      <alignment horizontal="left" vertical="top" wrapText="1"/>
    </xf>
    <xf numFmtId="0" fontId="20" fillId="2" borderId="0" xfId="5" applyFill="1" applyAlignment="1">
      <alignment horizontal="left" wrapText="1"/>
    </xf>
    <xf numFmtId="0" fontId="20" fillId="14" borderId="0" xfId="5" applyFill="1" applyAlignment="1">
      <alignment horizontal="left" wrapText="1"/>
    </xf>
    <xf numFmtId="0" fontId="18" fillId="12" borderId="1" xfId="0" applyFont="1" applyFill="1" applyBorder="1" applyAlignment="1">
      <alignment horizontal="center" vertical="center"/>
    </xf>
    <xf numFmtId="0" fontId="18" fillId="12" borderId="2" xfId="0" applyFont="1" applyFill="1" applyBorder="1" applyAlignment="1">
      <alignment horizontal="center" vertical="center"/>
    </xf>
    <xf numFmtId="0" fontId="18" fillId="12" borderId="3" xfId="0" applyFont="1" applyFill="1" applyBorder="1" applyAlignment="1">
      <alignment horizontal="center" vertical="center"/>
    </xf>
    <xf numFmtId="0" fontId="18" fillId="12" borderId="8" xfId="0" applyFont="1" applyFill="1" applyBorder="1" applyAlignment="1">
      <alignment horizontal="center" vertical="center"/>
    </xf>
    <xf numFmtId="0" fontId="18" fillId="12" borderId="6" xfId="0" applyFont="1" applyFill="1" applyBorder="1" applyAlignment="1">
      <alignment horizontal="center" vertical="center"/>
    </xf>
    <xf numFmtId="0" fontId="18" fillId="12" borderId="7"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0" xfId="0" applyFont="1" applyFill="1" applyAlignment="1">
      <alignment horizontal="center" vertical="center"/>
    </xf>
    <xf numFmtId="0" fontId="2" fillId="2" borderId="5"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3" fillId="10" borderId="25" xfId="4" applyFont="1" applyAlignment="1">
      <alignment horizontal="left" vertical="top" wrapText="1"/>
    </xf>
    <xf numFmtId="0" fontId="17" fillId="9" borderId="1" xfId="0" applyFont="1" applyFill="1" applyBorder="1" applyAlignment="1">
      <alignment horizontal="left" wrapText="1"/>
    </xf>
    <xf numFmtId="0" fontId="17" fillId="9" borderId="8" xfId="0" applyFont="1" applyFill="1" applyBorder="1" applyAlignment="1">
      <alignment horizontal="left" wrapText="1"/>
    </xf>
    <xf numFmtId="0" fontId="17" fillId="9" borderId="26" xfId="0" applyFont="1" applyFill="1" applyBorder="1" applyAlignment="1">
      <alignment horizontal="center"/>
    </xf>
    <xf numFmtId="0" fontId="17" fillId="9" borderId="27" xfId="0" applyFont="1" applyFill="1" applyBorder="1" applyAlignment="1">
      <alignment horizontal="center"/>
    </xf>
    <xf numFmtId="0" fontId="17" fillId="9" borderId="3" xfId="0" applyFont="1" applyFill="1" applyBorder="1" applyAlignment="1">
      <alignment horizontal="center"/>
    </xf>
    <xf numFmtId="0" fontId="17" fillId="9" borderId="7" xfId="0" applyFont="1" applyFill="1" applyBorder="1" applyAlignment="1">
      <alignment horizontal="center"/>
    </xf>
    <xf numFmtId="0" fontId="14" fillId="11" borderId="14" xfId="0" applyFont="1" applyFill="1" applyBorder="1" applyAlignment="1">
      <alignment horizontal="center" vertical="center"/>
    </xf>
    <xf numFmtId="0" fontId="14" fillId="11" borderId="15" xfId="0" applyFont="1" applyFill="1" applyBorder="1" applyAlignment="1">
      <alignment horizontal="center" vertical="center"/>
    </xf>
    <xf numFmtId="0" fontId="14" fillId="11" borderId="16" xfId="0" applyFont="1" applyFill="1" applyBorder="1" applyAlignment="1">
      <alignment horizontal="center" vertical="center"/>
    </xf>
    <xf numFmtId="0" fontId="0" fillId="0" borderId="0" xfId="0" applyAlignment="1">
      <alignment horizontal="left" vertical="top" wrapText="1"/>
    </xf>
  </cellXfs>
  <cellStyles count="6">
    <cellStyle name="Calculation" xfId="2" builtinId="22"/>
    <cellStyle name="Input" xfId="1" builtinId="20"/>
    <cellStyle name="Normal" xfId="0" builtinId="0"/>
    <cellStyle name="Normal 2" xfId="5" xr:uid="{81FC29C4-A465-472B-A481-2DA38F047E6E}"/>
    <cellStyle name="Note" xfId="4" builtinId="10"/>
    <cellStyle name="Output" xfId="3" builtinId="21"/>
  </cellStyles>
  <dxfs count="0"/>
  <tableStyles count="0" defaultTableStyle="TableStyleMedium2" defaultPivotStyle="PivotStyleLight16"/>
  <colors>
    <mruColors>
      <color rgb="FF2EC2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Mean</c:v>
          </c:tx>
          <c:marker>
            <c:symbol val="none"/>
          </c:marker>
          <c:cat>
            <c:strRef>
              <c:f>'Std Dev Calc'!$D$56:$D$63</c:f>
              <c:strCache>
                <c:ptCount val="8"/>
                <c:pt idx="0">
                  <c:v>a</c:v>
                </c:pt>
                <c:pt idx="1">
                  <c:v>b</c:v>
                </c:pt>
                <c:pt idx="2">
                  <c:v>c</c:v>
                </c:pt>
                <c:pt idx="3">
                  <c:v>d</c:v>
                </c:pt>
                <c:pt idx="4">
                  <c:v>e</c:v>
                </c:pt>
                <c:pt idx="5">
                  <c:v>f</c:v>
                </c:pt>
                <c:pt idx="6">
                  <c:v>g</c:v>
                </c:pt>
                <c:pt idx="7">
                  <c:v>h</c:v>
                </c:pt>
              </c:strCache>
            </c:strRef>
          </c:cat>
          <c:val>
            <c:numRef>
              <c:f>'Std Dev Calc'!$I$56:$I$63</c:f>
              <c:numCache>
                <c:formatCode>General</c:formatCode>
                <c:ptCount val="8"/>
                <c:pt idx="0">
                  <c:v>6</c:v>
                </c:pt>
                <c:pt idx="1">
                  <c:v>6</c:v>
                </c:pt>
                <c:pt idx="2">
                  <c:v>6</c:v>
                </c:pt>
                <c:pt idx="3">
                  <c:v>6</c:v>
                </c:pt>
                <c:pt idx="4">
                  <c:v>6</c:v>
                </c:pt>
                <c:pt idx="5">
                  <c:v>6</c:v>
                </c:pt>
                <c:pt idx="6">
                  <c:v>6</c:v>
                </c:pt>
                <c:pt idx="7">
                  <c:v>6</c:v>
                </c:pt>
              </c:numCache>
            </c:numRef>
          </c:val>
          <c:smooth val="0"/>
          <c:extLst>
            <c:ext xmlns:c16="http://schemas.microsoft.com/office/drawing/2014/chart" uri="{C3380CC4-5D6E-409C-BE32-E72D297353CC}">
              <c16:uniqueId val="{00000000-BED9-4682-B78A-D3BFF508E6F9}"/>
            </c:ext>
          </c:extLst>
        </c:ser>
        <c:dLbls>
          <c:showLegendKey val="0"/>
          <c:showVal val="0"/>
          <c:showCatName val="0"/>
          <c:showSerName val="0"/>
          <c:showPercent val="0"/>
          <c:showBubbleSize val="0"/>
        </c:dLbls>
        <c:upDownBars>
          <c:gapWidth val="150"/>
          <c:upBars/>
          <c:downBars/>
        </c:upDownBars>
        <c:marker val="1"/>
        <c:smooth val="0"/>
        <c:axId val="170494464"/>
        <c:axId val="163884992"/>
      </c:lineChart>
      <c:scatterChart>
        <c:scatterStyle val="lineMarker"/>
        <c:varyColors val="0"/>
        <c:ser>
          <c:idx val="1"/>
          <c:order val="1"/>
          <c:tx>
            <c:strRef>
              <c:f>'Std Dev Calc'!$E$55</c:f>
              <c:strCache>
                <c:ptCount val="1"/>
                <c:pt idx="0">
                  <c:v>Series</c:v>
                </c:pt>
              </c:strCache>
            </c:strRef>
          </c:tx>
          <c:spPr>
            <a:ln w="28575">
              <a:noFill/>
            </a:ln>
          </c:spPr>
          <c:yVal>
            <c:numRef>
              <c:f>'Std Dev Calc'!$E$56:$E$63</c:f>
              <c:numCache>
                <c:formatCode>General</c:formatCode>
                <c:ptCount val="8"/>
                <c:pt idx="0">
                  <c:v>8</c:v>
                </c:pt>
                <c:pt idx="1">
                  <c:v>3</c:v>
                </c:pt>
                <c:pt idx="2">
                  <c:v>5</c:v>
                </c:pt>
                <c:pt idx="3">
                  <c:v>7</c:v>
                </c:pt>
                <c:pt idx="4">
                  <c:v>11</c:v>
                </c:pt>
                <c:pt idx="5">
                  <c:v>4</c:v>
                </c:pt>
                <c:pt idx="6">
                  <c:v>6</c:v>
                </c:pt>
                <c:pt idx="7">
                  <c:v>4</c:v>
                </c:pt>
              </c:numCache>
            </c:numRef>
          </c:yVal>
          <c:smooth val="0"/>
          <c:extLst>
            <c:ext xmlns:c16="http://schemas.microsoft.com/office/drawing/2014/chart" uri="{C3380CC4-5D6E-409C-BE32-E72D297353CC}">
              <c16:uniqueId val="{00000001-BED9-4682-B78A-D3BFF508E6F9}"/>
            </c:ext>
          </c:extLst>
        </c:ser>
        <c:dLbls>
          <c:showLegendKey val="0"/>
          <c:showVal val="0"/>
          <c:showCatName val="0"/>
          <c:showSerName val="0"/>
          <c:showPercent val="0"/>
          <c:showBubbleSize val="0"/>
        </c:dLbls>
        <c:axId val="170494464"/>
        <c:axId val="163884992"/>
      </c:scatterChart>
      <c:catAx>
        <c:axId val="170494464"/>
        <c:scaling>
          <c:orientation val="minMax"/>
        </c:scaling>
        <c:delete val="0"/>
        <c:axPos val="b"/>
        <c:numFmt formatCode="General" sourceLinked="0"/>
        <c:majorTickMark val="out"/>
        <c:minorTickMark val="none"/>
        <c:tickLblPos val="nextTo"/>
        <c:crossAx val="163884992"/>
        <c:crosses val="autoZero"/>
        <c:auto val="1"/>
        <c:lblAlgn val="ctr"/>
        <c:lblOffset val="100"/>
        <c:noMultiLvlLbl val="0"/>
      </c:catAx>
      <c:valAx>
        <c:axId val="163884992"/>
        <c:scaling>
          <c:orientation val="minMax"/>
        </c:scaling>
        <c:delete val="0"/>
        <c:axPos val="l"/>
        <c:majorGridlines/>
        <c:numFmt formatCode="General" sourceLinked="1"/>
        <c:majorTickMark val="out"/>
        <c:minorTickMark val="none"/>
        <c:tickLblPos val="nextTo"/>
        <c:crossAx val="170494464"/>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'Portfolio DoR'!$J$23</c:f>
              <c:strCache>
                <c:ptCount val="1"/>
                <c:pt idx="0">
                  <c:v>Probability</c:v>
                </c:pt>
              </c:strCache>
            </c:strRef>
          </c:tx>
          <c:spPr>
            <a:solidFill>
              <a:schemeClr val="accent1"/>
            </a:solidFill>
            <a:ln>
              <a:noFill/>
            </a:ln>
            <a:effectLst/>
          </c:spPr>
          <c:invertIfNegative val="0"/>
          <c:cat>
            <c:strRef>
              <c:f>'Portfolio DoR'!$I$24:$I$37</c:f>
              <c:strCache>
                <c:ptCount val="14"/>
                <c:pt idx="0">
                  <c:v>Less than -1.51%</c:v>
                </c:pt>
                <c:pt idx="1">
                  <c:v>-1.51% to -1.24%</c:v>
                </c:pt>
                <c:pt idx="2">
                  <c:v>-1.24% to -0.98%</c:v>
                </c:pt>
                <c:pt idx="3">
                  <c:v>-0.98% to -0.72%</c:v>
                </c:pt>
                <c:pt idx="4">
                  <c:v>-0.72% to -0.46%</c:v>
                </c:pt>
                <c:pt idx="5">
                  <c:v>-0.46% to -0.19%</c:v>
                </c:pt>
                <c:pt idx="6">
                  <c:v>-0.19% to 0.07%</c:v>
                </c:pt>
                <c:pt idx="7">
                  <c:v>0.07% to 0.33%</c:v>
                </c:pt>
                <c:pt idx="8">
                  <c:v>0.33% to 0.59%</c:v>
                </c:pt>
                <c:pt idx="9">
                  <c:v>0.59% to 0.85%</c:v>
                </c:pt>
                <c:pt idx="10">
                  <c:v>0.85% to 1.12%</c:v>
                </c:pt>
                <c:pt idx="11">
                  <c:v>1.12% to 1.38%</c:v>
                </c:pt>
                <c:pt idx="12">
                  <c:v>1.38% to 1.64%</c:v>
                </c:pt>
                <c:pt idx="13">
                  <c:v>Greater than 1.64%</c:v>
                </c:pt>
              </c:strCache>
            </c:strRef>
          </c:cat>
          <c:val>
            <c:numRef>
              <c:f>'Portfolio DoR'!$J$24:$J$37</c:f>
              <c:numCache>
                <c:formatCode>0.00%</c:formatCode>
                <c:ptCount val="14"/>
                <c:pt idx="0">
                  <c:v>0</c:v>
                </c:pt>
                <c:pt idx="1">
                  <c:v>0</c:v>
                </c:pt>
                <c:pt idx="2">
                  <c:v>1.8867924528301886E-2</c:v>
                </c:pt>
                <c:pt idx="3">
                  <c:v>4.716981132075472E-2</c:v>
                </c:pt>
                <c:pt idx="4">
                  <c:v>6.6037735849056603E-2</c:v>
                </c:pt>
                <c:pt idx="5">
                  <c:v>0.16981132075471697</c:v>
                </c:pt>
                <c:pt idx="6">
                  <c:v>0.20754716981132076</c:v>
                </c:pt>
                <c:pt idx="7">
                  <c:v>0.20754716981132076</c:v>
                </c:pt>
                <c:pt idx="8">
                  <c:v>0.14150943396226415</c:v>
                </c:pt>
                <c:pt idx="9">
                  <c:v>0.10377358490566038</c:v>
                </c:pt>
                <c:pt idx="10">
                  <c:v>2.8301886792452831E-2</c:v>
                </c:pt>
                <c:pt idx="11">
                  <c:v>0</c:v>
                </c:pt>
                <c:pt idx="12">
                  <c:v>0</c:v>
                </c:pt>
                <c:pt idx="13">
                  <c:v>9.433962264150943E-3</c:v>
                </c:pt>
              </c:numCache>
            </c:numRef>
          </c:val>
          <c:extLst>
            <c:ext xmlns:c16="http://schemas.microsoft.com/office/drawing/2014/chart" uri="{C3380CC4-5D6E-409C-BE32-E72D297353CC}">
              <c16:uniqueId val="{00000000-BBD0-4D9F-96A4-4C0DE7DC8C84}"/>
            </c:ext>
          </c:extLst>
        </c:ser>
        <c:dLbls>
          <c:showLegendKey val="0"/>
          <c:showVal val="0"/>
          <c:showCatName val="0"/>
          <c:showSerName val="0"/>
          <c:showPercent val="0"/>
          <c:showBubbleSize val="0"/>
        </c:dLbls>
        <c:gapWidth val="219"/>
        <c:overlap val="-27"/>
        <c:axId val="31374480"/>
        <c:axId val="31373648"/>
      </c:barChart>
      <c:catAx>
        <c:axId val="3137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3648"/>
        <c:crosses val="autoZero"/>
        <c:auto val="1"/>
        <c:lblAlgn val="ctr"/>
        <c:lblOffset val="100"/>
        <c:noMultiLvlLbl val="0"/>
      </c:catAx>
      <c:valAx>
        <c:axId val="3137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4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'Portfolio DoR'!$O$23</c:f>
              <c:strCache>
                <c:ptCount val="1"/>
                <c:pt idx="0">
                  <c:v>Probability</c:v>
                </c:pt>
              </c:strCache>
            </c:strRef>
          </c:tx>
          <c:spPr>
            <a:solidFill>
              <a:schemeClr val="accent1"/>
            </a:solidFill>
            <a:ln>
              <a:noFill/>
            </a:ln>
            <a:effectLst/>
          </c:spPr>
          <c:invertIfNegative val="0"/>
          <c:cat>
            <c:strRef>
              <c:f>'Portfolio DoR'!$N$24:$N$37</c:f>
              <c:strCache>
                <c:ptCount val="14"/>
                <c:pt idx="0">
                  <c:v>Less than -2.68%</c:v>
                </c:pt>
                <c:pt idx="1">
                  <c:v>-2.68% to -2.20%</c:v>
                </c:pt>
                <c:pt idx="2">
                  <c:v>-2.20% to -1.72%</c:v>
                </c:pt>
                <c:pt idx="3">
                  <c:v>-1.72% to -1.24%</c:v>
                </c:pt>
                <c:pt idx="4">
                  <c:v>-1.24% to -0.76%</c:v>
                </c:pt>
                <c:pt idx="5">
                  <c:v>-0.76% to -0.29%</c:v>
                </c:pt>
                <c:pt idx="6">
                  <c:v>-0.29% to 0.19%</c:v>
                </c:pt>
                <c:pt idx="7">
                  <c:v>0.19% to 0.67%</c:v>
                </c:pt>
                <c:pt idx="8">
                  <c:v>0.67% to 1.15%</c:v>
                </c:pt>
                <c:pt idx="9">
                  <c:v>1.15% to 1.63%</c:v>
                </c:pt>
                <c:pt idx="10">
                  <c:v>1.63% to 2.11%</c:v>
                </c:pt>
                <c:pt idx="11">
                  <c:v>2.11% to 2.59%</c:v>
                </c:pt>
                <c:pt idx="12">
                  <c:v>2.59% to 3.07%</c:v>
                </c:pt>
                <c:pt idx="13">
                  <c:v>Greater than 3.07%</c:v>
                </c:pt>
              </c:strCache>
            </c:strRef>
          </c:cat>
          <c:val>
            <c:numRef>
              <c:f>'Portfolio DoR'!$O$24:$O$37</c:f>
              <c:numCache>
                <c:formatCode>0.00%</c:formatCode>
                <c:ptCount val="14"/>
                <c:pt idx="0">
                  <c:v>0</c:v>
                </c:pt>
                <c:pt idx="1">
                  <c:v>0</c:v>
                </c:pt>
                <c:pt idx="2">
                  <c:v>0</c:v>
                </c:pt>
                <c:pt idx="3">
                  <c:v>4.716981132075472E-2</c:v>
                </c:pt>
                <c:pt idx="4">
                  <c:v>0.11320754716981132</c:v>
                </c:pt>
                <c:pt idx="5">
                  <c:v>0.18867924528301888</c:v>
                </c:pt>
                <c:pt idx="6">
                  <c:v>0.17924528301886791</c:v>
                </c:pt>
                <c:pt idx="7">
                  <c:v>0.18867924528301888</c:v>
                </c:pt>
                <c:pt idx="8">
                  <c:v>0.16037735849056603</c:v>
                </c:pt>
                <c:pt idx="9">
                  <c:v>5.6603773584905662E-2</c:v>
                </c:pt>
                <c:pt idx="10">
                  <c:v>4.716981132075472E-2</c:v>
                </c:pt>
                <c:pt idx="11">
                  <c:v>9.433962264150943E-3</c:v>
                </c:pt>
                <c:pt idx="12">
                  <c:v>0</c:v>
                </c:pt>
                <c:pt idx="13">
                  <c:v>9.433962264150943E-3</c:v>
                </c:pt>
              </c:numCache>
            </c:numRef>
          </c:val>
          <c:extLst>
            <c:ext xmlns:c16="http://schemas.microsoft.com/office/drawing/2014/chart" uri="{C3380CC4-5D6E-409C-BE32-E72D297353CC}">
              <c16:uniqueId val="{00000000-66D4-4755-9F9B-3B4876DCA318}"/>
            </c:ext>
          </c:extLst>
        </c:ser>
        <c:dLbls>
          <c:showLegendKey val="0"/>
          <c:showVal val="0"/>
          <c:showCatName val="0"/>
          <c:showSerName val="0"/>
          <c:showPercent val="0"/>
          <c:showBubbleSize val="0"/>
        </c:dLbls>
        <c:gapWidth val="219"/>
        <c:overlap val="-27"/>
        <c:axId val="31374480"/>
        <c:axId val="31373648"/>
      </c:barChart>
      <c:catAx>
        <c:axId val="3137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3648"/>
        <c:crosses val="autoZero"/>
        <c:auto val="1"/>
        <c:lblAlgn val="ctr"/>
        <c:lblOffset val="100"/>
        <c:noMultiLvlLbl val="0"/>
      </c:catAx>
      <c:valAx>
        <c:axId val="3137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4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'Portfolio DoR'!$B$1</c:f>
              <c:strCache>
                <c:ptCount val="1"/>
                <c:pt idx="0">
                  <c:v>Portfolio 1</c:v>
                </c:pt>
              </c:strCache>
            </c:strRef>
          </c:tx>
          <c:spPr>
            <a:ln w="19050" cap="rnd">
              <a:solidFill>
                <a:schemeClr val="accent1"/>
              </a:solidFill>
              <a:round/>
            </a:ln>
            <a:effectLst/>
          </c:spPr>
          <c:marker>
            <c:symbol val="none"/>
          </c:marker>
          <c:cat>
            <c:numRef>
              <c:f>'Portfolio DoR'!$A$2:$A$108</c:f>
              <c:numCache>
                <c:formatCode>d\-mmm\-yy</c:formatCode>
                <c:ptCount val="107"/>
                <c:pt idx="0">
                  <c:v>44200</c:v>
                </c:pt>
                <c:pt idx="1">
                  <c:v>44201</c:v>
                </c:pt>
                <c:pt idx="2">
                  <c:v>44202</c:v>
                </c:pt>
                <c:pt idx="3">
                  <c:v>44203</c:v>
                </c:pt>
                <c:pt idx="4">
                  <c:v>44204</c:v>
                </c:pt>
                <c:pt idx="5">
                  <c:v>44207</c:v>
                </c:pt>
                <c:pt idx="6">
                  <c:v>44208</c:v>
                </c:pt>
                <c:pt idx="7">
                  <c:v>44209</c:v>
                </c:pt>
                <c:pt idx="8">
                  <c:v>44210</c:v>
                </c:pt>
                <c:pt idx="9">
                  <c:v>44211</c:v>
                </c:pt>
                <c:pt idx="10">
                  <c:v>44215</c:v>
                </c:pt>
                <c:pt idx="11">
                  <c:v>44216</c:v>
                </c:pt>
                <c:pt idx="12">
                  <c:v>44217</c:v>
                </c:pt>
                <c:pt idx="13">
                  <c:v>44218</c:v>
                </c:pt>
                <c:pt idx="14">
                  <c:v>44221</c:v>
                </c:pt>
                <c:pt idx="15">
                  <c:v>44222</c:v>
                </c:pt>
                <c:pt idx="16">
                  <c:v>44223</c:v>
                </c:pt>
                <c:pt idx="17">
                  <c:v>44224</c:v>
                </c:pt>
                <c:pt idx="18">
                  <c:v>44225</c:v>
                </c:pt>
                <c:pt idx="19">
                  <c:v>44228</c:v>
                </c:pt>
                <c:pt idx="20">
                  <c:v>44229</c:v>
                </c:pt>
                <c:pt idx="21">
                  <c:v>44230</c:v>
                </c:pt>
                <c:pt idx="22">
                  <c:v>44231</c:v>
                </c:pt>
                <c:pt idx="23">
                  <c:v>44232</c:v>
                </c:pt>
                <c:pt idx="24">
                  <c:v>44235</c:v>
                </c:pt>
                <c:pt idx="25">
                  <c:v>44236</c:v>
                </c:pt>
                <c:pt idx="26">
                  <c:v>44237</c:v>
                </c:pt>
                <c:pt idx="27">
                  <c:v>44238</c:v>
                </c:pt>
                <c:pt idx="28">
                  <c:v>44239</c:v>
                </c:pt>
                <c:pt idx="29">
                  <c:v>44243</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44307</c:v>
                </c:pt>
                <c:pt idx="75">
                  <c:v>44308</c:v>
                </c:pt>
                <c:pt idx="76">
                  <c:v>44309</c:v>
                </c:pt>
                <c:pt idx="77">
                  <c:v>44312</c:v>
                </c:pt>
                <c:pt idx="78">
                  <c:v>44313</c:v>
                </c:pt>
                <c:pt idx="79">
                  <c:v>44314</c:v>
                </c:pt>
                <c:pt idx="80">
                  <c:v>44315</c:v>
                </c:pt>
                <c:pt idx="81">
                  <c:v>44316</c:v>
                </c:pt>
                <c:pt idx="82">
                  <c:v>44319</c:v>
                </c:pt>
                <c:pt idx="83">
                  <c:v>44320</c:v>
                </c:pt>
                <c:pt idx="84">
                  <c:v>44321</c:v>
                </c:pt>
                <c:pt idx="85">
                  <c:v>44322</c:v>
                </c:pt>
                <c:pt idx="86">
                  <c:v>44323</c:v>
                </c:pt>
                <c:pt idx="87">
                  <c:v>44326</c:v>
                </c:pt>
                <c:pt idx="88">
                  <c:v>44327</c:v>
                </c:pt>
                <c:pt idx="89">
                  <c:v>44328</c:v>
                </c:pt>
                <c:pt idx="90">
                  <c:v>44329</c:v>
                </c:pt>
                <c:pt idx="91">
                  <c:v>44330</c:v>
                </c:pt>
                <c:pt idx="92">
                  <c:v>44333</c:v>
                </c:pt>
                <c:pt idx="93">
                  <c:v>44334</c:v>
                </c:pt>
                <c:pt idx="94">
                  <c:v>44335</c:v>
                </c:pt>
                <c:pt idx="95">
                  <c:v>44336</c:v>
                </c:pt>
                <c:pt idx="96">
                  <c:v>44337</c:v>
                </c:pt>
                <c:pt idx="97">
                  <c:v>44340</c:v>
                </c:pt>
                <c:pt idx="98">
                  <c:v>44341</c:v>
                </c:pt>
                <c:pt idx="99">
                  <c:v>44342</c:v>
                </c:pt>
                <c:pt idx="100">
                  <c:v>44343</c:v>
                </c:pt>
                <c:pt idx="101">
                  <c:v>44344</c:v>
                </c:pt>
                <c:pt idx="102">
                  <c:v>44348</c:v>
                </c:pt>
                <c:pt idx="103">
                  <c:v>44349</c:v>
                </c:pt>
                <c:pt idx="104">
                  <c:v>44350</c:v>
                </c:pt>
                <c:pt idx="105">
                  <c:v>44351</c:v>
                </c:pt>
                <c:pt idx="106">
                  <c:v>44354</c:v>
                </c:pt>
              </c:numCache>
            </c:numRef>
          </c:cat>
          <c:val>
            <c:numRef>
              <c:f>'Portfolio DoR'!$B$2:$B$108</c:f>
              <c:numCache>
                <c:formatCode>#,##0.00</c:formatCode>
                <c:ptCount val="107"/>
                <c:pt idx="0">
                  <c:v>100019.02364</c:v>
                </c:pt>
                <c:pt idx="1">
                  <c:v>100401.18842999999</c:v>
                </c:pt>
                <c:pt idx="2">
                  <c:v>101464.957431</c:v>
                </c:pt>
                <c:pt idx="3">
                  <c:v>101296.055475</c:v>
                </c:pt>
                <c:pt idx="4">
                  <c:v>100490.15648599999</c:v>
                </c:pt>
                <c:pt idx="5">
                  <c:v>99605.874219000005</c:v>
                </c:pt>
                <c:pt idx="6">
                  <c:v>99483.264863000004</c:v>
                </c:pt>
                <c:pt idx="7">
                  <c:v>99446.070069000009</c:v>
                </c:pt>
                <c:pt idx="8">
                  <c:v>100353.02353200001</c:v>
                </c:pt>
                <c:pt idx="9">
                  <c:v>100264.57815400002</c:v>
                </c:pt>
                <c:pt idx="10">
                  <c:v>99649.850856000034</c:v>
                </c:pt>
                <c:pt idx="11">
                  <c:v>99710.098651000008</c:v>
                </c:pt>
                <c:pt idx="12">
                  <c:v>99735.337166000012</c:v>
                </c:pt>
                <c:pt idx="13">
                  <c:v>98638.377551000012</c:v>
                </c:pt>
                <c:pt idx="14">
                  <c:v>98891.230367000011</c:v>
                </c:pt>
                <c:pt idx="15">
                  <c:v>98444.991910000012</c:v>
                </c:pt>
                <c:pt idx="16">
                  <c:v>98080.976989999996</c:v>
                </c:pt>
                <c:pt idx="17">
                  <c:v>97900.014452000003</c:v>
                </c:pt>
                <c:pt idx="18">
                  <c:v>97440.306859000004</c:v>
                </c:pt>
                <c:pt idx="19">
                  <c:v>97095.232638000001</c:v>
                </c:pt>
                <c:pt idx="20">
                  <c:v>97570.919878999994</c:v>
                </c:pt>
                <c:pt idx="21">
                  <c:v>96795.987606999988</c:v>
                </c:pt>
                <c:pt idx="22">
                  <c:v>97427.695794999992</c:v>
                </c:pt>
                <c:pt idx="23">
                  <c:v>97880.193807999996</c:v>
                </c:pt>
                <c:pt idx="24">
                  <c:v>98330.121664999999</c:v>
                </c:pt>
                <c:pt idx="25">
                  <c:v>97874.288845999981</c:v>
                </c:pt>
                <c:pt idx="26">
                  <c:v>98358.440882999988</c:v>
                </c:pt>
                <c:pt idx="27">
                  <c:v>98040.84785999998</c:v>
                </c:pt>
                <c:pt idx="28">
                  <c:v>97623.426647999993</c:v>
                </c:pt>
                <c:pt idx="29">
                  <c:v>97259.986260999984</c:v>
                </c:pt>
                <c:pt idx="30">
                  <c:v>97437.142246999982</c:v>
                </c:pt>
                <c:pt idx="31">
                  <c:v>97986.276403999975</c:v>
                </c:pt>
                <c:pt idx="32">
                  <c:v>97262.40727799997</c:v>
                </c:pt>
                <c:pt idx="33">
                  <c:v>99687.353709999981</c:v>
                </c:pt>
                <c:pt idx="34">
                  <c:v>100451.32113199997</c:v>
                </c:pt>
                <c:pt idx="35">
                  <c:v>100654.70560499998</c:v>
                </c:pt>
                <c:pt idx="36">
                  <c:v>100391.23649699998</c:v>
                </c:pt>
                <c:pt idx="37">
                  <c:v>99536.771028999996</c:v>
                </c:pt>
                <c:pt idx="38">
                  <c:v>99412.466676999989</c:v>
                </c:pt>
                <c:pt idx="39">
                  <c:v>100015.312255</c:v>
                </c:pt>
                <c:pt idx="40">
                  <c:v>100256.00524500001</c:v>
                </c:pt>
                <c:pt idx="41">
                  <c:v>100423.873691</c:v>
                </c:pt>
                <c:pt idx="42">
                  <c:v>100818.00189</c:v>
                </c:pt>
                <c:pt idx="43">
                  <c:v>101624.65684400001</c:v>
                </c:pt>
                <c:pt idx="44">
                  <c:v>101893.47585800001</c:v>
                </c:pt>
                <c:pt idx="45">
                  <c:v>102645.79150000001</c:v>
                </c:pt>
                <c:pt idx="46">
                  <c:v>102016.462285</c:v>
                </c:pt>
                <c:pt idx="47">
                  <c:v>102120.933911</c:v>
                </c:pt>
                <c:pt idx="48">
                  <c:v>102609.716107</c:v>
                </c:pt>
                <c:pt idx="49">
                  <c:v>102795.71412400001</c:v>
                </c:pt>
                <c:pt idx="50">
                  <c:v>102816.82292000001</c:v>
                </c:pt>
                <c:pt idx="51">
                  <c:v>103155.056472</c:v>
                </c:pt>
                <c:pt idx="52">
                  <c:v>102833.10213700001</c:v>
                </c:pt>
                <c:pt idx="53">
                  <c:v>102561.58088800001</c:v>
                </c:pt>
                <c:pt idx="54">
                  <c:v>102737.004111</c:v>
                </c:pt>
                <c:pt idx="55">
                  <c:v>103347.01266800001</c:v>
                </c:pt>
                <c:pt idx="56">
                  <c:v>103621.592408</c:v>
                </c:pt>
                <c:pt idx="57">
                  <c:v>104131.216944</c:v>
                </c:pt>
                <c:pt idx="58">
                  <c:v>104403.59235600001</c:v>
                </c:pt>
                <c:pt idx="59">
                  <c:v>104306.231741</c:v>
                </c:pt>
                <c:pt idx="60">
                  <c:v>104061.74799599999</c:v>
                </c:pt>
                <c:pt idx="61">
                  <c:v>104265.32101</c:v>
                </c:pt>
                <c:pt idx="62">
                  <c:v>104913.65434499999</c:v>
                </c:pt>
                <c:pt idx="63">
                  <c:v>104693.73469599998</c:v>
                </c:pt>
                <c:pt idx="64">
                  <c:v>105069.72631999999</c:v>
                </c:pt>
                <c:pt idx="65">
                  <c:v>105303.31278599997</c:v>
                </c:pt>
                <c:pt idx="66">
                  <c:v>104959.044482</c:v>
                </c:pt>
                <c:pt idx="67">
                  <c:v>104550.42049399999</c:v>
                </c:pt>
                <c:pt idx="68">
                  <c:v>104547.63522599998</c:v>
                </c:pt>
                <c:pt idx="69">
                  <c:v>104694.301312</c:v>
                </c:pt>
                <c:pt idx="70">
                  <c:v>105007.02645899999</c:v>
                </c:pt>
                <c:pt idx="71">
                  <c:v>106065.49571699998</c:v>
                </c:pt>
                <c:pt idx="72">
                  <c:v>105919.57686899998</c:v>
                </c:pt>
                <c:pt idx="73">
                  <c:v>106794.10499899999</c:v>
                </c:pt>
                <c:pt idx="74">
                  <c:v>107044.19466299997</c:v>
                </c:pt>
                <c:pt idx="75">
                  <c:v>106301.64020799997</c:v>
                </c:pt>
                <c:pt idx="76">
                  <c:v>106778.71884799996</c:v>
                </c:pt>
                <c:pt idx="77">
                  <c:v>106118.67017699996</c:v>
                </c:pt>
                <c:pt idx="78">
                  <c:v>106252.34686399996</c:v>
                </c:pt>
                <c:pt idx="79">
                  <c:v>106021.56892099995</c:v>
                </c:pt>
                <c:pt idx="80">
                  <c:v>106597.54811099995</c:v>
                </c:pt>
                <c:pt idx="81">
                  <c:v>106668.72028199997</c:v>
                </c:pt>
                <c:pt idx="82">
                  <c:v>107449.01745899997</c:v>
                </c:pt>
                <c:pt idx="83">
                  <c:v>107537.81860899995</c:v>
                </c:pt>
                <c:pt idx="84">
                  <c:v>107478.53535199995</c:v>
                </c:pt>
                <c:pt idx="85">
                  <c:v>108316.24006899995</c:v>
                </c:pt>
                <c:pt idx="86">
                  <c:v>108244.04953499995</c:v>
                </c:pt>
                <c:pt idx="87">
                  <c:v>108130.58676699996</c:v>
                </c:pt>
                <c:pt idx="88">
                  <c:v>107535.53821699995</c:v>
                </c:pt>
                <c:pt idx="89">
                  <c:v>106401.04296899996</c:v>
                </c:pt>
                <c:pt idx="90">
                  <c:v>107282.57703899997</c:v>
                </c:pt>
                <c:pt idx="91">
                  <c:v>107706.40714199997</c:v>
                </c:pt>
                <c:pt idx="92">
                  <c:v>107981.14355699994</c:v>
                </c:pt>
                <c:pt idx="93">
                  <c:v>107804.03520799994</c:v>
                </c:pt>
                <c:pt idx="94">
                  <c:v>107689.20406299995</c:v>
                </c:pt>
                <c:pt idx="95">
                  <c:v>107639.76138699995</c:v>
                </c:pt>
                <c:pt idx="96">
                  <c:v>107717.14935399994</c:v>
                </c:pt>
                <c:pt idx="97">
                  <c:v>107733.62590199994</c:v>
                </c:pt>
                <c:pt idx="98">
                  <c:v>107268.12664499992</c:v>
                </c:pt>
                <c:pt idx="99">
                  <c:v>106991.77692199993</c:v>
                </c:pt>
                <c:pt idx="100">
                  <c:v>107062.68493299992</c:v>
                </c:pt>
                <c:pt idx="101">
                  <c:v>107112.17161999994</c:v>
                </c:pt>
                <c:pt idx="102">
                  <c:v>107250.39384499993</c:v>
                </c:pt>
                <c:pt idx="103">
                  <c:v>106774.73353299992</c:v>
                </c:pt>
                <c:pt idx="104">
                  <c:v>107222.43430699992</c:v>
                </c:pt>
                <c:pt idx="105">
                  <c:v>107678.10628699992</c:v>
                </c:pt>
                <c:pt idx="106">
                  <c:v>107348.49499699993</c:v>
                </c:pt>
              </c:numCache>
            </c:numRef>
          </c:val>
          <c:smooth val="0"/>
          <c:extLst>
            <c:ext xmlns:c16="http://schemas.microsoft.com/office/drawing/2014/chart" uri="{C3380CC4-5D6E-409C-BE32-E72D297353CC}">
              <c16:uniqueId val="{00000000-5949-439E-84F3-91E3151C58E3}"/>
            </c:ext>
          </c:extLst>
        </c:ser>
        <c:dLbls>
          <c:showLegendKey val="0"/>
          <c:showVal val="0"/>
          <c:showCatName val="0"/>
          <c:showSerName val="0"/>
          <c:showPercent val="0"/>
          <c:showBubbleSize val="0"/>
        </c:dLbls>
        <c:smooth val="0"/>
        <c:axId val="1128839920"/>
        <c:axId val="1128839088"/>
      </c:lineChart>
      <c:dateAx>
        <c:axId val="11288399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39088"/>
        <c:crosses val="autoZero"/>
        <c:auto val="1"/>
        <c:lblOffset val="100"/>
        <c:baseTimeUnit val="days"/>
      </c:dateAx>
      <c:valAx>
        <c:axId val="1128839088"/>
        <c:scaling>
          <c:orientation val="minMax"/>
          <c:max val="125000"/>
          <c:min val="9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39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'Portfolio DoR'!$B$1</c:f>
              <c:strCache>
                <c:ptCount val="1"/>
                <c:pt idx="0">
                  <c:v>Portfolio 1</c:v>
                </c:pt>
              </c:strCache>
            </c:strRef>
          </c:tx>
          <c:spPr>
            <a:ln w="19050" cap="rnd">
              <a:solidFill>
                <a:schemeClr val="accent1"/>
              </a:solidFill>
              <a:round/>
            </a:ln>
            <a:effectLst/>
          </c:spPr>
          <c:marker>
            <c:symbol val="none"/>
          </c:marker>
          <c:cat>
            <c:numRef>
              <c:f>'Portfolio DoR'!$A$2:$A$108</c:f>
              <c:numCache>
                <c:formatCode>d\-mmm\-yy</c:formatCode>
                <c:ptCount val="107"/>
                <c:pt idx="0">
                  <c:v>44200</c:v>
                </c:pt>
                <c:pt idx="1">
                  <c:v>44201</c:v>
                </c:pt>
                <c:pt idx="2">
                  <c:v>44202</c:v>
                </c:pt>
                <c:pt idx="3">
                  <c:v>44203</c:v>
                </c:pt>
                <c:pt idx="4">
                  <c:v>44204</c:v>
                </c:pt>
                <c:pt idx="5">
                  <c:v>44207</c:v>
                </c:pt>
                <c:pt idx="6">
                  <c:v>44208</c:v>
                </c:pt>
                <c:pt idx="7">
                  <c:v>44209</c:v>
                </c:pt>
                <c:pt idx="8">
                  <c:v>44210</c:v>
                </c:pt>
                <c:pt idx="9">
                  <c:v>44211</c:v>
                </c:pt>
                <c:pt idx="10">
                  <c:v>44215</c:v>
                </c:pt>
                <c:pt idx="11">
                  <c:v>44216</c:v>
                </c:pt>
                <c:pt idx="12">
                  <c:v>44217</c:v>
                </c:pt>
                <c:pt idx="13">
                  <c:v>44218</c:v>
                </c:pt>
                <c:pt idx="14">
                  <c:v>44221</c:v>
                </c:pt>
                <c:pt idx="15">
                  <c:v>44222</c:v>
                </c:pt>
                <c:pt idx="16">
                  <c:v>44223</c:v>
                </c:pt>
                <c:pt idx="17">
                  <c:v>44224</c:v>
                </c:pt>
                <c:pt idx="18">
                  <c:v>44225</c:v>
                </c:pt>
                <c:pt idx="19">
                  <c:v>44228</c:v>
                </c:pt>
                <c:pt idx="20">
                  <c:v>44229</c:v>
                </c:pt>
                <c:pt idx="21">
                  <c:v>44230</c:v>
                </c:pt>
                <c:pt idx="22">
                  <c:v>44231</c:v>
                </c:pt>
                <c:pt idx="23">
                  <c:v>44232</c:v>
                </c:pt>
                <c:pt idx="24">
                  <c:v>44235</c:v>
                </c:pt>
                <c:pt idx="25">
                  <c:v>44236</c:v>
                </c:pt>
                <c:pt idx="26">
                  <c:v>44237</c:v>
                </c:pt>
                <c:pt idx="27">
                  <c:v>44238</c:v>
                </c:pt>
                <c:pt idx="28">
                  <c:v>44239</c:v>
                </c:pt>
                <c:pt idx="29">
                  <c:v>44243</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44307</c:v>
                </c:pt>
                <c:pt idx="75">
                  <c:v>44308</c:v>
                </c:pt>
                <c:pt idx="76">
                  <c:v>44309</c:v>
                </c:pt>
                <c:pt idx="77">
                  <c:v>44312</c:v>
                </c:pt>
                <c:pt idx="78">
                  <c:v>44313</c:v>
                </c:pt>
                <c:pt idx="79">
                  <c:v>44314</c:v>
                </c:pt>
                <c:pt idx="80">
                  <c:v>44315</c:v>
                </c:pt>
                <c:pt idx="81">
                  <c:v>44316</c:v>
                </c:pt>
                <c:pt idx="82">
                  <c:v>44319</c:v>
                </c:pt>
                <c:pt idx="83">
                  <c:v>44320</c:v>
                </c:pt>
                <c:pt idx="84">
                  <c:v>44321</c:v>
                </c:pt>
                <c:pt idx="85">
                  <c:v>44322</c:v>
                </c:pt>
                <c:pt idx="86">
                  <c:v>44323</c:v>
                </c:pt>
                <c:pt idx="87">
                  <c:v>44326</c:v>
                </c:pt>
                <c:pt idx="88">
                  <c:v>44327</c:v>
                </c:pt>
                <c:pt idx="89">
                  <c:v>44328</c:v>
                </c:pt>
                <c:pt idx="90">
                  <c:v>44329</c:v>
                </c:pt>
                <c:pt idx="91">
                  <c:v>44330</c:v>
                </c:pt>
                <c:pt idx="92">
                  <c:v>44333</c:v>
                </c:pt>
                <c:pt idx="93">
                  <c:v>44334</c:v>
                </c:pt>
                <c:pt idx="94">
                  <c:v>44335</c:v>
                </c:pt>
                <c:pt idx="95">
                  <c:v>44336</c:v>
                </c:pt>
                <c:pt idx="96">
                  <c:v>44337</c:v>
                </c:pt>
                <c:pt idx="97">
                  <c:v>44340</c:v>
                </c:pt>
                <c:pt idx="98">
                  <c:v>44341</c:v>
                </c:pt>
                <c:pt idx="99">
                  <c:v>44342</c:v>
                </c:pt>
                <c:pt idx="100">
                  <c:v>44343</c:v>
                </c:pt>
                <c:pt idx="101">
                  <c:v>44344</c:v>
                </c:pt>
                <c:pt idx="102">
                  <c:v>44348</c:v>
                </c:pt>
                <c:pt idx="103">
                  <c:v>44349</c:v>
                </c:pt>
                <c:pt idx="104">
                  <c:v>44350</c:v>
                </c:pt>
                <c:pt idx="105">
                  <c:v>44351</c:v>
                </c:pt>
                <c:pt idx="106">
                  <c:v>44354</c:v>
                </c:pt>
              </c:numCache>
            </c:numRef>
          </c:cat>
          <c:val>
            <c:numRef>
              <c:f>'Portfolio DoR'!$C$2:$C$108</c:f>
              <c:numCache>
                <c:formatCode>#,##0.00</c:formatCode>
                <c:ptCount val="107"/>
                <c:pt idx="0">
                  <c:v>99789.891382999995</c:v>
                </c:pt>
                <c:pt idx="1">
                  <c:v>100998.49892100001</c:v>
                </c:pt>
                <c:pt idx="2">
                  <c:v>103338.521546</c:v>
                </c:pt>
                <c:pt idx="3">
                  <c:v>104505.79576000001</c:v>
                </c:pt>
                <c:pt idx="4">
                  <c:v>103138.69786799999</c:v>
                </c:pt>
                <c:pt idx="5">
                  <c:v>102720.406885</c:v>
                </c:pt>
                <c:pt idx="6">
                  <c:v>102639.67709499999</c:v>
                </c:pt>
                <c:pt idx="7">
                  <c:v>101832.71317599999</c:v>
                </c:pt>
                <c:pt idx="8">
                  <c:v>103513.797226</c:v>
                </c:pt>
                <c:pt idx="9">
                  <c:v>102538.91509699999</c:v>
                </c:pt>
                <c:pt idx="10">
                  <c:v>102590.79947200001</c:v>
                </c:pt>
                <c:pt idx="11">
                  <c:v>102559.215402</c:v>
                </c:pt>
                <c:pt idx="12">
                  <c:v>103028.573099</c:v>
                </c:pt>
                <c:pt idx="13">
                  <c:v>104719.90664</c:v>
                </c:pt>
                <c:pt idx="14">
                  <c:v>103911.448667</c:v>
                </c:pt>
                <c:pt idx="15">
                  <c:v>102985.19496200001</c:v>
                </c:pt>
                <c:pt idx="16">
                  <c:v>101976.12684499999</c:v>
                </c:pt>
                <c:pt idx="17">
                  <c:v>103060.27229200001</c:v>
                </c:pt>
                <c:pt idx="18">
                  <c:v>102014.51824100001</c:v>
                </c:pt>
                <c:pt idx="19">
                  <c:v>103034.94610900001</c:v>
                </c:pt>
                <c:pt idx="20">
                  <c:v>104099.59953600002</c:v>
                </c:pt>
                <c:pt idx="21">
                  <c:v>103588.02534800002</c:v>
                </c:pt>
                <c:pt idx="22">
                  <c:v>108290.78666100002</c:v>
                </c:pt>
                <c:pt idx="23">
                  <c:v>108260.97543100001</c:v>
                </c:pt>
                <c:pt idx="24">
                  <c:v>109036.49332200001</c:v>
                </c:pt>
                <c:pt idx="25">
                  <c:v>108630.76331200002</c:v>
                </c:pt>
                <c:pt idx="26">
                  <c:v>109077.55922800001</c:v>
                </c:pt>
                <c:pt idx="27">
                  <c:v>109708.05971600002</c:v>
                </c:pt>
                <c:pt idx="28">
                  <c:v>109575.82883900002</c:v>
                </c:pt>
                <c:pt idx="29">
                  <c:v>108910.87928700002</c:v>
                </c:pt>
                <c:pt idx="30">
                  <c:v>108955.25612900002</c:v>
                </c:pt>
                <c:pt idx="31">
                  <c:v>108772.636094</c:v>
                </c:pt>
                <c:pt idx="32">
                  <c:v>110939.048779</c:v>
                </c:pt>
                <c:pt idx="33">
                  <c:v>111989.92726000001</c:v>
                </c:pt>
                <c:pt idx="34">
                  <c:v>112372.98463499999</c:v>
                </c:pt>
                <c:pt idx="35">
                  <c:v>114469.66179300001</c:v>
                </c:pt>
                <c:pt idx="36">
                  <c:v>113962.00897199998</c:v>
                </c:pt>
                <c:pt idx="37">
                  <c:v>115081.753784</c:v>
                </c:pt>
                <c:pt idx="38">
                  <c:v>115801.54930599999</c:v>
                </c:pt>
                <c:pt idx="39">
                  <c:v>115286.53177499998</c:v>
                </c:pt>
                <c:pt idx="40">
                  <c:v>114322.33764299998</c:v>
                </c:pt>
                <c:pt idx="41">
                  <c:v>113193.23911199998</c:v>
                </c:pt>
                <c:pt idx="42">
                  <c:v>113764.78238599998</c:v>
                </c:pt>
                <c:pt idx="43">
                  <c:v>115436.59471999996</c:v>
                </c:pt>
                <c:pt idx="44">
                  <c:v>116747.64353299997</c:v>
                </c:pt>
                <c:pt idx="45">
                  <c:v>117384.53096099995</c:v>
                </c:pt>
                <c:pt idx="46">
                  <c:v>118118.72765499994</c:v>
                </c:pt>
                <c:pt idx="47">
                  <c:v>118021.62211499996</c:v>
                </c:pt>
                <c:pt idx="48">
                  <c:v>119276.64189699996</c:v>
                </c:pt>
                <c:pt idx="49">
                  <c:v>118907.46302099996</c:v>
                </c:pt>
                <c:pt idx="50">
                  <c:v>118728.77602099995</c:v>
                </c:pt>
                <c:pt idx="51">
                  <c:v>118437.34216599996</c:v>
                </c:pt>
                <c:pt idx="52">
                  <c:v>118603.66041799996</c:v>
                </c:pt>
                <c:pt idx="53">
                  <c:v>117259.89321199997</c:v>
                </c:pt>
                <c:pt idx="54">
                  <c:v>116208.72171199997</c:v>
                </c:pt>
                <c:pt idx="55">
                  <c:v>115593.08618499996</c:v>
                </c:pt>
                <c:pt idx="56">
                  <c:v>117515.66972699996</c:v>
                </c:pt>
                <c:pt idx="57">
                  <c:v>118651.62195399996</c:v>
                </c:pt>
                <c:pt idx="58">
                  <c:v>117145.68950499996</c:v>
                </c:pt>
                <c:pt idx="59">
                  <c:v>118753.80529399995</c:v>
                </c:pt>
                <c:pt idx="60">
                  <c:v>119851.93631499998</c:v>
                </c:pt>
                <c:pt idx="61">
                  <c:v>120540.53495199996</c:v>
                </c:pt>
                <c:pt idx="62">
                  <c:v>121951.66225899996</c:v>
                </c:pt>
                <c:pt idx="63">
                  <c:v>121486.53987099996</c:v>
                </c:pt>
                <c:pt idx="64">
                  <c:v>121124.84155899993</c:v>
                </c:pt>
                <c:pt idx="65">
                  <c:v>122199.83968999994</c:v>
                </c:pt>
                <c:pt idx="66">
                  <c:v>122693.54365099993</c:v>
                </c:pt>
                <c:pt idx="67">
                  <c:v>123200.93627599992</c:v>
                </c:pt>
                <c:pt idx="68">
                  <c:v>122846.26138799993</c:v>
                </c:pt>
                <c:pt idx="69">
                  <c:v>123136.91953899992</c:v>
                </c:pt>
                <c:pt idx="70">
                  <c:v>123309.59650099995</c:v>
                </c:pt>
                <c:pt idx="71">
                  <c:v>124581.90093899994</c:v>
                </c:pt>
                <c:pt idx="72">
                  <c:v>124047.19515099993</c:v>
                </c:pt>
                <c:pt idx="73">
                  <c:v>122468.99416699994</c:v>
                </c:pt>
                <c:pt idx="74">
                  <c:v>122977.26928599994</c:v>
                </c:pt>
                <c:pt idx="75">
                  <c:v>122567.89316599994</c:v>
                </c:pt>
                <c:pt idx="76">
                  <c:v>123936.55411799991</c:v>
                </c:pt>
                <c:pt idx="77">
                  <c:v>124002.78930599993</c:v>
                </c:pt>
                <c:pt idx="78">
                  <c:v>124716.17184099992</c:v>
                </c:pt>
                <c:pt idx="79">
                  <c:v>123845.55741099993</c:v>
                </c:pt>
                <c:pt idx="80">
                  <c:v>123805.5147169999</c:v>
                </c:pt>
                <c:pt idx="81">
                  <c:v>123050.5193579999</c:v>
                </c:pt>
                <c:pt idx="82">
                  <c:v>123795.38400499991</c:v>
                </c:pt>
                <c:pt idx="83">
                  <c:v>122947.61174099991</c:v>
                </c:pt>
                <c:pt idx="84">
                  <c:v>122889.66575199991</c:v>
                </c:pt>
                <c:pt idx="85">
                  <c:v>121980.43900099992</c:v>
                </c:pt>
                <c:pt idx="86">
                  <c:v>123418.85627499993</c:v>
                </c:pt>
                <c:pt idx="87">
                  <c:v>122077.06012199991</c:v>
                </c:pt>
                <c:pt idx="88">
                  <c:v>121771.18433599992</c:v>
                </c:pt>
                <c:pt idx="89">
                  <c:v>119716.62053799992</c:v>
                </c:pt>
                <c:pt idx="90">
                  <c:v>121030.4868869999</c:v>
                </c:pt>
                <c:pt idx="91">
                  <c:v>122157.87231999991</c:v>
                </c:pt>
                <c:pt idx="92">
                  <c:v>121359.03671399991</c:v>
                </c:pt>
                <c:pt idx="93">
                  <c:v>119564.1010849999</c:v>
                </c:pt>
                <c:pt idx="94">
                  <c:v>118802.99975099991</c:v>
                </c:pt>
                <c:pt idx="95">
                  <c:v>119003.50967299991</c:v>
                </c:pt>
                <c:pt idx="96">
                  <c:v>119354.67709199991</c:v>
                </c:pt>
                <c:pt idx="97">
                  <c:v>120604.07501499992</c:v>
                </c:pt>
                <c:pt idx="98">
                  <c:v>120681.23345699991</c:v>
                </c:pt>
                <c:pt idx="99">
                  <c:v>122195.59539499992</c:v>
                </c:pt>
                <c:pt idx="100">
                  <c:v>122530.61568499991</c:v>
                </c:pt>
                <c:pt idx="101">
                  <c:v>121717.55872099992</c:v>
                </c:pt>
                <c:pt idx="102">
                  <c:v>122291.42553399992</c:v>
                </c:pt>
                <c:pt idx="103">
                  <c:v>120855.92249799991</c:v>
                </c:pt>
                <c:pt idx="104">
                  <c:v>120631.47587499989</c:v>
                </c:pt>
                <c:pt idx="105">
                  <c:v>121348.06689099991</c:v>
                </c:pt>
                <c:pt idx="106">
                  <c:v>121915.98431799992</c:v>
                </c:pt>
              </c:numCache>
            </c:numRef>
          </c:val>
          <c:smooth val="0"/>
          <c:extLst>
            <c:ext xmlns:c16="http://schemas.microsoft.com/office/drawing/2014/chart" uri="{C3380CC4-5D6E-409C-BE32-E72D297353CC}">
              <c16:uniqueId val="{00000000-F012-4C6E-A83A-2504DF38E5F5}"/>
            </c:ext>
          </c:extLst>
        </c:ser>
        <c:dLbls>
          <c:showLegendKey val="0"/>
          <c:showVal val="0"/>
          <c:showCatName val="0"/>
          <c:showSerName val="0"/>
          <c:showPercent val="0"/>
          <c:showBubbleSize val="0"/>
        </c:dLbls>
        <c:smooth val="0"/>
        <c:axId val="1128839920"/>
        <c:axId val="1128839088"/>
      </c:lineChart>
      <c:dateAx>
        <c:axId val="11288399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39088"/>
        <c:crosses val="autoZero"/>
        <c:auto val="1"/>
        <c:lblOffset val="100"/>
        <c:baseTimeUnit val="days"/>
      </c:dateAx>
      <c:valAx>
        <c:axId val="1128839088"/>
        <c:scaling>
          <c:orientation val="minMax"/>
          <c:max val="125000"/>
          <c:min val="9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39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Portfolio Standard Deviation (assets equal in weight</a:t>
            </a:r>
            <a:r>
              <a:rPr lang="en-US" baseline="0"/>
              <a:t>, variance and covariance)</a:t>
            </a:r>
            <a:endParaRPr lang="en-US"/>
          </a:p>
        </c:rich>
      </c:tx>
      <c:overlay val="0"/>
    </c:title>
    <c:autoTitleDeleted val="0"/>
    <c:plotArea>
      <c:layout>
        <c:manualLayout>
          <c:layoutTarget val="inner"/>
          <c:xMode val="edge"/>
          <c:yMode val="edge"/>
          <c:x val="0.10983691096443107"/>
          <c:y val="0.11116104868913858"/>
          <c:w val="0.66850898226721212"/>
          <c:h val="0.72724900960413652"/>
        </c:manualLayout>
      </c:layout>
      <c:lineChart>
        <c:grouping val="standard"/>
        <c:varyColors val="0"/>
        <c:ser>
          <c:idx val="0"/>
          <c:order val="1"/>
          <c:tx>
            <c:strRef>
              <c:f>'Portfolio Volatility Theory'!$AC$1</c:f>
              <c:strCache>
                <c:ptCount val="1"/>
                <c:pt idx="0">
                  <c:v>E.g. Long Large &amp; Mid Caps: Portfolio Std Dev (Correlation = 0.45, Asset Volatility = 0.35)</c:v>
                </c:pt>
              </c:strCache>
            </c:strRef>
          </c:tx>
          <c:marker>
            <c:symbol val="none"/>
          </c:marker>
          <c:cat>
            <c:numRef>
              <c:f>'Portfolio Volatility Theory'!$Y$2:$Y$26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'Portfolio Volatility Theory'!$AC$2:$AC$26</c:f>
              <c:numCache>
                <c:formatCode>0.00%</c:formatCode>
                <c:ptCount val="25"/>
                <c:pt idx="0">
                  <c:v>0.35</c:v>
                </c:pt>
                <c:pt idx="1">
                  <c:v>0.29801426140371201</c:v>
                </c:pt>
                <c:pt idx="2">
                  <c:v>0.27853784901397749</c:v>
                </c:pt>
                <c:pt idx="3">
                  <c:v>0.26826992004322808</c:v>
                </c:pt>
                <c:pt idx="4">
                  <c:v>0.26191601707417589</c:v>
                </c:pt>
                <c:pt idx="5">
                  <c:v>0.25759302526789551</c:v>
                </c:pt>
                <c:pt idx="6">
                  <c:v>0.25446021299998939</c:v>
                </c:pt>
                <c:pt idx="7">
                  <c:v>0.2520850550905388</c:v>
                </c:pt>
                <c:pt idx="8">
                  <c:v>0.2502221235444842</c:v>
                </c:pt>
                <c:pt idx="9">
                  <c:v>0.24872173206215822</c:v>
                </c:pt>
                <c:pt idx="10">
                  <c:v>0.24748737341529164</c:v>
                </c:pt>
                <c:pt idx="11">
                  <c:v>0.24645401869990541</c:v>
                </c:pt>
                <c:pt idx="12">
                  <c:v>0.2455762454059682</c:v>
                </c:pt>
                <c:pt idx="13">
                  <c:v>0.24482136344690181</c:v>
                </c:pt>
                <c:pt idx="14">
                  <c:v>0.24416524459199065</c:v>
                </c:pt>
                <c:pt idx="15">
                  <c:v>0.24358969087381344</c:v>
                </c:pt>
                <c:pt idx="16">
                  <c:v>0.24308071765180733</c:v>
                </c:pt>
                <c:pt idx="17">
                  <c:v>0.24262740066932983</c:v>
                </c:pt>
                <c:pt idx="18">
                  <c:v>0.24222108213691662</c:v>
                </c:pt>
                <c:pt idx="19">
                  <c:v>0.24185481181899199</c:v>
                </c:pt>
                <c:pt idx="20">
                  <c:v>0.24152294576982394</c:v>
                </c:pt>
                <c:pt idx="21">
                  <c:v>0.24122085316157885</c:v>
                </c:pt>
                <c:pt idx="22">
                  <c:v>0.24094469868848947</c:v>
                </c:pt>
                <c:pt idx="23">
                  <c:v>0.24069127875074034</c:v>
                </c:pt>
                <c:pt idx="24">
                  <c:v>0.24045789652244726</c:v>
                </c:pt>
              </c:numCache>
            </c:numRef>
          </c:val>
          <c:smooth val="0"/>
          <c:extLst>
            <c:ext xmlns:c16="http://schemas.microsoft.com/office/drawing/2014/chart" uri="{C3380CC4-5D6E-409C-BE32-E72D297353CC}">
              <c16:uniqueId val="{00000000-8A0D-4C71-89DF-283419C0C96D}"/>
            </c:ext>
          </c:extLst>
        </c:ser>
        <c:ser>
          <c:idx val="1"/>
          <c:order val="0"/>
          <c:tx>
            <c:strRef>
              <c:f>'Portfolio Volatility Theory'!$AD$1</c:f>
              <c:strCache>
                <c:ptCount val="1"/>
                <c:pt idx="0">
                  <c:v>E.g. Long/Short Large &amp; Mid Caps: Portfolio Std Dev (Correlation = 0.2, Asset Volatility = 0.35)</c:v>
                </c:pt>
              </c:strCache>
            </c:strRef>
          </c:tx>
          <c:marker>
            <c:symbol val="none"/>
          </c:marker>
          <c:cat>
            <c:numRef>
              <c:f>'Portfolio Volatility Theory'!$Y$2:$Y$26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'Portfolio Volatility Theory'!$AD$2:$AD$26</c:f>
              <c:numCache>
                <c:formatCode>0.00%</c:formatCode>
                <c:ptCount val="25"/>
                <c:pt idx="0">
                  <c:v>0.35</c:v>
                </c:pt>
                <c:pt idx="1">
                  <c:v>0.27110883423451915</c:v>
                </c:pt>
                <c:pt idx="2">
                  <c:v>0.23909551787239061</c:v>
                </c:pt>
                <c:pt idx="3">
                  <c:v>0.22135943621178655</c:v>
                </c:pt>
                <c:pt idx="4">
                  <c:v>0.21</c:v>
                </c:pt>
                <c:pt idx="5">
                  <c:v>0.20207259421636903</c:v>
                </c:pt>
                <c:pt idx="6">
                  <c:v>0.19621416870348585</c:v>
                </c:pt>
                <c:pt idx="7">
                  <c:v>0.19170289512680813</c:v>
                </c:pt>
                <c:pt idx="8">
                  <c:v>0.18811934746029949</c:v>
                </c:pt>
                <c:pt idx="9">
                  <c:v>0.18520259177452139</c:v>
                </c:pt>
                <c:pt idx="10">
                  <c:v>0.18278153875348274</c:v>
                </c:pt>
                <c:pt idx="11">
                  <c:v>0.1807392228230128</c:v>
                </c:pt>
                <c:pt idx="12">
                  <c:v>0.17899290918486557</c:v>
                </c:pt>
                <c:pt idx="13">
                  <c:v>0.17748239349298853</c:v>
                </c:pt>
                <c:pt idx="14">
                  <c:v>0.17616280348965088</c:v>
                </c:pt>
                <c:pt idx="15">
                  <c:v>0.17500000000000002</c:v>
                </c:pt>
                <c:pt idx="16">
                  <c:v>0.17396754261169795</c:v>
                </c:pt>
                <c:pt idx="17">
                  <c:v>0.1730446313655655</c:v>
                </c:pt>
                <c:pt idx="18">
                  <c:v>0.17221467631082463</c:v>
                </c:pt>
                <c:pt idx="19">
                  <c:v>0.17146428199482247</c:v>
                </c:pt>
                <c:pt idx="20">
                  <c:v>0.17078251276599327</c:v>
                </c:pt>
                <c:pt idx="21">
                  <c:v>0.17016035218153922</c:v>
                </c:pt>
                <c:pt idx="22">
                  <c:v>0.16959029914832202</c:v>
                </c:pt>
                <c:pt idx="23">
                  <c:v>0.16906606203887675</c:v>
                </c:pt>
                <c:pt idx="24">
                  <c:v>0.16858232410309218</c:v>
                </c:pt>
              </c:numCache>
            </c:numRef>
          </c:val>
          <c:smooth val="0"/>
          <c:extLst>
            <c:ext xmlns:c16="http://schemas.microsoft.com/office/drawing/2014/chart" uri="{C3380CC4-5D6E-409C-BE32-E72D297353CC}">
              <c16:uniqueId val="{00000001-8A0D-4C71-89DF-283419C0C96D}"/>
            </c:ext>
          </c:extLst>
        </c:ser>
        <c:ser>
          <c:idx val="2"/>
          <c:order val="2"/>
          <c:tx>
            <c:strRef>
              <c:f>'Portfolio Volatility Theory'!$AB$1</c:f>
              <c:strCache>
                <c:ptCount val="1"/>
                <c:pt idx="0">
                  <c:v>E.g. Long Mega-Caps: Portfolio Std Dev (Correlation = 0.6, Asset Volatility = 0.25)</c:v>
                </c:pt>
              </c:strCache>
            </c:strRef>
          </c:tx>
          <c:marker>
            <c:symbol val="none"/>
          </c:marker>
          <c:val>
            <c:numRef>
              <c:f>'Portfolio Volatility Theory'!$AB$2:$AB$26</c:f>
              <c:numCache>
                <c:formatCode>0.00%</c:formatCode>
                <c:ptCount val="25"/>
                <c:pt idx="0">
                  <c:v>0.25</c:v>
                </c:pt>
                <c:pt idx="1">
                  <c:v>0.22360679774997896</c:v>
                </c:pt>
                <c:pt idx="2">
                  <c:v>0.2140872096444188</c:v>
                </c:pt>
                <c:pt idx="3">
                  <c:v>0.20916500663351889</c:v>
                </c:pt>
                <c:pt idx="4">
                  <c:v>0.20615528128088303</c:v>
                </c:pt>
                <c:pt idx="5">
                  <c:v>0.20412414523193151</c:v>
                </c:pt>
                <c:pt idx="6">
                  <c:v>0.2026608708444444</c:v>
                </c:pt>
                <c:pt idx="7">
                  <c:v>0.20155644370746373</c:v>
                </c:pt>
                <c:pt idx="8">
                  <c:v>0.20069324297987159</c:v>
                </c:pt>
                <c:pt idx="9">
                  <c:v>0.2</c:v>
                </c:pt>
                <c:pt idx="10">
                  <c:v>0.19943100880436646</c:v>
                </c:pt>
                <c:pt idx="11">
                  <c:v>0.19895560643855542</c:v>
                </c:pt>
                <c:pt idx="12">
                  <c:v>0.19855245383292783</c:v>
                </c:pt>
                <c:pt idx="13">
                  <c:v>0.19820624179302296</c:v>
                </c:pt>
                <c:pt idx="14">
                  <c:v>0.19790570145063199</c:v>
                </c:pt>
                <c:pt idx="15">
                  <c:v>0.19764235376052369</c:v>
                </c:pt>
                <c:pt idx="16">
                  <c:v>0.19740969640646863</c:v>
                </c:pt>
                <c:pt idx="17">
                  <c:v>0.19720265943665383</c:v>
                </c:pt>
                <c:pt idx="18">
                  <c:v>0.19701723141310307</c:v>
                </c:pt>
                <c:pt idx="19">
                  <c:v>0.19685019685029534</c:v>
                </c:pt>
                <c:pt idx="20">
                  <c:v>0.1966989481173608</c:v>
                </c:pt>
                <c:pt idx="21">
                  <c:v>0.19656134827672411</c:v>
                </c:pt>
                <c:pt idx="22">
                  <c:v>0.19643562946099957</c:v>
                </c:pt>
                <c:pt idx="23">
                  <c:v>0.19632031648982917</c:v>
                </c:pt>
                <c:pt idx="24">
                  <c:v>0.19621416870348585</c:v>
                </c:pt>
              </c:numCache>
            </c:numRef>
          </c:val>
          <c:smooth val="0"/>
          <c:extLst>
            <c:ext xmlns:c16="http://schemas.microsoft.com/office/drawing/2014/chart" uri="{C3380CC4-5D6E-409C-BE32-E72D297353CC}">
              <c16:uniqueId val="{00000002-8A0D-4C71-89DF-283419C0C96D}"/>
            </c:ext>
          </c:extLst>
        </c:ser>
        <c:ser>
          <c:idx val="3"/>
          <c:order val="3"/>
          <c:tx>
            <c:strRef>
              <c:f>'Portfolio Volatility Theory'!$AA$1</c:f>
              <c:strCache>
                <c:ptCount val="1"/>
                <c:pt idx="0">
                  <c:v>User: Correlation = 0.05, Asset Volatility = 0.5</c:v>
                </c:pt>
              </c:strCache>
            </c:strRef>
          </c:tx>
          <c:marker>
            <c:symbol val="none"/>
          </c:marker>
          <c:val>
            <c:numRef>
              <c:f>'Portfolio Volatility Theory'!$AA$2:$AA$26</c:f>
              <c:numCache>
                <c:formatCode>0.00%</c:formatCode>
                <c:ptCount val="25"/>
                <c:pt idx="0">
                  <c:v>0.5</c:v>
                </c:pt>
                <c:pt idx="1">
                  <c:v>0.36228441865473598</c:v>
                </c:pt>
                <c:pt idx="2">
                  <c:v>0.30276503540974914</c:v>
                </c:pt>
                <c:pt idx="3">
                  <c:v>0.26809513236909022</c:v>
                </c:pt>
                <c:pt idx="4">
                  <c:v>0.24494897427831785</c:v>
                </c:pt>
                <c:pt idx="5">
                  <c:v>0.2282177322938192</c:v>
                </c:pt>
                <c:pt idx="6">
                  <c:v>0.21547290184283363</c:v>
                </c:pt>
                <c:pt idx="7">
                  <c:v>0.20539595906443728</c:v>
                </c:pt>
                <c:pt idx="8">
                  <c:v>0.19720265943665388</c:v>
                </c:pt>
                <c:pt idx="9">
                  <c:v>0.19039432764659775</c:v>
                </c:pt>
                <c:pt idx="10">
                  <c:v>0.1846372364689991</c:v>
                </c:pt>
                <c:pt idx="11">
                  <c:v>0.17969882210706523</c:v>
                </c:pt>
                <c:pt idx="12">
                  <c:v>0.17541160386140583</c:v>
                </c:pt>
                <c:pt idx="13">
                  <c:v>0.17165164058139881</c:v>
                </c:pt>
                <c:pt idx="14">
                  <c:v>0.16832508230603457</c:v>
                </c:pt>
                <c:pt idx="15">
                  <c:v>0.16535945694153692</c:v>
                </c:pt>
                <c:pt idx="16">
                  <c:v>0.16269784336399215</c:v>
                </c:pt>
                <c:pt idx="17">
                  <c:v>0.16029486718059455</c:v>
                </c:pt>
                <c:pt idx="18">
                  <c:v>0.15811388300841894</c:v>
                </c:pt>
                <c:pt idx="19">
                  <c:v>0.15612494995996001</c:v>
                </c:pt>
                <c:pt idx="20">
                  <c:v>0.15430334996209191</c:v>
                </c:pt>
                <c:pt idx="21">
                  <c:v>0.15262848536709828</c:v>
                </c:pt>
                <c:pt idx="22">
                  <c:v>0.15108304655560048</c:v>
                </c:pt>
                <c:pt idx="23">
                  <c:v>0.14965237496723313</c:v>
                </c:pt>
                <c:pt idx="24">
                  <c:v>0.14832396974191325</c:v>
                </c:pt>
              </c:numCache>
            </c:numRef>
          </c:val>
          <c:smooth val="0"/>
          <c:extLst>
            <c:ext xmlns:c16="http://schemas.microsoft.com/office/drawing/2014/chart" uri="{C3380CC4-5D6E-409C-BE32-E72D297353CC}">
              <c16:uniqueId val="{00000002-04F5-4CB0-A846-5AB8EAA95EBF}"/>
            </c:ext>
          </c:extLst>
        </c:ser>
        <c:dLbls>
          <c:showLegendKey val="0"/>
          <c:showVal val="0"/>
          <c:showCatName val="0"/>
          <c:showSerName val="0"/>
          <c:showPercent val="0"/>
          <c:showBubbleSize val="0"/>
        </c:dLbls>
        <c:smooth val="0"/>
        <c:axId val="294985216"/>
        <c:axId val="125291904"/>
      </c:lineChart>
      <c:catAx>
        <c:axId val="294985216"/>
        <c:scaling>
          <c:orientation val="minMax"/>
        </c:scaling>
        <c:delete val="0"/>
        <c:axPos val="b"/>
        <c:majorGridlines>
          <c:spPr>
            <a:ln>
              <a:solidFill>
                <a:schemeClr val="bg1">
                  <a:alpha val="25000"/>
                </a:schemeClr>
              </a:solidFill>
            </a:ln>
          </c:spPr>
        </c:majorGridlines>
        <c:title>
          <c:tx>
            <c:rich>
              <a:bodyPr/>
              <a:lstStyle/>
              <a:p>
                <a:pPr>
                  <a:defRPr sz="1600">
                    <a:solidFill>
                      <a:schemeClr val="bg1"/>
                    </a:solidFill>
                  </a:defRPr>
                </a:pPr>
                <a:r>
                  <a:rPr lang="en-GB" sz="1600">
                    <a:solidFill>
                      <a:schemeClr val="bg1"/>
                    </a:solidFill>
                  </a:rPr>
                  <a:t>Number of Assets in Portfolio</a:t>
                </a:r>
              </a:p>
            </c:rich>
          </c:tx>
          <c:layout>
            <c:manualLayout>
              <c:xMode val="edge"/>
              <c:yMode val="edge"/>
              <c:x val="0.34136091189064377"/>
              <c:y val="0.92048352467157146"/>
            </c:manualLayout>
          </c:layout>
          <c:overlay val="0"/>
        </c:title>
        <c:numFmt formatCode="General" sourceLinked="1"/>
        <c:majorTickMark val="out"/>
        <c:minorTickMark val="none"/>
        <c:tickLblPos val="nextTo"/>
        <c:spPr>
          <a:ln>
            <a:solidFill>
              <a:schemeClr val="bg1">
                <a:lumMod val="85000"/>
                <a:alpha val="43000"/>
              </a:schemeClr>
            </a:solidFill>
          </a:ln>
        </c:spPr>
        <c:txPr>
          <a:bodyPr/>
          <a:lstStyle/>
          <a:p>
            <a:pPr>
              <a:defRPr sz="1600"/>
            </a:pPr>
            <a:endParaRPr lang="en-US"/>
          </a:p>
        </c:txPr>
        <c:crossAx val="125291904"/>
        <c:crosses val="autoZero"/>
        <c:auto val="1"/>
        <c:lblAlgn val="ctr"/>
        <c:lblOffset val="100"/>
        <c:noMultiLvlLbl val="0"/>
      </c:catAx>
      <c:valAx>
        <c:axId val="125291904"/>
        <c:scaling>
          <c:orientation val="minMax"/>
        </c:scaling>
        <c:delete val="0"/>
        <c:axPos val="l"/>
        <c:majorGridlines>
          <c:spPr>
            <a:ln>
              <a:solidFill>
                <a:schemeClr val="bg1">
                  <a:alpha val="25000"/>
                </a:schemeClr>
              </a:solidFill>
            </a:ln>
          </c:spPr>
        </c:majorGridlines>
        <c:title>
          <c:tx>
            <c:rich>
              <a:bodyPr rot="-5400000" vert="horz"/>
              <a:lstStyle/>
              <a:p>
                <a:pPr>
                  <a:defRPr sz="1600"/>
                </a:pPr>
                <a:r>
                  <a:rPr lang="en-GB" sz="1600"/>
                  <a:t>Portfolio Standard Deviation</a:t>
                </a:r>
              </a:p>
            </c:rich>
          </c:tx>
          <c:layout>
            <c:manualLayout>
              <c:xMode val="edge"/>
              <c:yMode val="edge"/>
              <c:x val="2.3191453218676949E-2"/>
              <c:y val="0.31061105207648659"/>
            </c:manualLayout>
          </c:layout>
          <c:overlay val="0"/>
        </c:title>
        <c:numFmt formatCode="0.00%" sourceLinked="1"/>
        <c:majorTickMark val="out"/>
        <c:minorTickMark val="none"/>
        <c:tickLblPos val="nextTo"/>
        <c:txPr>
          <a:bodyPr/>
          <a:lstStyle/>
          <a:p>
            <a:pPr>
              <a:defRPr sz="1400"/>
            </a:pPr>
            <a:endParaRPr lang="en-US"/>
          </a:p>
        </c:txPr>
        <c:crossAx val="294985216"/>
        <c:crosses val="autoZero"/>
        <c:crossBetween val="midCat"/>
      </c:valAx>
      <c:spPr>
        <a:solidFill>
          <a:schemeClr val="tx1"/>
        </a:solidFill>
      </c:spPr>
    </c:plotArea>
    <c:legend>
      <c:legendPos val="r"/>
      <c:layout>
        <c:manualLayout>
          <c:xMode val="edge"/>
          <c:yMode val="edge"/>
          <c:x val="0.79749193326069112"/>
          <c:y val="0.14895022953591475"/>
          <c:w val="0.20250806673930893"/>
          <c:h val="0.60003375173295548"/>
        </c:manualLayout>
      </c:layout>
      <c:overlay val="0"/>
      <c:txPr>
        <a:bodyPr/>
        <a:lstStyle/>
        <a:p>
          <a:pPr>
            <a:defRPr sz="1400"/>
          </a:pPr>
          <a:endParaRPr lang="en-US"/>
        </a:p>
      </c:txPr>
    </c:legend>
    <c:plotVisOnly val="0"/>
    <c:dispBlanksAs val="gap"/>
    <c:showDLblsOverMax val="0"/>
  </c:chart>
  <c:spPr>
    <a:solidFill>
      <a:schemeClr val="tx1"/>
    </a:solidFill>
  </c:spPr>
  <c:txPr>
    <a:bodyPr/>
    <a:lstStyle/>
    <a:p>
      <a:pPr>
        <a:defRPr>
          <a:solidFill>
            <a:schemeClr val="bg1"/>
          </a:solidFill>
        </a:defRPr>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133350</xdr:colOff>
      <xdr:row>16</xdr:row>
      <xdr:rowOff>104774</xdr:rowOff>
    </xdr:from>
    <xdr:to>
      <xdr:col>9</xdr:col>
      <xdr:colOff>593480</xdr:colOff>
      <xdr:row>41</xdr:row>
      <xdr:rowOff>85724</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0.11297</cdr:x>
      <cdr:y>0.3386</cdr:y>
    </cdr:from>
    <cdr:to>
      <cdr:x>0.11297</cdr:x>
      <cdr:y>0.47571</cdr:y>
    </cdr:to>
    <cdr:cxnSp macro="">
      <cdr:nvCxnSpPr>
        <cdr:cNvPr id="5" name="Straight Connector 4">
          <a:extLst xmlns:a="http://schemas.openxmlformats.org/drawingml/2006/main">
            <a:ext uri="{FF2B5EF4-FFF2-40B4-BE49-F238E27FC236}">
              <a16:creationId xmlns:a16="http://schemas.microsoft.com/office/drawing/2014/main" id="{3AA03D3D-21A0-4A0F-A482-629E4D061578}"/>
            </a:ext>
          </a:extLst>
        </cdr:cNvPr>
        <cdr:cNvCxnSpPr/>
      </cdr:nvCxnSpPr>
      <cdr:spPr>
        <a:xfrm xmlns:a="http://schemas.openxmlformats.org/drawingml/2006/main">
          <a:off x="648764" y="1358055"/>
          <a:ext cx="0" cy="549915"/>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0.2234</cdr:x>
      <cdr:y>0.47823</cdr:y>
    </cdr:from>
    <cdr:to>
      <cdr:x>0.22347</cdr:x>
      <cdr:y>0.68637</cdr:y>
    </cdr:to>
    <cdr:cxnSp macro="">
      <cdr:nvCxnSpPr>
        <cdr:cNvPr id="6" name="Straight Connector 5">
          <a:extLst xmlns:a="http://schemas.openxmlformats.org/drawingml/2006/main">
            <a:ext uri="{FF2B5EF4-FFF2-40B4-BE49-F238E27FC236}">
              <a16:creationId xmlns:a16="http://schemas.microsoft.com/office/drawing/2014/main" id="{5EB87AF8-79D5-4FD7-9A28-577C3B3EA486}"/>
            </a:ext>
          </a:extLst>
        </cdr:cNvPr>
        <cdr:cNvCxnSpPr/>
      </cdr:nvCxnSpPr>
      <cdr:spPr>
        <a:xfrm xmlns:a="http://schemas.openxmlformats.org/drawingml/2006/main">
          <a:off x="1517196" y="1943101"/>
          <a:ext cx="454" cy="845674"/>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0.34237</cdr:x>
      <cdr:y>0.48042</cdr:y>
    </cdr:from>
    <cdr:to>
      <cdr:x>0.34264</cdr:x>
      <cdr:y>0.53897</cdr:y>
    </cdr:to>
    <cdr:cxnSp macro="">
      <cdr:nvCxnSpPr>
        <cdr:cNvPr id="11" name="Straight Connector 10">
          <a:extLst xmlns:a="http://schemas.openxmlformats.org/drawingml/2006/main">
            <a:ext uri="{FF2B5EF4-FFF2-40B4-BE49-F238E27FC236}">
              <a16:creationId xmlns:a16="http://schemas.microsoft.com/office/drawing/2014/main" id="{8031D81D-F450-4AD4-9A9A-BF1853B89242}"/>
            </a:ext>
          </a:extLst>
        </cdr:cNvPr>
        <cdr:cNvCxnSpPr/>
      </cdr:nvCxnSpPr>
      <cdr:spPr>
        <a:xfrm xmlns:a="http://schemas.openxmlformats.org/drawingml/2006/main" flipH="1">
          <a:off x="1966162" y="1926861"/>
          <a:ext cx="1550" cy="234830"/>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0.45549</cdr:x>
      <cdr:y>0.41572</cdr:y>
    </cdr:from>
    <cdr:to>
      <cdr:x>0.45575</cdr:x>
      <cdr:y>0.47427</cdr:y>
    </cdr:to>
    <cdr:cxnSp macro="">
      <cdr:nvCxnSpPr>
        <cdr:cNvPr id="16" name="Straight Connector 15">
          <a:extLst xmlns:a="http://schemas.openxmlformats.org/drawingml/2006/main">
            <a:ext uri="{FF2B5EF4-FFF2-40B4-BE49-F238E27FC236}">
              <a16:creationId xmlns:a16="http://schemas.microsoft.com/office/drawing/2014/main" id="{54A1A802-9CDE-42D9-9A30-B65B8D1ED231}"/>
            </a:ext>
          </a:extLst>
        </cdr:cNvPr>
        <cdr:cNvCxnSpPr/>
      </cdr:nvCxnSpPr>
      <cdr:spPr>
        <a:xfrm xmlns:a="http://schemas.openxmlformats.org/drawingml/2006/main" flipH="1">
          <a:off x="3093357" y="1689100"/>
          <a:ext cx="1814" cy="237887"/>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0.57196</cdr:x>
      <cdr:y>0.12101</cdr:y>
    </cdr:from>
    <cdr:to>
      <cdr:x>0.57203</cdr:x>
      <cdr:y>0.47421</cdr:y>
    </cdr:to>
    <cdr:cxnSp macro="">
      <cdr:nvCxnSpPr>
        <cdr:cNvPr id="17" name="Straight Connector 16">
          <a:extLst xmlns:a="http://schemas.openxmlformats.org/drawingml/2006/main">
            <a:ext uri="{FF2B5EF4-FFF2-40B4-BE49-F238E27FC236}">
              <a16:creationId xmlns:a16="http://schemas.microsoft.com/office/drawing/2014/main" id="{356BC86F-1CC3-4FC4-A497-616AD0F28396}"/>
            </a:ext>
          </a:extLst>
        </cdr:cNvPr>
        <cdr:cNvCxnSpPr/>
      </cdr:nvCxnSpPr>
      <cdr:spPr>
        <a:xfrm xmlns:a="http://schemas.openxmlformats.org/drawingml/2006/main">
          <a:off x="3884385" y="491671"/>
          <a:ext cx="454" cy="1435102"/>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0.6879</cdr:x>
      <cdr:y>0.47885</cdr:y>
    </cdr:from>
    <cdr:to>
      <cdr:x>0.6879</cdr:x>
      <cdr:y>0.61597</cdr:y>
    </cdr:to>
    <cdr:cxnSp macro="">
      <cdr:nvCxnSpPr>
        <cdr:cNvPr id="19" name="Straight Connector 18">
          <a:extLst xmlns:a="http://schemas.openxmlformats.org/drawingml/2006/main">
            <a:ext uri="{FF2B5EF4-FFF2-40B4-BE49-F238E27FC236}">
              <a16:creationId xmlns:a16="http://schemas.microsoft.com/office/drawing/2014/main" id="{8B415CD5-EA7D-4402-B70C-2A95825B6964}"/>
            </a:ext>
          </a:extLst>
        </cdr:cNvPr>
        <cdr:cNvCxnSpPr/>
      </cdr:nvCxnSpPr>
      <cdr:spPr>
        <a:xfrm xmlns:a="http://schemas.openxmlformats.org/drawingml/2006/main">
          <a:off x="4671786" y="1945611"/>
          <a:ext cx="0" cy="557114"/>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0.92059</cdr:x>
      <cdr:y>0.47796</cdr:y>
    </cdr:from>
    <cdr:to>
      <cdr:x>0.92059</cdr:x>
      <cdr:y>0.61507</cdr:y>
    </cdr:to>
    <cdr:cxnSp macro="">
      <cdr:nvCxnSpPr>
        <cdr:cNvPr id="20" name="Straight Connector 19">
          <a:extLst xmlns:a="http://schemas.openxmlformats.org/drawingml/2006/main">
            <a:ext uri="{FF2B5EF4-FFF2-40B4-BE49-F238E27FC236}">
              <a16:creationId xmlns:a16="http://schemas.microsoft.com/office/drawing/2014/main" id="{95F2248E-A338-46AE-9FC6-A6E99C352477}"/>
            </a:ext>
          </a:extLst>
        </cdr:cNvPr>
        <cdr:cNvCxnSpPr/>
      </cdr:nvCxnSpPr>
      <cdr:spPr>
        <a:xfrm xmlns:a="http://schemas.openxmlformats.org/drawingml/2006/main">
          <a:off x="6252029" y="1941982"/>
          <a:ext cx="0" cy="557114"/>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xdr:twoCellAnchor>
    <xdr:from>
      <xdr:col>6</xdr:col>
      <xdr:colOff>19050</xdr:colOff>
      <xdr:row>37</xdr:row>
      <xdr:rowOff>23811</xdr:rowOff>
    </xdr:from>
    <xdr:to>
      <xdr:col>10</xdr:col>
      <xdr:colOff>1466850</xdr:colOff>
      <xdr:row>51</xdr:row>
      <xdr:rowOff>180974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28575</xdr:colOff>
      <xdr:row>37</xdr:row>
      <xdr:rowOff>19050</xdr:rowOff>
    </xdr:from>
    <xdr:to>
      <xdr:col>15</xdr:col>
      <xdr:colOff>1457325</xdr:colOff>
      <xdr:row>51</xdr:row>
      <xdr:rowOff>176213</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52</xdr:row>
      <xdr:rowOff>23811</xdr:rowOff>
    </xdr:from>
    <xdr:to>
      <xdr:col>10</xdr:col>
      <xdr:colOff>1476375</xdr:colOff>
      <xdr:row>67</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9525</xdr:colOff>
      <xdr:row>52</xdr:row>
      <xdr:rowOff>19050</xdr:rowOff>
    </xdr:from>
    <xdr:to>
      <xdr:col>15</xdr:col>
      <xdr:colOff>1457325</xdr:colOff>
      <xdr:row>67</xdr:row>
      <xdr:rowOff>176213</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11208</xdr:colOff>
      <xdr:row>7</xdr:row>
      <xdr:rowOff>11206</xdr:rowOff>
    </xdr:from>
    <xdr:to>
      <xdr:col>22</xdr:col>
      <xdr:colOff>11206</xdr:colOff>
      <xdr:row>40</xdr:row>
      <xdr:rowOff>134472</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0.62808</cdr:x>
      <cdr:y>0.50252</cdr:y>
    </cdr:from>
    <cdr:to>
      <cdr:x>0.77302</cdr:x>
      <cdr:y>0.53677</cdr:y>
    </cdr:to>
    <cdr:sp macro="" textlink="">
      <cdr:nvSpPr>
        <cdr:cNvPr id="5" name="TextBox 4">
          <a:extLst xmlns:a="http://schemas.openxmlformats.org/drawingml/2006/main">
            <a:ext uri="{FF2B5EF4-FFF2-40B4-BE49-F238E27FC236}">
              <a16:creationId xmlns:a16="http://schemas.microsoft.com/office/drawing/2014/main" id="{060F0EAC-F018-43A2-AF29-7489804979C5}"/>
            </a:ext>
          </a:extLst>
        </cdr:cNvPr>
        <cdr:cNvSpPr txBox="1"/>
      </cdr:nvSpPr>
      <cdr:spPr>
        <a:xfrm xmlns:a="http://schemas.openxmlformats.org/drawingml/2006/main">
          <a:off x="9375322" y="3793671"/>
          <a:ext cx="2163535" cy="2585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ris\Documents\WORK\2.%20ITPM\ITPM%20Presentations\New%20York%202016%20-%20Realised%20&amp;%20Implied%20Volatility\DOWNLOAD%20-%20Realized%20&amp;%20Implied%20Volatility%20Spreadshee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hris\Documents\WORK\2.%20ITPM\ITPM%20Presentations\New%20York%202016%20-%20Realised%20&amp;%20Implied%20Volatility\Realised%20&amp;%20Implied%20Volatility%20Spread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d Dev Calc"/>
      <sheetName val="Realized Vol"/>
      <sheetName val="Implied Vol - Black-Scholes"/>
      <sheetName val="Implied Vol - Binomial (yield)"/>
      <sheetName val="Implied Vol-Binomial (discrete)"/>
      <sheetName val="Bonus - Option Examples"/>
    </sheetNames>
    <sheetDataSet>
      <sheetData sheetId="0">
        <row r="55">
          <cell r="F55" t="str">
            <v>Series</v>
          </cell>
        </row>
      </sheetData>
      <sheetData sheetId="1" refreshError="1"/>
      <sheetData sheetId="2" refreshError="1"/>
      <sheetData sheetId="3" refreshError="1"/>
      <sheetData sheetId="4">
        <row r="4">
          <cell r="S4">
            <v>-12.153972602739726</v>
          </cell>
        </row>
        <row r="5">
          <cell r="S5" t="e">
            <v>#NUM!</v>
          </cell>
        </row>
        <row r="6">
          <cell r="S6" t="e">
            <v>#NUM!</v>
          </cell>
        </row>
        <row r="7">
          <cell r="C7">
            <v>1</v>
          </cell>
          <cell r="S7" t="e">
            <v>#NUM!</v>
          </cell>
        </row>
        <row r="8">
          <cell r="S8">
            <v>1</v>
          </cell>
        </row>
        <row r="13">
          <cell r="C13">
            <v>-121.53972602739726</v>
          </cell>
        </row>
        <row r="14">
          <cell r="C14">
            <v>10</v>
          </cell>
        </row>
        <row r="17">
          <cell r="C17">
            <v>-121.53972602739726</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d Dev Calc"/>
      <sheetName val="Realized Vol"/>
      <sheetName val="Implied Vol - Black-Scholes"/>
      <sheetName val="Implied Vol - Binomial (yield)"/>
      <sheetName val="Implied Vol-Binomial (discrete)"/>
      <sheetName val="Bonus - Option Examples"/>
    </sheetNames>
    <sheetDataSet>
      <sheetData sheetId="0">
        <row r="55">
          <cell r="F55" t="str">
            <v>Series</v>
          </cell>
        </row>
      </sheetData>
      <sheetData sheetId="1"/>
      <sheetData sheetId="2"/>
      <sheetData sheetId="3"/>
      <sheetData sheetId="4">
        <row r="4">
          <cell r="S4">
            <v>-0.27753424657534242</v>
          </cell>
        </row>
        <row r="5">
          <cell r="S5" t="e">
            <v>#NUM!</v>
          </cell>
        </row>
        <row r="6">
          <cell r="S6" t="e">
            <v>#NUM!</v>
          </cell>
        </row>
        <row r="7">
          <cell r="C7">
            <v>1</v>
          </cell>
          <cell r="S7" t="e">
            <v>#NUM!</v>
          </cell>
        </row>
        <row r="8">
          <cell r="C8">
            <v>50</v>
          </cell>
          <cell r="S8">
            <v>1.0224510549055006</v>
          </cell>
        </row>
        <row r="9">
          <cell r="C9">
            <v>50</v>
          </cell>
        </row>
        <row r="10">
          <cell r="C10">
            <v>0.08</v>
          </cell>
        </row>
        <row r="13">
          <cell r="C13">
            <v>-2.7753424657534245</v>
          </cell>
        </row>
        <row r="14">
          <cell r="C14">
            <v>10</v>
          </cell>
        </row>
        <row r="15">
          <cell r="C15">
            <v>2</v>
          </cell>
        </row>
        <row r="17">
          <cell r="C17">
            <v>-2.882191780821918</v>
          </cell>
        </row>
      </sheetData>
      <sheetData sheetId="5">
        <row r="1">
          <cell r="D1" t="str">
            <v>Payoff</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CE049-7CAB-460D-B693-5BC43CE40059}">
  <dimension ref="B1:Z78"/>
  <sheetViews>
    <sheetView showGridLines="0" zoomScaleNormal="100" workbookViewId="0">
      <pane ySplit="3" topLeftCell="A4" activePane="bottomLeft" state="frozen"/>
      <selection pane="bottomLeft" activeCell="Q27" sqref="Q27"/>
    </sheetView>
  </sheetViews>
  <sheetFormatPr defaultRowHeight="15" x14ac:dyDescent="0.25"/>
  <cols>
    <col min="1" max="1" width="2" customWidth="1"/>
    <col min="2" max="2" width="8.7109375" customWidth="1"/>
    <col min="3" max="3" width="35" bestFit="1" customWidth="1"/>
    <col min="4" max="4" width="12.140625" customWidth="1"/>
    <col min="5" max="5" width="13.140625" customWidth="1"/>
    <col min="6" max="6" width="23.140625" bestFit="1" customWidth="1"/>
    <col min="7" max="7" width="43.85546875" bestFit="1" customWidth="1"/>
    <col min="8" max="8" width="41.85546875" bestFit="1" customWidth="1"/>
    <col min="9" max="12" width="8.28515625" customWidth="1"/>
    <col min="13" max="13" width="11.5703125" customWidth="1"/>
    <col min="14" max="17" width="7.42578125" customWidth="1"/>
    <col min="18" max="18" width="11.85546875" customWidth="1"/>
    <col min="22" max="22" width="14.28515625" customWidth="1"/>
    <col min="23" max="23" width="17.28515625" customWidth="1"/>
  </cols>
  <sheetData>
    <row r="1" spans="2:26" ht="15.75" thickBot="1" x14ac:dyDescent="0.3">
      <c r="B1" s="2" t="s">
        <v>36</v>
      </c>
      <c r="C1" s="99">
        <v>44357</v>
      </c>
      <c r="D1" s="57"/>
      <c r="E1" s="57"/>
      <c r="F1" s="57"/>
      <c r="G1" s="57"/>
      <c r="H1" s="57"/>
      <c r="I1" s="57"/>
      <c r="J1" s="57"/>
      <c r="K1" s="57"/>
      <c r="L1" s="57"/>
      <c r="M1" s="57"/>
      <c r="N1" s="57"/>
      <c r="O1" s="57"/>
      <c r="P1" s="57"/>
      <c r="Q1" s="57"/>
      <c r="R1" s="57"/>
    </row>
    <row r="2" spans="2:26" x14ac:dyDescent="0.25">
      <c r="B2" s="6"/>
      <c r="C2" s="7"/>
      <c r="D2" s="7"/>
      <c r="E2" s="7"/>
      <c r="F2" s="7"/>
      <c r="G2" s="7"/>
      <c r="H2" s="7"/>
      <c r="I2" s="21" t="s">
        <v>34</v>
      </c>
      <c r="J2" s="13"/>
      <c r="K2" s="13"/>
      <c r="L2" s="13"/>
      <c r="M2" s="15"/>
      <c r="N2" s="17" t="s">
        <v>35</v>
      </c>
      <c r="O2" s="17"/>
      <c r="P2" s="17"/>
      <c r="Q2" s="17"/>
      <c r="R2" s="18"/>
      <c r="T2" s="2"/>
      <c r="U2" s="2"/>
      <c r="V2" s="2"/>
      <c r="W2" s="2"/>
      <c r="X2" s="2"/>
      <c r="Y2" s="2"/>
      <c r="Z2" s="2"/>
    </row>
    <row r="3" spans="2:26" ht="15.75" thickBot="1" x14ac:dyDescent="0.3">
      <c r="B3" s="11" t="s">
        <v>46</v>
      </c>
      <c r="C3" s="12" t="s">
        <v>154</v>
      </c>
      <c r="D3" s="12" t="s">
        <v>33</v>
      </c>
      <c r="E3" s="107" t="s">
        <v>78</v>
      </c>
      <c r="F3" s="12" t="s">
        <v>79</v>
      </c>
      <c r="G3" s="12" t="s">
        <v>80</v>
      </c>
      <c r="H3" s="12" t="s">
        <v>81</v>
      </c>
      <c r="I3" s="22" t="s">
        <v>12</v>
      </c>
      <c r="J3" s="14" t="s">
        <v>13</v>
      </c>
      <c r="K3" s="14" t="s">
        <v>14</v>
      </c>
      <c r="L3" s="14" t="s">
        <v>15</v>
      </c>
      <c r="M3" s="16" t="s">
        <v>16</v>
      </c>
      <c r="N3" s="19" t="s">
        <v>12</v>
      </c>
      <c r="O3" s="19" t="s">
        <v>13</v>
      </c>
      <c r="P3" s="19" t="s">
        <v>14</v>
      </c>
      <c r="Q3" s="19" t="s">
        <v>15</v>
      </c>
      <c r="R3" s="20" t="s">
        <v>16</v>
      </c>
      <c r="U3" s="104"/>
      <c r="V3" s="104"/>
      <c r="W3" s="38"/>
      <c r="Z3" s="105"/>
    </row>
    <row r="4" spans="2:26" x14ac:dyDescent="0.25">
      <c r="B4" s="6" t="s">
        <v>28</v>
      </c>
      <c r="C4" s="7" t="s">
        <v>166</v>
      </c>
      <c r="D4" s="7" t="s">
        <v>205</v>
      </c>
      <c r="E4" s="110">
        <v>2104477145410</v>
      </c>
      <c r="F4" s="7" t="s">
        <v>88</v>
      </c>
      <c r="G4" s="7" t="s">
        <v>167</v>
      </c>
      <c r="H4" s="7" t="s">
        <v>168</v>
      </c>
      <c r="I4" s="23">
        <v>2.7529157686231001E-2</v>
      </c>
      <c r="J4" s="24">
        <v>5.7460593025694E-2</v>
      </c>
      <c r="K4" s="24">
        <v>0.123012598155678</v>
      </c>
      <c r="L4" s="24">
        <v>0.25039539674816502</v>
      </c>
      <c r="M4" s="25">
        <f t="shared" ref="M4:M35" si="0">J4*SQRT(52)</f>
        <v>0.4143542289454164</v>
      </c>
      <c r="N4" s="26">
        <f t="shared" ref="N4:N35" si="1">R4/SQRT(262)</f>
        <v>1.3165361967116242E-2</v>
      </c>
      <c r="O4" s="26">
        <f t="shared" ref="O4:O35" si="2">R4/SQRT(52)</f>
        <v>2.9551652953899086E-2</v>
      </c>
      <c r="P4" s="26">
        <f t="shared" ref="P4:P35" si="3">R4/SQRT(12)</f>
        <v>6.1516671182154634E-2</v>
      </c>
      <c r="Q4" s="26">
        <f t="shared" ref="Q4:Q35" si="4">R4/SQRT(4)</f>
        <v>0.10655000000000001</v>
      </c>
      <c r="R4" s="27">
        <v>0.21310000000000001</v>
      </c>
      <c r="U4" s="104"/>
      <c r="V4" s="104"/>
      <c r="W4" s="38"/>
      <c r="Z4" s="105"/>
    </row>
    <row r="5" spans="2:26" x14ac:dyDescent="0.25">
      <c r="B5" s="5" t="s">
        <v>31</v>
      </c>
      <c r="C5" s="8" t="s">
        <v>172</v>
      </c>
      <c r="D5" s="8" t="s">
        <v>205</v>
      </c>
      <c r="E5" s="108">
        <v>1937422237499.24</v>
      </c>
      <c r="F5" s="8" t="s">
        <v>88</v>
      </c>
      <c r="G5" s="8" t="s">
        <v>89</v>
      </c>
      <c r="H5" s="8" t="s">
        <v>108</v>
      </c>
      <c r="I5" s="28">
        <v>1.9937820733559999E-2</v>
      </c>
      <c r="J5" s="29">
        <v>4.0170548991650998E-2</v>
      </c>
      <c r="K5" s="29">
        <v>8.6445156252172001E-2</v>
      </c>
      <c r="L5" s="29">
        <v>0.14266276853278001</v>
      </c>
      <c r="M5" s="30">
        <f t="shared" si="0"/>
        <v>0.28967394830587184</v>
      </c>
      <c r="N5" s="31">
        <f t="shared" si="1"/>
        <v>1.1027766828391596E-2</v>
      </c>
      <c r="O5" s="31">
        <f t="shared" si="2"/>
        <v>2.4753496256550853E-2</v>
      </c>
      <c r="P5" s="31">
        <f t="shared" si="3"/>
        <v>5.1528511525174112E-2</v>
      </c>
      <c r="Q5" s="31">
        <f t="shared" si="4"/>
        <v>8.925000000000001E-2</v>
      </c>
      <c r="R5" s="32">
        <v>0.17850000000000002</v>
      </c>
      <c r="U5" s="104"/>
      <c r="V5" s="104"/>
      <c r="W5" s="38"/>
      <c r="Z5" s="105"/>
    </row>
    <row r="6" spans="2:26" x14ac:dyDescent="0.25">
      <c r="B6" s="5" t="s">
        <v>29</v>
      </c>
      <c r="C6" s="8" t="s">
        <v>169</v>
      </c>
      <c r="D6" s="8" t="s">
        <v>205</v>
      </c>
      <c r="E6" s="108">
        <v>1689308002292.3999</v>
      </c>
      <c r="F6" s="8" t="s">
        <v>103</v>
      </c>
      <c r="G6" s="8" t="s">
        <v>104</v>
      </c>
      <c r="H6" s="8" t="s">
        <v>170</v>
      </c>
      <c r="I6" s="28">
        <v>3.6702983442016002E-2</v>
      </c>
      <c r="J6" s="29">
        <v>8.0409634607036998E-2</v>
      </c>
      <c r="K6" s="29">
        <v>0.17219772575572501</v>
      </c>
      <c r="L6" s="29">
        <v>0.37259578587832698</v>
      </c>
      <c r="M6" s="30">
        <f t="shared" si="0"/>
        <v>0.57984212123399115</v>
      </c>
      <c r="N6" s="31">
        <f t="shared" si="1"/>
        <v>1.2251014913557722E-2</v>
      </c>
      <c r="O6" s="31">
        <f t="shared" si="2"/>
        <v>2.7499262227865737E-2</v>
      </c>
      <c r="P6" s="31">
        <f t="shared" si="3"/>
        <v>5.7244279190151397E-2</v>
      </c>
      <c r="Q6" s="31">
        <f t="shared" si="4"/>
        <v>9.9150000000000002E-2</v>
      </c>
      <c r="R6" s="32">
        <v>0.1983</v>
      </c>
      <c r="U6" s="104"/>
      <c r="V6" s="104"/>
      <c r="W6" s="38"/>
      <c r="Z6" s="105"/>
    </row>
    <row r="7" spans="2:26" x14ac:dyDescent="0.25">
      <c r="B7" s="5" t="s">
        <v>32</v>
      </c>
      <c r="C7" s="8" t="s">
        <v>173</v>
      </c>
      <c r="D7" s="8" t="s">
        <v>205</v>
      </c>
      <c r="E7" s="108">
        <v>1659915919934.5601</v>
      </c>
      <c r="F7" s="8" t="s">
        <v>98</v>
      </c>
      <c r="G7" s="8" t="s">
        <v>157</v>
      </c>
      <c r="H7" s="8" t="s">
        <v>165</v>
      </c>
      <c r="I7" s="28">
        <v>1.9187397169645001E-2</v>
      </c>
      <c r="J7" s="29">
        <v>4.1756498518904998E-2</v>
      </c>
      <c r="K7" s="29">
        <v>8.8770117266185E-2</v>
      </c>
      <c r="L7" s="29">
        <v>0.16523056365427999</v>
      </c>
      <c r="M7" s="30">
        <f t="shared" si="0"/>
        <v>0.3011103929874962</v>
      </c>
      <c r="N7" s="31">
        <f t="shared" si="1"/>
        <v>1.0663263611094619E-2</v>
      </c>
      <c r="O7" s="31">
        <f t="shared" si="2"/>
        <v>2.3935313467118639E-2</v>
      </c>
      <c r="P7" s="31">
        <f t="shared" si="3"/>
        <v>4.9825328231064704E-2</v>
      </c>
      <c r="Q7" s="31">
        <f t="shared" si="4"/>
        <v>8.6300000000000002E-2</v>
      </c>
      <c r="R7" s="32">
        <v>0.1726</v>
      </c>
      <c r="U7" s="104"/>
      <c r="V7" s="104"/>
      <c r="W7" s="38"/>
      <c r="Z7" s="105"/>
    </row>
    <row r="8" spans="2:26" x14ac:dyDescent="0.25">
      <c r="B8" s="5" t="s">
        <v>27</v>
      </c>
      <c r="C8" s="8" t="s">
        <v>164</v>
      </c>
      <c r="D8" s="8" t="s">
        <v>205</v>
      </c>
      <c r="E8" s="108">
        <v>942678638711.64001</v>
      </c>
      <c r="F8" s="8" t="s">
        <v>98</v>
      </c>
      <c r="G8" s="8" t="s">
        <v>157</v>
      </c>
      <c r="H8" s="8" t="s">
        <v>165</v>
      </c>
      <c r="I8" s="28">
        <v>2.3406181229145E-2</v>
      </c>
      <c r="J8" s="29">
        <v>4.9978386201529001E-2</v>
      </c>
      <c r="K8" s="29">
        <v>0.10512006005085001</v>
      </c>
      <c r="L8" s="29">
        <v>0.21786252365695799</v>
      </c>
      <c r="M8" s="30">
        <f t="shared" si="0"/>
        <v>0.36039926822910945</v>
      </c>
      <c r="N8" s="31">
        <f t="shared" si="1"/>
        <v>1.3678137679584871E-2</v>
      </c>
      <c r="O8" s="31">
        <f t="shared" si="2"/>
        <v>3.0702655861066436E-2</v>
      </c>
      <c r="P8" s="31">
        <f t="shared" si="3"/>
        <v>6.391267479929158E-2</v>
      </c>
      <c r="Q8" s="31">
        <f t="shared" si="4"/>
        <v>0.11070000000000001</v>
      </c>
      <c r="R8" s="32">
        <v>0.22140000000000001</v>
      </c>
      <c r="U8" s="104"/>
      <c r="V8" s="104"/>
      <c r="W8" s="38"/>
      <c r="Z8" s="105"/>
    </row>
    <row r="9" spans="2:26" x14ac:dyDescent="0.25">
      <c r="B9" s="5" t="s">
        <v>22</v>
      </c>
      <c r="C9" s="8" t="s">
        <v>155</v>
      </c>
      <c r="D9" s="8" t="s">
        <v>205</v>
      </c>
      <c r="E9" s="108">
        <v>498967005168.29999</v>
      </c>
      <c r="F9" s="8" t="s">
        <v>88</v>
      </c>
      <c r="G9" s="8" t="s">
        <v>89</v>
      </c>
      <c r="H9" s="8" t="s">
        <v>90</v>
      </c>
      <c r="I9" s="28">
        <v>1.9069970040349001E-2</v>
      </c>
      <c r="J9" s="29">
        <v>3.6572011163192003E-2</v>
      </c>
      <c r="K9" s="29">
        <v>6.6502725313663996E-2</v>
      </c>
      <c r="L9" s="29">
        <v>0.109633467608309</v>
      </c>
      <c r="M9" s="30">
        <f t="shared" si="0"/>
        <v>0.26372452299146038</v>
      </c>
      <c r="N9" s="31">
        <f t="shared" si="1"/>
        <v>1.215834460407544E-2</v>
      </c>
      <c r="O9" s="31">
        <f t="shared" si="2"/>
        <v>2.7291249654281275E-2</v>
      </c>
      <c r="P9" s="31">
        <f t="shared" si="3"/>
        <v>5.6811266488259182E-2</v>
      </c>
      <c r="Q9" s="31">
        <f t="shared" si="4"/>
        <v>9.8400000000000001E-2</v>
      </c>
      <c r="R9" s="32">
        <v>0.1968</v>
      </c>
      <c r="U9" s="104"/>
      <c r="V9" s="104"/>
      <c r="W9" s="38"/>
      <c r="Z9" s="105"/>
    </row>
    <row r="10" spans="2:26" x14ac:dyDescent="0.25">
      <c r="B10" s="5" t="s">
        <v>23</v>
      </c>
      <c r="C10" s="8" t="s">
        <v>156</v>
      </c>
      <c r="D10" s="8" t="s">
        <v>205</v>
      </c>
      <c r="E10" s="108">
        <v>320815693481.06</v>
      </c>
      <c r="F10" s="8" t="s">
        <v>98</v>
      </c>
      <c r="G10" s="8" t="s">
        <v>157</v>
      </c>
      <c r="H10" s="8" t="s">
        <v>158</v>
      </c>
      <c r="I10" s="28">
        <v>1.8879848639593001E-2</v>
      </c>
      <c r="J10" s="29">
        <v>3.8166285304373999E-2</v>
      </c>
      <c r="K10" s="29">
        <v>7.3931359149813997E-2</v>
      </c>
      <c r="L10" s="29">
        <v>0.13372153928974201</v>
      </c>
      <c r="M10" s="30">
        <f t="shared" si="0"/>
        <v>0.27522099731781635</v>
      </c>
      <c r="N10" s="31">
        <f t="shared" si="1"/>
        <v>1.3338346544816502E-2</v>
      </c>
      <c r="O10" s="31">
        <f t="shared" si="2"/>
        <v>2.9939943091256745E-2</v>
      </c>
      <c r="P10" s="31">
        <f t="shared" si="3"/>
        <v>6.2324961559020106E-2</v>
      </c>
      <c r="Q10" s="31">
        <f t="shared" si="4"/>
        <v>0.10795</v>
      </c>
      <c r="R10" s="32">
        <v>0.21590000000000001</v>
      </c>
      <c r="U10" s="104"/>
      <c r="V10" s="104"/>
      <c r="W10" s="38"/>
      <c r="Z10" s="105"/>
    </row>
    <row r="11" spans="2:26" x14ac:dyDescent="0.25">
      <c r="B11" s="5" t="s">
        <v>96</v>
      </c>
      <c r="C11" s="108" t="s">
        <v>97</v>
      </c>
      <c r="D11" s="8" t="s">
        <v>205</v>
      </c>
      <c r="E11" s="108">
        <v>237391478076.22</v>
      </c>
      <c r="F11" s="8" t="s">
        <v>98</v>
      </c>
      <c r="G11" s="8" t="s">
        <v>99</v>
      </c>
      <c r="H11" s="8" t="s">
        <v>100</v>
      </c>
      <c r="I11" s="28">
        <v>1.5315225064603E-2</v>
      </c>
      <c r="J11" s="29">
        <v>3.1068686649849998E-2</v>
      </c>
      <c r="K11" s="29">
        <v>6.2565752256989002E-2</v>
      </c>
      <c r="L11" s="29">
        <v>0.100669220687642</v>
      </c>
      <c r="M11" s="30">
        <f t="shared" si="0"/>
        <v>0.22403948555471534</v>
      </c>
      <c r="N11" s="31">
        <f t="shared" si="1"/>
        <v>9.1805386593781027E-3</v>
      </c>
      <c r="O11" s="31">
        <f t="shared" si="2"/>
        <v>2.0607112289767263E-2</v>
      </c>
      <c r="P11" s="31">
        <f t="shared" si="3"/>
        <v>4.2897125000789196E-2</v>
      </c>
      <c r="Q11" s="31">
        <f t="shared" si="4"/>
        <v>7.4300000000000005E-2</v>
      </c>
      <c r="R11" s="32">
        <v>0.14860000000000001</v>
      </c>
      <c r="U11" s="104"/>
      <c r="V11" s="104"/>
      <c r="W11" s="38"/>
      <c r="Z11" s="105"/>
    </row>
    <row r="12" spans="2:26" x14ac:dyDescent="0.25">
      <c r="B12" s="5" t="s">
        <v>25</v>
      </c>
      <c r="C12" s="8" t="s">
        <v>162</v>
      </c>
      <c r="D12" s="8" t="s">
        <v>205</v>
      </c>
      <c r="E12" s="108">
        <v>237314930500</v>
      </c>
      <c r="F12" s="8" t="s">
        <v>88</v>
      </c>
      <c r="G12" s="8" t="s">
        <v>89</v>
      </c>
      <c r="H12" s="8" t="s">
        <v>108</v>
      </c>
      <c r="I12" s="28">
        <v>2.7666887392894E-2</v>
      </c>
      <c r="J12" s="29">
        <v>5.4598949841798E-2</v>
      </c>
      <c r="K12" s="29">
        <v>0.115130766227521</v>
      </c>
      <c r="L12" s="29">
        <v>0.21232534041449899</v>
      </c>
      <c r="M12" s="30">
        <f t="shared" si="0"/>
        <v>0.39371862648217831</v>
      </c>
      <c r="N12" s="31">
        <f t="shared" si="1"/>
        <v>1.7514688492151358E-2</v>
      </c>
      <c r="O12" s="31">
        <f t="shared" si="2"/>
        <v>3.9314376407463117E-2</v>
      </c>
      <c r="P12" s="31">
        <f t="shared" si="3"/>
        <v>8.1839400657629471E-2</v>
      </c>
      <c r="Q12" s="31">
        <f t="shared" si="4"/>
        <v>0.14175000000000001</v>
      </c>
      <c r="R12" s="32">
        <v>0.28350000000000003</v>
      </c>
      <c r="U12" s="104"/>
      <c r="V12" s="104"/>
      <c r="W12" s="38"/>
      <c r="Z12" s="105"/>
    </row>
    <row r="13" spans="2:26" x14ac:dyDescent="0.25">
      <c r="B13" s="5" t="s">
        <v>30</v>
      </c>
      <c r="C13" s="8" t="s">
        <v>171</v>
      </c>
      <c r="D13" s="8" t="s">
        <v>205</v>
      </c>
      <c r="E13" s="108">
        <v>216056851170.72</v>
      </c>
      <c r="F13" s="8" t="s">
        <v>98</v>
      </c>
      <c r="G13" s="8" t="s">
        <v>157</v>
      </c>
      <c r="H13" s="8" t="s">
        <v>158</v>
      </c>
      <c r="I13" s="28">
        <v>3.6158777830517998E-2</v>
      </c>
      <c r="J13" s="29">
        <v>8.0687824661890006E-2</v>
      </c>
      <c r="K13" s="29">
        <v>0.16431670589327399</v>
      </c>
      <c r="L13" s="29">
        <v>0.30645377328919299</v>
      </c>
      <c r="M13" s="30">
        <f t="shared" si="0"/>
        <v>0.58184817824818447</v>
      </c>
      <c r="N13" s="31">
        <f t="shared" si="1"/>
        <v>1.5173218672565691E-2</v>
      </c>
      <c r="O13" s="31">
        <f t="shared" si="2"/>
        <v>3.4058592048229072E-2</v>
      </c>
      <c r="P13" s="31">
        <f t="shared" si="3"/>
        <v>7.0898613056486051E-2</v>
      </c>
      <c r="Q13" s="31">
        <f t="shared" si="4"/>
        <v>0.12280000000000001</v>
      </c>
      <c r="R13" s="32">
        <v>0.24560000000000001</v>
      </c>
      <c r="U13" s="104"/>
      <c r="V13" s="104"/>
      <c r="W13" s="38"/>
      <c r="Z13" s="105"/>
    </row>
    <row r="14" spans="2:26" x14ac:dyDescent="0.25">
      <c r="B14" s="5" t="s">
        <v>24</v>
      </c>
      <c r="C14" s="8" t="s">
        <v>159</v>
      </c>
      <c r="D14" s="8" t="s">
        <v>205</v>
      </c>
      <c r="E14" s="108">
        <v>206944087352.51999</v>
      </c>
      <c r="F14" s="8" t="s">
        <v>103</v>
      </c>
      <c r="G14" s="8" t="s">
        <v>160</v>
      </c>
      <c r="H14" s="8" t="s">
        <v>161</v>
      </c>
      <c r="I14" s="28">
        <v>1.9957134051698001E-2</v>
      </c>
      <c r="J14" s="29">
        <v>4.2488748077073001E-2</v>
      </c>
      <c r="K14" s="29">
        <v>8.2971809209843997E-2</v>
      </c>
      <c r="L14" s="29">
        <v>0.14606796548325601</v>
      </c>
      <c r="M14" s="30">
        <f t="shared" si="0"/>
        <v>0.30639071964431736</v>
      </c>
      <c r="N14" s="31">
        <f t="shared" si="1"/>
        <v>1.4518348485557563E-2</v>
      </c>
      <c r="O14" s="31">
        <f t="shared" si="2"/>
        <v>3.2588636528232212E-2</v>
      </c>
      <c r="P14" s="31">
        <f t="shared" si="3"/>
        <v>6.783865662978103E-2</v>
      </c>
      <c r="Q14" s="31">
        <f t="shared" si="4"/>
        <v>0.11750000000000001</v>
      </c>
      <c r="R14" s="32">
        <v>0.23500000000000001</v>
      </c>
      <c r="U14" s="104"/>
      <c r="V14" s="104"/>
      <c r="W14" s="38"/>
      <c r="Z14" s="105"/>
    </row>
    <row r="15" spans="2:26" x14ac:dyDescent="0.25">
      <c r="B15" s="5" t="s">
        <v>86</v>
      </c>
      <c r="C15" s="108" t="s">
        <v>87</v>
      </c>
      <c r="D15" s="8" t="s">
        <v>205</v>
      </c>
      <c r="E15" s="108">
        <v>134510926527.12</v>
      </c>
      <c r="F15" s="8" t="s">
        <v>88</v>
      </c>
      <c r="G15" s="8" t="s">
        <v>89</v>
      </c>
      <c r="H15" s="8" t="s">
        <v>90</v>
      </c>
      <c r="I15" s="28">
        <v>1.7670990458686E-2</v>
      </c>
      <c r="J15" s="29">
        <v>3.7584079301350999E-2</v>
      </c>
      <c r="K15" s="29">
        <v>7.7517798004025001E-2</v>
      </c>
      <c r="L15" s="29">
        <v>0.14054187674714999</v>
      </c>
      <c r="M15" s="30">
        <f t="shared" si="0"/>
        <v>0.27102265012425164</v>
      </c>
      <c r="N15" s="31">
        <f t="shared" si="1"/>
        <v>1.186797763436429E-2</v>
      </c>
      <c r="O15" s="31">
        <f t="shared" si="2"/>
        <v>2.6639476923716633E-2</v>
      </c>
      <c r="P15" s="31">
        <f t="shared" si="3"/>
        <v>5.5454493355663562E-2</v>
      </c>
      <c r="Q15" s="31">
        <f t="shared" si="4"/>
        <v>9.605000000000001E-2</v>
      </c>
      <c r="R15" s="32">
        <v>0.19210000000000002</v>
      </c>
      <c r="U15" s="104"/>
      <c r="V15" s="104"/>
      <c r="W15" s="38"/>
      <c r="Z15" s="105"/>
    </row>
    <row r="16" spans="2:26" x14ac:dyDescent="0.25">
      <c r="B16" s="5" t="s">
        <v>26</v>
      </c>
      <c r="C16" s="8" t="s">
        <v>163</v>
      </c>
      <c r="D16" s="8" t="s">
        <v>205</v>
      </c>
      <c r="E16" s="108">
        <v>123651993820.96001</v>
      </c>
      <c r="F16" s="8" t="s">
        <v>135</v>
      </c>
      <c r="G16" s="8" t="s">
        <v>136</v>
      </c>
      <c r="H16" s="8" t="s">
        <v>140</v>
      </c>
      <c r="I16" s="28">
        <v>2.0251504105575999E-2</v>
      </c>
      <c r="J16" s="29">
        <v>4.4531421932441001E-2</v>
      </c>
      <c r="K16" s="29">
        <v>8.7903591499357003E-2</v>
      </c>
      <c r="L16" s="29">
        <v>0.155953458358085</v>
      </c>
      <c r="M16" s="30">
        <f t="shared" si="0"/>
        <v>0.32112065029347542</v>
      </c>
      <c r="N16" s="31">
        <f t="shared" si="1"/>
        <v>1.6501493108478406E-2</v>
      </c>
      <c r="O16" s="31">
        <f t="shared" si="2"/>
        <v>3.7040105602939674E-2</v>
      </c>
      <c r="P16" s="31">
        <f t="shared" si="3"/>
        <v>7.7105128450274521E-2</v>
      </c>
      <c r="Q16" s="31">
        <f t="shared" si="4"/>
        <v>0.13355</v>
      </c>
      <c r="R16" s="32">
        <v>0.2671</v>
      </c>
      <c r="U16" s="104"/>
      <c r="V16" s="104"/>
      <c r="W16" s="38"/>
      <c r="Z16" s="105"/>
    </row>
    <row r="17" spans="2:26" x14ac:dyDescent="0.25">
      <c r="B17" s="5" t="s">
        <v>91</v>
      </c>
      <c r="C17" s="108" t="s">
        <v>92</v>
      </c>
      <c r="D17" s="8" t="s">
        <v>205</v>
      </c>
      <c r="E17" s="108">
        <v>96696107287.559998</v>
      </c>
      <c r="F17" s="8" t="s">
        <v>93</v>
      </c>
      <c r="G17" s="8" t="s">
        <v>94</v>
      </c>
      <c r="H17" s="8" t="s">
        <v>95</v>
      </c>
      <c r="I17" s="28">
        <v>2.0187016865926E-2</v>
      </c>
      <c r="J17" s="29">
        <v>4.2378241486343997E-2</v>
      </c>
      <c r="K17" s="29">
        <v>8.3946338084229993E-2</v>
      </c>
      <c r="L17" s="29">
        <v>0.159756911371393</v>
      </c>
      <c r="M17" s="30">
        <f t="shared" si="0"/>
        <v>0.30559384528601707</v>
      </c>
      <c r="N17" s="31">
        <f t="shared" si="1"/>
        <v>1.2522847821372418E-2</v>
      </c>
      <c r="O17" s="31">
        <f t="shared" si="2"/>
        <v>2.810943244371349E-2</v>
      </c>
      <c r="P17" s="31">
        <f t="shared" si="3"/>
        <v>5.8514449782368583E-2</v>
      </c>
      <c r="Q17" s="31">
        <f t="shared" si="4"/>
        <v>0.10135000000000001</v>
      </c>
      <c r="R17" s="32">
        <v>0.20270000000000002</v>
      </c>
      <c r="U17" s="104"/>
      <c r="V17" s="104"/>
      <c r="W17" s="38"/>
      <c r="Z17" s="105"/>
    </row>
    <row r="18" spans="2:26" x14ac:dyDescent="0.25">
      <c r="B18" s="5" t="s">
        <v>101</v>
      </c>
      <c r="C18" s="108" t="s">
        <v>102</v>
      </c>
      <c r="D18" s="8" t="s">
        <v>205</v>
      </c>
      <c r="E18" s="108">
        <v>78144175037.220001</v>
      </c>
      <c r="F18" s="8" t="s">
        <v>103</v>
      </c>
      <c r="G18" s="8" t="s">
        <v>104</v>
      </c>
      <c r="H18" s="8" t="s">
        <v>105</v>
      </c>
      <c r="I18" s="28">
        <v>2.0969835747638998E-2</v>
      </c>
      <c r="J18" s="29">
        <v>4.4754843963921001E-2</v>
      </c>
      <c r="K18" s="29">
        <v>8.3407905267031998E-2</v>
      </c>
      <c r="L18" s="29">
        <v>0.15184734464572799</v>
      </c>
      <c r="M18" s="30">
        <f t="shared" si="0"/>
        <v>0.32273176947461435</v>
      </c>
      <c r="N18" s="31">
        <f t="shared" si="1"/>
        <v>1.4431856196707433E-2</v>
      </c>
      <c r="O18" s="31">
        <f t="shared" si="2"/>
        <v>3.2394491459553386E-2</v>
      </c>
      <c r="P18" s="31">
        <f t="shared" si="3"/>
        <v>6.7434511441348294E-2</v>
      </c>
      <c r="Q18" s="31">
        <f t="shared" si="4"/>
        <v>0.1168</v>
      </c>
      <c r="R18" s="32">
        <v>0.2336</v>
      </c>
      <c r="U18" s="104"/>
      <c r="V18" s="104"/>
      <c r="W18" s="38"/>
      <c r="Z18" s="105"/>
    </row>
    <row r="19" spans="2:26" x14ac:dyDescent="0.25">
      <c r="B19" s="5" t="s">
        <v>121</v>
      </c>
      <c r="C19" s="108" t="s">
        <v>122</v>
      </c>
      <c r="D19" s="8" t="s">
        <v>205</v>
      </c>
      <c r="E19" s="108">
        <v>71369769066.639999</v>
      </c>
      <c r="F19" s="8" t="s">
        <v>93</v>
      </c>
      <c r="G19" s="8" t="s">
        <v>94</v>
      </c>
      <c r="H19" s="8" t="s">
        <v>95</v>
      </c>
      <c r="I19" s="28">
        <v>1.6235512545885001E-2</v>
      </c>
      <c r="J19" s="29">
        <v>3.3161817064473E-2</v>
      </c>
      <c r="K19" s="29">
        <v>6.6096098436733003E-2</v>
      </c>
      <c r="L19" s="29">
        <v>9.5254336759970998E-2</v>
      </c>
      <c r="M19" s="30">
        <f t="shared" si="0"/>
        <v>0.23913326362702822</v>
      </c>
      <c r="N19" s="31">
        <f t="shared" si="1"/>
        <v>1.2813214791083568E-2</v>
      </c>
      <c r="O19" s="31">
        <f t="shared" si="2"/>
        <v>2.8761205174278132E-2</v>
      </c>
      <c r="P19" s="31">
        <f t="shared" si="3"/>
        <v>5.9871222914964196E-2</v>
      </c>
      <c r="Q19" s="31">
        <f t="shared" si="4"/>
        <v>0.1037</v>
      </c>
      <c r="R19" s="32">
        <v>0.2074</v>
      </c>
      <c r="U19" s="104"/>
      <c r="V19" s="104"/>
      <c r="W19" s="38"/>
      <c r="Z19" s="105"/>
    </row>
    <row r="20" spans="2:26" x14ac:dyDescent="0.25">
      <c r="B20" s="5" t="s">
        <v>109</v>
      </c>
      <c r="C20" s="108" t="s">
        <v>110</v>
      </c>
      <c r="D20" s="8" t="s">
        <v>205</v>
      </c>
      <c r="E20" s="108">
        <v>56930567598.519997</v>
      </c>
      <c r="F20" s="8" t="s">
        <v>111</v>
      </c>
      <c r="G20" s="8" t="s">
        <v>111</v>
      </c>
      <c r="H20" s="8" t="s">
        <v>112</v>
      </c>
      <c r="I20" s="28">
        <v>2.5643016414045001E-2</v>
      </c>
      <c r="J20" s="29">
        <v>5.2286276573616002E-2</v>
      </c>
      <c r="K20" s="29">
        <v>0.112364268153176</v>
      </c>
      <c r="L20" s="29">
        <v>0.15565400626119499</v>
      </c>
      <c r="M20" s="30">
        <f t="shared" si="0"/>
        <v>0.37704170237852813</v>
      </c>
      <c r="N20" s="31">
        <f t="shared" si="1"/>
        <v>1.7119295171693621E-2</v>
      </c>
      <c r="O20" s="31">
        <f t="shared" si="2"/>
        <v>3.842685609350275E-2</v>
      </c>
      <c r="P20" s="31">
        <f t="shared" si="3"/>
        <v>7.9991879796222659E-2</v>
      </c>
      <c r="Q20" s="31">
        <f t="shared" si="4"/>
        <v>0.13855000000000001</v>
      </c>
      <c r="R20" s="32">
        <v>0.27710000000000001</v>
      </c>
      <c r="U20" s="104"/>
      <c r="V20" s="104"/>
      <c r="W20" s="38"/>
      <c r="Z20" s="105"/>
    </row>
    <row r="21" spans="2:26" x14ac:dyDescent="0.25">
      <c r="B21" s="5" t="s">
        <v>9</v>
      </c>
      <c r="C21" s="8" t="s">
        <v>177</v>
      </c>
      <c r="D21" s="8" t="s">
        <v>206</v>
      </c>
      <c r="E21" s="108">
        <v>48443454386.25</v>
      </c>
      <c r="F21" s="8" t="s">
        <v>93</v>
      </c>
      <c r="G21" s="8" t="s">
        <v>94</v>
      </c>
      <c r="H21" s="8" t="s">
        <v>95</v>
      </c>
      <c r="I21" s="28">
        <v>3.8920881243772999E-2</v>
      </c>
      <c r="J21" s="29">
        <v>8.6008531523633996E-2</v>
      </c>
      <c r="K21" s="29">
        <v>0.18759505135606999</v>
      </c>
      <c r="L21" s="29">
        <v>0.33624693096369301</v>
      </c>
      <c r="M21" s="30">
        <f t="shared" si="0"/>
        <v>0.62021634107164658</v>
      </c>
      <c r="N21" s="31">
        <f t="shared" si="1"/>
        <v>2.2685691761262713E-2</v>
      </c>
      <c r="O21" s="31">
        <f t="shared" si="2"/>
        <v>5.0921478013476039E-2</v>
      </c>
      <c r="P21" s="31">
        <f t="shared" si="3"/>
        <v>0.1060015094232153</v>
      </c>
      <c r="Q21" s="31">
        <f t="shared" si="4"/>
        <v>0.18360000000000001</v>
      </c>
      <c r="R21" s="32">
        <v>0.36720000000000003</v>
      </c>
      <c r="U21" s="104"/>
      <c r="V21" s="104"/>
      <c r="W21" s="38"/>
      <c r="Z21" s="105"/>
    </row>
    <row r="22" spans="2:26" x14ac:dyDescent="0.25">
      <c r="B22" s="5" t="s">
        <v>2</v>
      </c>
      <c r="C22" s="8" t="s">
        <v>180</v>
      </c>
      <c r="D22" s="8" t="s">
        <v>206</v>
      </c>
      <c r="E22" s="108">
        <v>46882180603.800003</v>
      </c>
      <c r="F22" s="8" t="s">
        <v>103</v>
      </c>
      <c r="G22" s="8" t="s">
        <v>181</v>
      </c>
      <c r="H22" s="8" t="s">
        <v>182</v>
      </c>
      <c r="I22" s="28">
        <v>2.2021668068279002E-2</v>
      </c>
      <c r="J22" s="29">
        <v>4.7375736137593001E-2</v>
      </c>
      <c r="K22" s="29">
        <v>8.9710821561200998E-2</v>
      </c>
      <c r="L22" s="29">
        <v>0.153170323851547</v>
      </c>
      <c r="M22" s="30">
        <f t="shared" si="0"/>
        <v>0.34163129171388767</v>
      </c>
      <c r="N22" s="31">
        <f t="shared" si="1"/>
        <v>1.7786521399966053E-2</v>
      </c>
      <c r="O22" s="31">
        <f t="shared" si="2"/>
        <v>3.9924546623310866E-2</v>
      </c>
      <c r="P22" s="31">
        <f t="shared" si="3"/>
        <v>8.3109571249846637E-2</v>
      </c>
      <c r="Q22" s="31">
        <f t="shared" si="4"/>
        <v>0.14394999999999999</v>
      </c>
      <c r="R22" s="32">
        <v>0.28789999999999999</v>
      </c>
      <c r="U22" s="104"/>
      <c r="V22" s="104"/>
      <c r="W22" s="38"/>
      <c r="Z22" s="105"/>
    </row>
    <row r="23" spans="2:26" x14ac:dyDescent="0.25">
      <c r="B23" s="5" t="s">
        <v>8</v>
      </c>
      <c r="C23" s="8" t="s">
        <v>175</v>
      </c>
      <c r="D23" s="8" t="s">
        <v>206</v>
      </c>
      <c r="E23" s="108">
        <v>45610132159.274002</v>
      </c>
      <c r="F23" s="8" t="s">
        <v>119</v>
      </c>
      <c r="G23" s="8" t="s">
        <v>129</v>
      </c>
      <c r="H23" s="8" t="s">
        <v>176</v>
      </c>
      <c r="I23" s="28">
        <v>2.1350000460478E-2</v>
      </c>
      <c r="J23" s="29">
        <v>4.7187079982254E-2</v>
      </c>
      <c r="K23" s="29">
        <v>8.8789424262757002E-2</v>
      </c>
      <c r="L23" s="29">
        <v>0.162975149079748</v>
      </c>
      <c r="M23" s="30">
        <f t="shared" si="0"/>
        <v>0.34027087283087437</v>
      </c>
      <c r="N23" s="31">
        <f t="shared" si="1"/>
        <v>1.3288922379759285E-2</v>
      </c>
      <c r="O23" s="31">
        <f t="shared" si="2"/>
        <v>2.98290030520117E-2</v>
      </c>
      <c r="P23" s="31">
        <f t="shared" si="3"/>
        <v>6.209402145134426E-2</v>
      </c>
      <c r="Q23" s="31">
        <f t="shared" si="4"/>
        <v>0.10755000000000001</v>
      </c>
      <c r="R23" s="32">
        <v>0.21510000000000001</v>
      </c>
    </row>
    <row r="24" spans="2:26" x14ac:dyDescent="0.25">
      <c r="B24" s="5" t="s">
        <v>3</v>
      </c>
      <c r="C24" s="8" t="s">
        <v>183</v>
      </c>
      <c r="D24" s="8" t="s">
        <v>206</v>
      </c>
      <c r="E24" s="108">
        <v>42316001852.720001</v>
      </c>
      <c r="F24" s="8" t="s">
        <v>103</v>
      </c>
      <c r="G24" s="8" t="s">
        <v>181</v>
      </c>
      <c r="H24" s="8" t="s">
        <v>182</v>
      </c>
      <c r="I24" s="28">
        <v>3.8703996884006997E-2</v>
      </c>
      <c r="J24" s="29">
        <v>9.0132758754502995E-2</v>
      </c>
      <c r="K24" s="29">
        <v>0.18273896156602601</v>
      </c>
      <c r="L24" s="29">
        <v>0.344371544670658</v>
      </c>
      <c r="M24" s="30">
        <f t="shared" si="0"/>
        <v>0.64995656657677259</v>
      </c>
      <c r="N24" s="31">
        <f t="shared" si="1"/>
        <v>2.2030821574254584E-2</v>
      </c>
      <c r="O24" s="31">
        <f t="shared" si="2"/>
        <v>4.9451522493479186E-2</v>
      </c>
      <c r="P24" s="31">
        <f t="shared" si="3"/>
        <v>0.10294155299651028</v>
      </c>
      <c r="Q24" s="31">
        <f t="shared" si="4"/>
        <v>0.17830000000000001</v>
      </c>
      <c r="R24" s="32">
        <v>0.35660000000000003</v>
      </c>
    </row>
    <row r="25" spans="2:26" x14ac:dyDescent="0.25">
      <c r="B25" s="5" t="s">
        <v>117</v>
      </c>
      <c r="C25" s="108" t="s">
        <v>118</v>
      </c>
      <c r="D25" s="8" t="s">
        <v>206</v>
      </c>
      <c r="E25" s="108">
        <v>40379159288.07</v>
      </c>
      <c r="F25" s="8" t="s">
        <v>119</v>
      </c>
      <c r="G25" s="8" t="s">
        <v>120</v>
      </c>
      <c r="H25" s="8" t="s">
        <v>120</v>
      </c>
      <c r="I25" s="28">
        <v>1.6780902976346001E-2</v>
      </c>
      <c r="J25" s="29">
        <v>3.7103851962025002E-2</v>
      </c>
      <c r="K25" s="29">
        <v>6.3227603583127998E-2</v>
      </c>
      <c r="L25" s="29">
        <v>0.108743418002896</v>
      </c>
      <c r="M25" s="30">
        <f t="shared" si="0"/>
        <v>0.26755968153261256</v>
      </c>
      <c r="N25" s="31">
        <f t="shared" si="1"/>
        <v>1.5265888982047974E-2</v>
      </c>
      <c r="O25" s="31">
        <f t="shared" si="2"/>
        <v>3.426660462181353E-2</v>
      </c>
      <c r="P25" s="31">
        <f t="shared" si="3"/>
        <v>7.1331625758378273E-2</v>
      </c>
      <c r="Q25" s="31">
        <f t="shared" si="4"/>
        <v>0.12355000000000001</v>
      </c>
      <c r="R25" s="32">
        <v>0.24710000000000001</v>
      </c>
    </row>
    <row r="26" spans="2:26" x14ac:dyDescent="0.25">
      <c r="B26" s="5" t="s">
        <v>10</v>
      </c>
      <c r="C26" s="8" t="s">
        <v>178</v>
      </c>
      <c r="D26" s="8" t="s">
        <v>206</v>
      </c>
      <c r="E26" s="108">
        <v>37475339484</v>
      </c>
      <c r="F26" s="8" t="s">
        <v>84</v>
      </c>
      <c r="G26" s="8" t="s">
        <v>84</v>
      </c>
      <c r="H26" s="8" t="s">
        <v>85</v>
      </c>
      <c r="I26" s="28">
        <v>1.5186113705439E-2</v>
      </c>
      <c r="J26" s="29">
        <v>3.0703718127862E-2</v>
      </c>
      <c r="K26" s="29">
        <v>6.1786064502903998E-2</v>
      </c>
      <c r="L26" s="29">
        <v>9.5458390150921002E-2</v>
      </c>
      <c r="M26" s="30">
        <f t="shared" si="0"/>
        <v>0.22140766011479929</v>
      </c>
      <c r="N26" s="31">
        <f t="shared" si="1"/>
        <v>1.0033105506615099E-2</v>
      </c>
      <c r="O26" s="31">
        <f t="shared" si="2"/>
        <v>2.2520827966744306E-2</v>
      </c>
      <c r="P26" s="31">
        <f t="shared" si="3"/>
        <v>4.6880841858197617E-2</v>
      </c>
      <c r="Q26" s="31">
        <f t="shared" si="4"/>
        <v>8.1200000000000008E-2</v>
      </c>
      <c r="R26" s="32">
        <v>0.16240000000000002</v>
      </c>
    </row>
    <row r="27" spans="2:26" x14ac:dyDescent="0.25">
      <c r="B27" s="5" t="s">
        <v>7</v>
      </c>
      <c r="C27" s="8" t="s">
        <v>174</v>
      </c>
      <c r="D27" s="8" t="s">
        <v>206</v>
      </c>
      <c r="E27" s="108">
        <v>36096041474.139999</v>
      </c>
      <c r="F27" s="8" t="s">
        <v>119</v>
      </c>
      <c r="G27" s="8" t="s">
        <v>129</v>
      </c>
      <c r="H27" s="8" t="s">
        <v>130</v>
      </c>
      <c r="I27" s="28">
        <v>1.4649471874307001E-2</v>
      </c>
      <c r="J27" s="29">
        <v>3.1650997227010001E-2</v>
      </c>
      <c r="K27" s="29">
        <v>5.9391278683512003E-2</v>
      </c>
      <c r="L27" s="29">
        <v>9.556466460561E-2</v>
      </c>
      <c r="M27" s="30">
        <f t="shared" si="0"/>
        <v>0.22823858684310619</v>
      </c>
      <c r="N27" s="31">
        <f t="shared" si="1"/>
        <v>1.0212268104947511E-2</v>
      </c>
      <c r="O27" s="31">
        <f t="shared" si="2"/>
        <v>2.2922985609007594E-2</v>
      </c>
      <c r="P27" s="31">
        <f t="shared" si="3"/>
        <v>4.7717999748522574E-2</v>
      </c>
      <c r="Q27" s="31">
        <f t="shared" si="4"/>
        <v>8.2650000000000001E-2</v>
      </c>
      <c r="R27" s="32">
        <v>0.1653</v>
      </c>
      <c r="V27" s="106"/>
    </row>
    <row r="28" spans="2:26" x14ac:dyDescent="0.25">
      <c r="B28" s="5" t="s">
        <v>6</v>
      </c>
      <c r="C28" s="8" t="s">
        <v>187</v>
      </c>
      <c r="D28" s="8" t="s">
        <v>206</v>
      </c>
      <c r="E28" s="108">
        <v>34004153120</v>
      </c>
      <c r="F28" s="8" t="s">
        <v>135</v>
      </c>
      <c r="G28" s="8" t="s">
        <v>148</v>
      </c>
      <c r="H28" s="8" t="s">
        <v>149</v>
      </c>
      <c r="I28" s="28">
        <v>2.3190573098407E-2</v>
      </c>
      <c r="J28" s="29">
        <v>4.7039100109761998E-2</v>
      </c>
      <c r="K28" s="29">
        <v>9.5039062396296003E-2</v>
      </c>
      <c r="L28" s="29">
        <v>0.17307392979743699</v>
      </c>
      <c r="M28" s="30">
        <f t="shared" si="0"/>
        <v>0.3392037747948613</v>
      </c>
      <c r="N28" s="31">
        <f t="shared" si="1"/>
        <v>1.8496993772663551E-2</v>
      </c>
      <c r="O28" s="31">
        <f t="shared" si="2"/>
        <v>4.15193096874584E-2</v>
      </c>
      <c r="P28" s="31">
        <f t="shared" si="3"/>
        <v>8.6429335297686982E-2</v>
      </c>
      <c r="Q28" s="31">
        <f t="shared" si="4"/>
        <v>0.1497</v>
      </c>
      <c r="R28" s="32">
        <v>0.2994</v>
      </c>
    </row>
    <row r="29" spans="2:26" x14ac:dyDescent="0.25">
      <c r="B29" s="5" t="s">
        <v>5</v>
      </c>
      <c r="C29" s="8" t="s">
        <v>186</v>
      </c>
      <c r="D29" s="8" t="s">
        <v>206</v>
      </c>
      <c r="E29" s="108">
        <v>28188230632.220001</v>
      </c>
      <c r="F29" s="8" t="s">
        <v>103</v>
      </c>
      <c r="G29" s="8" t="s">
        <v>104</v>
      </c>
      <c r="H29" s="8" t="s">
        <v>105</v>
      </c>
      <c r="I29" s="28">
        <v>3.1670226570447997E-2</v>
      </c>
      <c r="J29" s="29">
        <v>7.0725521518858997E-2</v>
      </c>
      <c r="K29" s="29">
        <v>0.15724720960306099</v>
      </c>
      <c r="L29" s="29">
        <v>0.33534116071678299</v>
      </c>
      <c r="M29" s="30">
        <f t="shared" si="0"/>
        <v>0.51000898864035571</v>
      </c>
      <c r="N29" s="31">
        <f t="shared" si="1"/>
        <v>1.7700029111115925E-2</v>
      </c>
      <c r="O29" s="31">
        <f t="shared" si="2"/>
        <v>3.973040155463204E-2</v>
      </c>
      <c r="P29" s="31">
        <f t="shared" si="3"/>
        <v>8.27054260614139E-2</v>
      </c>
      <c r="Q29" s="31">
        <f t="shared" si="4"/>
        <v>0.14325000000000002</v>
      </c>
      <c r="R29" s="32">
        <v>0.28650000000000003</v>
      </c>
    </row>
    <row r="30" spans="2:26" x14ac:dyDescent="0.25">
      <c r="B30" s="5" t="s">
        <v>4</v>
      </c>
      <c r="C30" s="8" t="s">
        <v>184</v>
      </c>
      <c r="D30" s="8" t="s">
        <v>206</v>
      </c>
      <c r="E30" s="108">
        <v>27886676741.939999</v>
      </c>
      <c r="F30" s="8" t="s">
        <v>103</v>
      </c>
      <c r="G30" s="8" t="s">
        <v>160</v>
      </c>
      <c r="H30" s="8" t="s">
        <v>185</v>
      </c>
      <c r="I30" s="28">
        <v>2.9928891315043001E-2</v>
      </c>
      <c r="J30" s="29">
        <v>6.7721953305595994E-2</v>
      </c>
      <c r="K30" s="29">
        <v>0.111581368658257</v>
      </c>
      <c r="L30" s="29">
        <v>0.20649518835272801</v>
      </c>
      <c r="M30" s="30">
        <f t="shared" si="0"/>
        <v>0.48834995023580868</v>
      </c>
      <c r="N30" s="31">
        <f t="shared" si="1"/>
        <v>2.3735955268728581E-2</v>
      </c>
      <c r="O30" s="31">
        <f t="shared" si="2"/>
        <v>5.3278953847433266E-2</v>
      </c>
      <c r="P30" s="31">
        <f t="shared" si="3"/>
        <v>0.11090898671132712</v>
      </c>
      <c r="Q30" s="31">
        <f t="shared" si="4"/>
        <v>0.19210000000000002</v>
      </c>
      <c r="R30" s="32">
        <v>0.38420000000000004</v>
      </c>
    </row>
    <row r="31" spans="2:26" x14ac:dyDescent="0.25">
      <c r="B31" s="5" t="s">
        <v>123</v>
      </c>
      <c r="C31" s="108" t="s">
        <v>124</v>
      </c>
      <c r="D31" s="8" t="s">
        <v>206</v>
      </c>
      <c r="E31" s="108">
        <v>23125801038.400002</v>
      </c>
      <c r="F31" s="8" t="s">
        <v>103</v>
      </c>
      <c r="G31" s="8" t="s">
        <v>104</v>
      </c>
      <c r="H31" s="8" t="s">
        <v>125</v>
      </c>
      <c r="I31" s="28">
        <v>2.6347702774634E-2</v>
      </c>
      <c r="J31" s="29">
        <v>5.3730686998179997E-2</v>
      </c>
      <c r="K31" s="29">
        <v>0.106877002060611</v>
      </c>
      <c r="L31" s="29">
        <v>0.20196700660105699</v>
      </c>
      <c r="M31" s="30">
        <f t="shared" si="0"/>
        <v>0.38745749407568852</v>
      </c>
      <c r="N31" s="31">
        <f t="shared" si="1"/>
        <v>1.4153845268260586E-2</v>
      </c>
      <c r="O31" s="31">
        <f t="shared" si="2"/>
        <v>3.1770453738799997E-2</v>
      </c>
      <c r="P31" s="31">
        <f t="shared" si="3"/>
        <v>6.613547333567163E-2</v>
      </c>
      <c r="Q31" s="31">
        <f t="shared" si="4"/>
        <v>0.11455</v>
      </c>
      <c r="R31" s="32">
        <v>0.2291</v>
      </c>
      <c r="T31" s="43"/>
    </row>
    <row r="32" spans="2:26" x14ac:dyDescent="0.25">
      <c r="B32" s="5" t="s">
        <v>11</v>
      </c>
      <c r="C32" s="8" t="s">
        <v>179</v>
      </c>
      <c r="D32" s="8" t="s">
        <v>206</v>
      </c>
      <c r="E32" s="108">
        <v>22374962721.32</v>
      </c>
      <c r="F32" s="8" t="s">
        <v>84</v>
      </c>
      <c r="G32" s="8" t="s">
        <v>84</v>
      </c>
      <c r="H32" s="8" t="s">
        <v>85</v>
      </c>
      <c r="I32" s="28">
        <v>1.4878280224602001E-2</v>
      </c>
      <c r="J32" s="29">
        <v>3.2943451352801002E-2</v>
      </c>
      <c r="K32" s="29">
        <v>6.1044025217695003E-2</v>
      </c>
      <c r="L32" s="29">
        <v>0.13362051081443599</v>
      </c>
      <c r="M32" s="30">
        <f t="shared" si="0"/>
        <v>0.23755860608655507</v>
      </c>
      <c r="N32" s="31">
        <f t="shared" si="1"/>
        <v>1.0193734043051055E-2</v>
      </c>
      <c r="O32" s="31">
        <f t="shared" si="2"/>
        <v>2.2881383094290702E-2</v>
      </c>
      <c r="P32" s="31">
        <f t="shared" si="3"/>
        <v>4.7631397208144133E-2</v>
      </c>
      <c r="Q32" s="31">
        <f t="shared" si="4"/>
        <v>8.2500000000000004E-2</v>
      </c>
      <c r="R32" s="32">
        <v>0.16500000000000001</v>
      </c>
    </row>
    <row r="33" spans="2:18" x14ac:dyDescent="0.25">
      <c r="B33" s="5" t="s">
        <v>82</v>
      </c>
      <c r="C33" s="108" t="s">
        <v>83</v>
      </c>
      <c r="D33" s="8" t="s">
        <v>206</v>
      </c>
      <c r="E33" s="108">
        <v>21813893666.970001</v>
      </c>
      <c r="F33" s="8" t="s">
        <v>84</v>
      </c>
      <c r="G33" s="8" t="s">
        <v>84</v>
      </c>
      <c r="H33" s="8" t="s">
        <v>85</v>
      </c>
      <c r="I33" s="28">
        <v>1.9679037452430999E-2</v>
      </c>
      <c r="J33" s="29">
        <v>4.1700991972736003E-2</v>
      </c>
      <c r="K33" s="29">
        <v>7.2466657805752996E-2</v>
      </c>
      <c r="L33" s="29">
        <v>0.123025394613986</v>
      </c>
      <c r="M33" s="30">
        <f t="shared" si="0"/>
        <v>0.30071012959082372</v>
      </c>
      <c r="N33" s="31">
        <f t="shared" si="1"/>
        <v>1.2257192934189875E-2</v>
      </c>
      <c r="O33" s="31">
        <f t="shared" si="2"/>
        <v>2.7513129732771369E-2</v>
      </c>
      <c r="P33" s="31">
        <f t="shared" si="3"/>
        <v>5.7273146703610882E-2</v>
      </c>
      <c r="Q33" s="31">
        <f t="shared" si="4"/>
        <v>9.920000000000001E-2</v>
      </c>
      <c r="R33" s="32">
        <v>0.19840000000000002</v>
      </c>
    </row>
    <row r="34" spans="2:18" x14ac:dyDescent="0.25">
      <c r="B34" s="5" t="s">
        <v>126</v>
      </c>
      <c r="C34" s="108" t="s">
        <v>127</v>
      </c>
      <c r="D34" s="8" t="s">
        <v>206</v>
      </c>
      <c r="E34" s="108">
        <v>20186071261.52</v>
      </c>
      <c r="F34" s="8" t="s">
        <v>88</v>
      </c>
      <c r="G34" s="8" t="s">
        <v>89</v>
      </c>
      <c r="H34" s="8" t="s">
        <v>108</v>
      </c>
      <c r="I34" s="28">
        <v>2.9251150032915001E-2</v>
      </c>
      <c r="J34" s="29">
        <v>6.3617656173619003E-2</v>
      </c>
      <c r="K34" s="29">
        <v>0.13950544431820799</v>
      </c>
      <c r="L34" s="29">
        <v>0.238161933979149</v>
      </c>
      <c r="M34" s="30">
        <f t="shared" si="0"/>
        <v>0.45875344271764301</v>
      </c>
      <c r="N34" s="31">
        <f t="shared" si="1"/>
        <v>2.1969041367933061E-2</v>
      </c>
      <c r="O34" s="31">
        <f t="shared" si="2"/>
        <v>4.9312847444422873E-2</v>
      </c>
      <c r="P34" s="31">
        <f t="shared" si="3"/>
        <v>0.10265287786191547</v>
      </c>
      <c r="Q34" s="31">
        <f t="shared" si="4"/>
        <v>0.17780000000000001</v>
      </c>
      <c r="R34" s="32">
        <v>0.35560000000000003</v>
      </c>
    </row>
    <row r="35" spans="2:18" x14ac:dyDescent="0.25">
      <c r="B35" s="5" t="s">
        <v>106</v>
      </c>
      <c r="C35" s="108" t="s">
        <v>107</v>
      </c>
      <c r="D35" s="8" t="s">
        <v>206</v>
      </c>
      <c r="E35" s="108">
        <v>19758600382.5</v>
      </c>
      <c r="F35" s="8" t="s">
        <v>88</v>
      </c>
      <c r="G35" s="8" t="s">
        <v>89</v>
      </c>
      <c r="H35" s="8" t="s">
        <v>108</v>
      </c>
      <c r="I35" s="28">
        <v>2.8966017375934999E-2</v>
      </c>
      <c r="J35" s="29">
        <v>6.4225189655628998E-2</v>
      </c>
      <c r="K35" s="29">
        <v>0.12210749915362</v>
      </c>
      <c r="L35" s="29">
        <v>0.19364160277628401</v>
      </c>
      <c r="M35" s="30">
        <f t="shared" si="0"/>
        <v>0.46313442895953949</v>
      </c>
      <c r="N35" s="31">
        <f t="shared" si="1"/>
        <v>2.0875531716042131E-2</v>
      </c>
      <c r="O35" s="31">
        <f t="shared" si="2"/>
        <v>4.6858299076126236E-2</v>
      </c>
      <c r="P35" s="31">
        <f t="shared" si="3"/>
        <v>9.7543327979587285E-2</v>
      </c>
      <c r="Q35" s="31">
        <f t="shared" si="4"/>
        <v>0.16895000000000002</v>
      </c>
      <c r="R35" s="32">
        <v>0.33790000000000003</v>
      </c>
    </row>
    <row r="36" spans="2:18" x14ac:dyDescent="0.25">
      <c r="B36" s="5" t="s">
        <v>113</v>
      </c>
      <c r="C36" s="108" t="s">
        <v>114</v>
      </c>
      <c r="D36" s="8" t="s">
        <v>206</v>
      </c>
      <c r="E36" s="108">
        <v>19084670392.369999</v>
      </c>
      <c r="F36" s="8" t="s">
        <v>93</v>
      </c>
      <c r="G36" s="8" t="s">
        <v>115</v>
      </c>
      <c r="H36" s="8" t="s">
        <v>116</v>
      </c>
      <c r="I36" s="28">
        <v>2.4650002001503999E-2</v>
      </c>
      <c r="J36" s="29">
        <v>5.3526823796747003E-2</v>
      </c>
      <c r="K36" s="29">
        <v>0.101590585894848</v>
      </c>
      <c r="L36" s="29">
        <v>0.17665265902711699</v>
      </c>
      <c r="M36" s="30">
        <f t="shared" ref="M36:M56" si="5">J36*SQRT(52)</f>
        <v>0.38598741562379474</v>
      </c>
      <c r="N36" s="31">
        <f t="shared" ref="N36:N56" si="6">R36/SQRT(262)</f>
        <v>1.9862336332369175E-2</v>
      </c>
      <c r="O36" s="31">
        <f t="shared" ref="O36:O56" si="7">R36/SQRT(52)</f>
        <v>4.4584028271602794E-2</v>
      </c>
      <c r="P36" s="31">
        <f t="shared" ref="P36:P56" si="8">R36/SQRT(12)</f>
        <v>9.2809055772232349E-2</v>
      </c>
      <c r="Q36" s="31">
        <f t="shared" ref="Q36:Q56" si="9">R36/SQRT(4)</f>
        <v>0.16075</v>
      </c>
      <c r="R36" s="32">
        <v>0.32150000000000001</v>
      </c>
    </row>
    <row r="37" spans="2:18" x14ac:dyDescent="0.25">
      <c r="B37" s="5" t="s">
        <v>63</v>
      </c>
      <c r="C37" s="8" t="s">
        <v>193</v>
      </c>
      <c r="D37" s="8" t="s">
        <v>207</v>
      </c>
      <c r="E37" s="108">
        <v>16258354902.4</v>
      </c>
      <c r="F37" s="8" t="s">
        <v>135</v>
      </c>
      <c r="G37" s="8" t="s">
        <v>148</v>
      </c>
      <c r="H37" s="8" t="s">
        <v>194</v>
      </c>
      <c r="I37" s="28">
        <v>4.1985022023177998E-2</v>
      </c>
      <c r="J37" s="29">
        <v>7.9330781846184001E-2</v>
      </c>
      <c r="K37" s="29">
        <v>0.15999797333943999</v>
      </c>
      <c r="L37" s="29">
        <v>0.25311341932767401</v>
      </c>
      <c r="M37" s="30">
        <f t="shared" si="5"/>
        <v>0.57206240333812841</v>
      </c>
      <c r="N37" s="31">
        <f t="shared" si="6"/>
        <v>2.0962024004892259E-2</v>
      </c>
      <c r="O37" s="31">
        <f t="shared" si="7"/>
        <v>4.7052444144805063E-2</v>
      </c>
      <c r="P37" s="31">
        <f t="shared" si="8"/>
        <v>9.7947473168020008E-2</v>
      </c>
      <c r="Q37" s="31">
        <f t="shared" si="9"/>
        <v>0.16965</v>
      </c>
      <c r="R37" s="32">
        <v>0.33929999999999999</v>
      </c>
    </row>
    <row r="38" spans="2:18" x14ac:dyDescent="0.25">
      <c r="B38" s="5" t="s">
        <v>64</v>
      </c>
      <c r="C38" s="8" t="s">
        <v>196</v>
      </c>
      <c r="D38" s="8" t="s">
        <v>207</v>
      </c>
      <c r="E38" s="108">
        <v>13079815547.4</v>
      </c>
      <c r="F38" s="8" t="s">
        <v>111</v>
      </c>
      <c r="G38" s="8" t="s">
        <v>111</v>
      </c>
      <c r="H38" s="8" t="s">
        <v>197</v>
      </c>
      <c r="I38" s="28">
        <v>3.0189903343880001E-2</v>
      </c>
      <c r="J38" s="29">
        <v>6.4134762268576007E-2</v>
      </c>
      <c r="K38" s="29">
        <v>0.12549921653531601</v>
      </c>
      <c r="L38" s="29">
        <v>0.233565960513239</v>
      </c>
      <c r="M38" s="30">
        <f t="shared" si="5"/>
        <v>0.46248234779808789</v>
      </c>
      <c r="N38" s="31">
        <f t="shared" si="6"/>
        <v>2.5632607602799291E-2</v>
      </c>
      <c r="O38" s="31">
        <f t="shared" si="7"/>
        <v>5.7536277853461902E-2</v>
      </c>
      <c r="P38" s="31">
        <f t="shared" si="8"/>
        <v>0.11977131334338789</v>
      </c>
      <c r="Q38" s="31">
        <f t="shared" si="9"/>
        <v>0.20745000000000002</v>
      </c>
      <c r="R38" s="32">
        <v>0.41490000000000005</v>
      </c>
    </row>
    <row r="39" spans="2:18" x14ac:dyDescent="0.25">
      <c r="B39" s="5" t="s">
        <v>20</v>
      </c>
      <c r="C39" s="8" t="s">
        <v>195</v>
      </c>
      <c r="D39" s="8" t="s">
        <v>207</v>
      </c>
      <c r="E39" s="108">
        <v>11432371227</v>
      </c>
      <c r="F39" s="8" t="s">
        <v>135</v>
      </c>
      <c r="G39" s="8" t="s">
        <v>136</v>
      </c>
      <c r="H39" s="8" t="s">
        <v>137</v>
      </c>
      <c r="I39" s="28">
        <v>3.4229407091061002E-2</v>
      </c>
      <c r="J39" s="29">
        <v>7.5131204716258004E-2</v>
      </c>
      <c r="K39" s="29">
        <v>0.14725052615200801</v>
      </c>
      <c r="L39" s="29">
        <v>0.27896647733038299</v>
      </c>
      <c r="M39" s="30">
        <f t="shared" si="5"/>
        <v>0.5417788219837002</v>
      </c>
      <c r="N39" s="31">
        <f t="shared" si="6"/>
        <v>2.0158881322712482E-2</v>
      </c>
      <c r="O39" s="31">
        <f t="shared" si="7"/>
        <v>4.5249668507073071E-2</v>
      </c>
      <c r="P39" s="31">
        <f t="shared" si="8"/>
        <v>9.4194696418287455E-2</v>
      </c>
      <c r="Q39" s="31">
        <f t="shared" si="9"/>
        <v>0.16315000000000002</v>
      </c>
      <c r="R39" s="32">
        <v>0.32630000000000003</v>
      </c>
    </row>
    <row r="40" spans="2:18" x14ac:dyDescent="0.25">
      <c r="B40" s="5" t="s">
        <v>18</v>
      </c>
      <c r="C40" s="8" t="s">
        <v>190</v>
      </c>
      <c r="D40" s="8" t="s">
        <v>207</v>
      </c>
      <c r="E40" s="108">
        <v>11355796056.15</v>
      </c>
      <c r="F40" s="8" t="s">
        <v>98</v>
      </c>
      <c r="G40" s="8" t="s">
        <v>157</v>
      </c>
      <c r="H40" s="8" t="s">
        <v>158</v>
      </c>
      <c r="I40" s="28">
        <v>2.9317550102807E-2</v>
      </c>
      <c r="J40" s="29">
        <v>6.0500574441376999E-2</v>
      </c>
      <c r="K40" s="29">
        <v>0.120133345358217</v>
      </c>
      <c r="L40" s="29">
        <v>0.21722415463636499</v>
      </c>
      <c r="M40" s="30">
        <f t="shared" si="5"/>
        <v>0.43627584668682173</v>
      </c>
      <c r="N40" s="31">
        <f t="shared" si="6"/>
        <v>1.9769666022886895E-2</v>
      </c>
      <c r="O40" s="31">
        <f t="shared" si="7"/>
        <v>4.4376015698018335E-2</v>
      </c>
      <c r="P40" s="31">
        <f t="shared" si="8"/>
        <v>9.2376043070340128E-2</v>
      </c>
      <c r="Q40" s="31">
        <f t="shared" si="9"/>
        <v>0.16</v>
      </c>
      <c r="R40" s="32">
        <v>0.32</v>
      </c>
    </row>
    <row r="41" spans="2:18" x14ac:dyDescent="0.25">
      <c r="B41" s="5" t="s">
        <v>17</v>
      </c>
      <c r="C41" s="8" t="s">
        <v>189</v>
      </c>
      <c r="D41" s="8" t="s">
        <v>207</v>
      </c>
      <c r="E41" s="108">
        <v>10447709046.48</v>
      </c>
      <c r="F41" s="8" t="s">
        <v>88</v>
      </c>
      <c r="G41" s="8" t="s">
        <v>89</v>
      </c>
      <c r="H41" s="8" t="s">
        <v>108</v>
      </c>
      <c r="I41" s="28">
        <v>4.2211271372130002E-2</v>
      </c>
      <c r="J41" s="29">
        <v>8.9469298934782004E-2</v>
      </c>
      <c r="K41" s="29">
        <v>0.19359374598809301</v>
      </c>
      <c r="L41" s="29">
        <v>0.31702896404764602</v>
      </c>
      <c r="M41" s="30">
        <f t="shared" si="5"/>
        <v>0.6451722897783444</v>
      </c>
      <c r="N41" s="31">
        <f t="shared" si="6"/>
        <v>1.7891547750712639E-2</v>
      </c>
      <c r="O41" s="31">
        <f t="shared" si="7"/>
        <v>4.0160294206706595E-2</v>
      </c>
      <c r="P41" s="31">
        <f t="shared" si="8"/>
        <v>8.3600318978657828E-2</v>
      </c>
      <c r="Q41" s="31">
        <f t="shared" si="9"/>
        <v>0.14480000000000001</v>
      </c>
      <c r="R41" s="32">
        <v>0.28960000000000002</v>
      </c>
    </row>
    <row r="42" spans="2:18" x14ac:dyDescent="0.25">
      <c r="B42" s="5" t="s">
        <v>19</v>
      </c>
      <c r="C42" s="8" t="s">
        <v>191</v>
      </c>
      <c r="D42" s="8" t="s">
        <v>207</v>
      </c>
      <c r="E42" s="108">
        <v>10354232249.549999</v>
      </c>
      <c r="F42" s="8" t="s">
        <v>88</v>
      </c>
      <c r="G42" s="8" t="s">
        <v>192</v>
      </c>
      <c r="H42" s="8" t="s">
        <v>192</v>
      </c>
      <c r="I42" s="28">
        <v>4.2710954729574001E-2</v>
      </c>
      <c r="J42" s="29">
        <v>9.8534401983842002E-2</v>
      </c>
      <c r="K42" s="29">
        <v>0.218807887362687</v>
      </c>
      <c r="L42" s="29">
        <v>0.47106653370815299</v>
      </c>
      <c r="M42" s="30">
        <f t="shared" si="5"/>
        <v>0.71054167749984587</v>
      </c>
      <c r="N42" s="31">
        <f t="shared" si="6"/>
        <v>2.001060882754083E-2</v>
      </c>
      <c r="O42" s="31">
        <f t="shared" si="7"/>
        <v>4.4916848389337932E-2</v>
      </c>
      <c r="P42" s="31">
        <f t="shared" si="8"/>
        <v>9.3501876095259909E-2</v>
      </c>
      <c r="Q42" s="31">
        <f t="shared" si="9"/>
        <v>0.16195000000000001</v>
      </c>
      <c r="R42" s="32">
        <v>0.32390000000000002</v>
      </c>
    </row>
    <row r="43" spans="2:18" x14ac:dyDescent="0.25">
      <c r="B43" s="5" t="s">
        <v>150</v>
      </c>
      <c r="C43" s="108" t="s">
        <v>151</v>
      </c>
      <c r="D43" s="8" t="s">
        <v>207</v>
      </c>
      <c r="E43" s="108">
        <v>9816639876.6399994</v>
      </c>
      <c r="F43" s="8" t="s">
        <v>152</v>
      </c>
      <c r="G43" s="8" t="s">
        <v>153</v>
      </c>
      <c r="H43" s="8" t="s">
        <v>153</v>
      </c>
      <c r="I43" s="28">
        <v>2.0769811005282999E-2</v>
      </c>
      <c r="J43" s="29">
        <v>4.2397006659326997E-2</v>
      </c>
      <c r="K43" s="29">
        <v>7.7319470998282999E-2</v>
      </c>
      <c r="L43" s="29">
        <v>0.12886941046492301</v>
      </c>
      <c r="M43" s="30">
        <f t="shared" si="5"/>
        <v>0.3057291628727834</v>
      </c>
      <c r="N43" s="31">
        <f t="shared" si="6"/>
        <v>1.2652586254647612E-2</v>
      </c>
      <c r="O43" s="31">
        <f t="shared" si="7"/>
        <v>2.8400650046731733E-2</v>
      </c>
      <c r="P43" s="31">
        <f t="shared" si="8"/>
        <v>5.9120667565017687E-2</v>
      </c>
      <c r="Q43" s="31">
        <f t="shared" si="9"/>
        <v>0.1024</v>
      </c>
      <c r="R43" s="32">
        <v>0.20480000000000001</v>
      </c>
    </row>
    <row r="44" spans="2:18" x14ac:dyDescent="0.25">
      <c r="B44" s="5" t="s">
        <v>138</v>
      </c>
      <c r="C44" s="108" t="s">
        <v>139</v>
      </c>
      <c r="D44" s="8" t="s">
        <v>207</v>
      </c>
      <c r="E44" s="108">
        <v>9813775713.2800007</v>
      </c>
      <c r="F44" s="8" t="s">
        <v>135</v>
      </c>
      <c r="G44" s="8" t="s">
        <v>136</v>
      </c>
      <c r="H44" s="8" t="s">
        <v>140</v>
      </c>
      <c r="I44" s="28">
        <v>2.8686459045361001E-2</v>
      </c>
      <c r="J44" s="29">
        <v>6.2385232439269002E-2</v>
      </c>
      <c r="K44" s="29">
        <v>0.127086700310724</v>
      </c>
      <c r="L44" s="29">
        <v>0.226046556676544</v>
      </c>
      <c r="M44" s="30">
        <f t="shared" si="5"/>
        <v>0.44986630878304756</v>
      </c>
      <c r="N44" s="31">
        <f t="shared" si="6"/>
        <v>2.2086423759943952E-2</v>
      </c>
      <c r="O44" s="31">
        <f t="shared" si="7"/>
        <v>4.9576330037629859E-2</v>
      </c>
      <c r="P44" s="31">
        <f t="shared" si="8"/>
        <v>0.10320136061764562</v>
      </c>
      <c r="Q44" s="31">
        <f t="shared" si="9"/>
        <v>0.17875000000000002</v>
      </c>
      <c r="R44" s="32">
        <v>0.35750000000000004</v>
      </c>
    </row>
    <row r="45" spans="2:18" x14ac:dyDescent="0.25">
      <c r="B45" s="5" t="s">
        <v>66</v>
      </c>
      <c r="C45" s="8" t="s">
        <v>199</v>
      </c>
      <c r="D45" s="8" t="s">
        <v>207</v>
      </c>
      <c r="E45" s="108">
        <v>8690373850.9500008</v>
      </c>
      <c r="F45" s="8" t="s">
        <v>103</v>
      </c>
      <c r="G45" s="8" t="s">
        <v>104</v>
      </c>
      <c r="H45" s="8" t="s">
        <v>105</v>
      </c>
      <c r="I45" s="28">
        <v>2.6234751055459998E-2</v>
      </c>
      <c r="J45" s="29">
        <v>5.9445877819296999E-2</v>
      </c>
      <c r="K45" s="29">
        <v>0.111634883334707</v>
      </c>
      <c r="L45" s="29">
        <v>0.21841814707417101</v>
      </c>
      <c r="M45" s="30">
        <f t="shared" si="5"/>
        <v>0.42867032118488552</v>
      </c>
      <c r="N45" s="31">
        <f t="shared" si="6"/>
        <v>2.2043177615518886E-2</v>
      </c>
      <c r="O45" s="31">
        <f t="shared" si="7"/>
        <v>4.9479257503290443E-2</v>
      </c>
      <c r="P45" s="31">
        <f t="shared" si="8"/>
        <v>0.10299928802342924</v>
      </c>
      <c r="Q45" s="31">
        <f t="shared" si="9"/>
        <v>0.1784</v>
      </c>
      <c r="R45" s="32">
        <v>0.35680000000000001</v>
      </c>
    </row>
    <row r="46" spans="2:18" x14ac:dyDescent="0.25">
      <c r="B46" s="5" t="s">
        <v>21</v>
      </c>
      <c r="C46" s="8" t="s">
        <v>200</v>
      </c>
      <c r="D46" s="8" t="s">
        <v>207</v>
      </c>
      <c r="E46" s="108">
        <v>7753938744.5100002</v>
      </c>
      <c r="F46" s="8" t="s">
        <v>103</v>
      </c>
      <c r="G46" s="8" t="s">
        <v>160</v>
      </c>
      <c r="H46" s="8" t="s">
        <v>185</v>
      </c>
      <c r="I46" s="28">
        <v>3.4306506627059002E-2</v>
      </c>
      <c r="J46" s="29">
        <v>7.1726612392831998E-2</v>
      </c>
      <c r="K46" s="29">
        <v>0.145193886435077</v>
      </c>
      <c r="L46" s="29">
        <v>0.28421142180053799</v>
      </c>
      <c r="M46" s="30">
        <f t="shared" si="5"/>
        <v>0.51722795759537321</v>
      </c>
      <c r="N46" s="31">
        <f t="shared" si="6"/>
        <v>2.113500858259252E-2</v>
      </c>
      <c r="O46" s="31">
        <f t="shared" si="7"/>
        <v>4.7440734282162722E-2</v>
      </c>
      <c r="P46" s="31">
        <f t="shared" si="8"/>
        <v>9.8755763544885494E-2</v>
      </c>
      <c r="Q46" s="31">
        <f t="shared" si="9"/>
        <v>0.17105000000000001</v>
      </c>
      <c r="R46" s="32">
        <v>0.34210000000000002</v>
      </c>
    </row>
    <row r="47" spans="2:18" x14ac:dyDescent="0.25">
      <c r="B47" s="5" t="s">
        <v>133</v>
      </c>
      <c r="C47" s="108" t="s">
        <v>134</v>
      </c>
      <c r="D47" s="8" t="s">
        <v>207</v>
      </c>
      <c r="E47" s="108">
        <v>7466308053.6000004</v>
      </c>
      <c r="F47" s="8" t="s">
        <v>135</v>
      </c>
      <c r="G47" s="8" t="s">
        <v>136</v>
      </c>
      <c r="H47" s="8" t="s">
        <v>137</v>
      </c>
      <c r="I47" s="28">
        <v>2.5613584610650001E-2</v>
      </c>
      <c r="J47" s="29">
        <v>5.5793350831120997E-2</v>
      </c>
      <c r="K47" s="29">
        <v>0.10509064633128599</v>
      </c>
      <c r="L47" s="29">
        <v>0.209638060603831</v>
      </c>
      <c r="M47" s="30">
        <f t="shared" si="5"/>
        <v>0.40233157450311624</v>
      </c>
      <c r="N47" s="31">
        <f t="shared" si="6"/>
        <v>2.5082763766537747E-2</v>
      </c>
      <c r="O47" s="31">
        <f t="shared" si="7"/>
        <v>5.6302069916860764E-2</v>
      </c>
      <c r="P47" s="31">
        <f t="shared" si="8"/>
        <v>0.11720210464549405</v>
      </c>
      <c r="Q47" s="31">
        <f t="shared" si="9"/>
        <v>0.20300000000000001</v>
      </c>
      <c r="R47" s="32">
        <v>0.40600000000000003</v>
      </c>
    </row>
    <row r="48" spans="2:18" x14ac:dyDescent="0.25">
      <c r="B48" s="5" t="s">
        <v>62</v>
      </c>
      <c r="C48" s="8" t="s">
        <v>128</v>
      </c>
      <c r="D48" s="8" t="s">
        <v>207</v>
      </c>
      <c r="E48" s="108">
        <v>7261695124.9700003</v>
      </c>
      <c r="F48" s="8" t="s">
        <v>119</v>
      </c>
      <c r="G48" s="8" t="s">
        <v>129</v>
      </c>
      <c r="H48" s="8" t="s">
        <v>130</v>
      </c>
      <c r="I48" s="28">
        <v>3.1581929609897003E-2</v>
      </c>
      <c r="J48" s="29">
        <v>6.4893198582653994E-2</v>
      </c>
      <c r="K48" s="29">
        <v>0.115069676702916</v>
      </c>
      <c r="L48" s="29">
        <v>0.238858275892118</v>
      </c>
      <c r="M48" s="30">
        <f t="shared" si="5"/>
        <v>0.46795150983725209</v>
      </c>
      <c r="N48" s="31">
        <f t="shared" si="6"/>
        <v>2.6627268924575783E-2</v>
      </c>
      <c r="O48" s="31">
        <f t="shared" si="7"/>
        <v>5.9768946143268442E-2</v>
      </c>
      <c r="P48" s="31">
        <f t="shared" si="8"/>
        <v>0.12441898301036436</v>
      </c>
      <c r="Q48" s="31">
        <f t="shared" si="9"/>
        <v>0.2155</v>
      </c>
      <c r="R48" s="32">
        <v>0.43099999999999999</v>
      </c>
    </row>
    <row r="49" spans="2:18" x14ac:dyDescent="0.25">
      <c r="B49" s="5" t="s">
        <v>68</v>
      </c>
      <c r="C49" s="8" t="s">
        <v>204</v>
      </c>
      <c r="D49" s="8" t="s">
        <v>207</v>
      </c>
      <c r="E49" s="108">
        <v>5838784177.8400002</v>
      </c>
      <c r="F49" s="8" t="s">
        <v>135</v>
      </c>
      <c r="G49" s="8" t="s">
        <v>148</v>
      </c>
      <c r="H49" s="8" t="s">
        <v>149</v>
      </c>
      <c r="I49" s="28">
        <v>3.0921306811370002E-2</v>
      </c>
      <c r="J49" s="29">
        <v>6.9246933638399996E-2</v>
      </c>
      <c r="K49" s="29">
        <v>0.120556896414762</v>
      </c>
      <c r="L49" s="29">
        <v>0.23258148931074499</v>
      </c>
      <c r="M49" s="30">
        <f t="shared" si="5"/>
        <v>0.49934673980380662</v>
      </c>
      <c r="N49" s="31">
        <f t="shared" si="6"/>
        <v>2.6392504140554003E-2</v>
      </c>
      <c r="O49" s="31">
        <f t="shared" si="7"/>
        <v>5.9241980956854477E-2</v>
      </c>
      <c r="P49" s="31">
        <f t="shared" si="8"/>
        <v>0.12332201749890408</v>
      </c>
      <c r="Q49" s="31">
        <f t="shared" si="9"/>
        <v>0.21360000000000001</v>
      </c>
      <c r="R49" s="32">
        <v>0.42720000000000002</v>
      </c>
    </row>
    <row r="50" spans="2:18" x14ac:dyDescent="0.25">
      <c r="B50" s="5" t="s">
        <v>65</v>
      </c>
      <c r="C50" s="8" t="s">
        <v>198</v>
      </c>
      <c r="D50" s="8" t="s">
        <v>207</v>
      </c>
      <c r="E50" s="108">
        <v>5578580947.5500002</v>
      </c>
      <c r="F50" s="8" t="s">
        <v>103</v>
      </c>
      <c r="G50" s="8" t="s">
        <v>104</v>
      </c>
      <c r="H50" s="8" t="s">
        <v>125</v>
      </c>
      <c r="I50" s="28">
        <v>2.6628631655822001E-2</v>
      </c>
      <c r="J50" s="29">
        <v>5.7037986918319003E-2</v>
      </c>
      <c r="K50" s="29">
        <v>0.123968265172942</v>
      </c>
      <c r="L50" s="29">
        <v>0.29554137019743798</v>
      </c>
      <c r="M50" s="30">
        <f t="shared" si="5"/>
        <v>0.41130677296648682</v>
      </c>
      <c r="N50" s="31">
        <f t="shared" si="6"/>
        <v>2.376684537188934E-2</v>
      </c>
      <c r="O50" s="31">
        <f t="shared" si="7"/>
        <v>5.3348291371961419E-2</v>
      </c>
      <c r="P50" s="31">
        <f t="shared" si="8"/>
        <v>0.11105332427862454</v>
      </c>
      <c r="Q50" s="31">
        <f t="shared" si="9"/>
        <v>0.19235000000000002</v>
      </c>
      <c r="R50" s="32">
        <v>0.38470000000000004</v>
      </c>
    </row>
    <row r="51" spans="2:18" x14ac:dyDescent="0.25">
      <c r="B51" s="5" t="s">
        <v>67</v>
      </c>
      <c r="C51" s="8" t="s">
        <v>201</v>
      </c>
      <c r="D51" s="8" t="s">
        <v>207</v>
      </c>
      <c r="E51" s="108">
        <v>5530067540.5</v>
      </c>
      <c r="F51" s="8" t="s">
        <v>152</v>
      </c>
      <c r="G51" s="8" t="s">
        <v>202</v>
      </c>
      <c r="H51" s="8" t="s">
        <v>203</v>
      </c>
      <c r="I51" s="28">
        <v>2.3606802023591E-2</v>
      </c>
      <c r="J51" s="29">
        <v>5.5223329556492E-2</v>
      </c>
      <c r="K51" s="29">
        <v>0.108190082062145</v>
      </c>
      <c r="L51" s="29">
        <v>0.222766066799088</v>
      </c>
      <c r="M51" s="30">
        <f t="shared" si="5"/>
        <v>0.39822109263555588</v>
      </c>
      <c r="N51" s="31">
        <f t="shared" si="6"/>
        <v>2.1240034933339105E-2</v>
      </c>
      <c r="O51" s="31">
        <f t="shared" si="7"/>
        <v>4.7676481865558444E-2</v>
      </c>
      <c r="P51" s="31">
        <f t="shared" si="8"/>
        <v>9.9246511273696672E-2</v>
      </c>
      <c r="Q51" s="31">
        <f t="shared" si="9"/>
        <v>0.1719</v>
      </c>
      <c r="R51" s="32">
        <v>0.34379999999999999</v>
      </c>
    </row>
    <row r="52" spans="2:18" x14ac:dyDescent="0.25">
      <c r="B52" s="5" t="s">
        <v>131</v>
      </c>
      <c r="C52" s="108" t="s">
        <v>132</v>
      </c>
      <c r="D52" s="8" t="s">
        <v>207</v>
      </c>
      <c r="E52" s="108">
        <v>5043119702.3999996</v>
      </c>
      <c r="F52" s="8" t="s">
        <v>88</v>
      </c>
      <c r="G52" s="8" t="s">
        <v>89</v>
      </c>
      <c r="H52" s="8" t="s">
        <v>108</v>
      </c>
      <c r="I52" s="28">
        <v>3.4317392806760001E-2</v>
      </c>
      <c r="J52" s="29">
        <v>7.4675648854969995E-2</v>
      </c>
      <c r="K52" s="29">
        <v>0.15439287546320499</v>
      </c>
      <c r="L52" s="29">
        <v>0.25537038778057702</v>
      </c>
      <c r="M52" s="30">
        <f t="shared" si="5"/>
        <v>0.5384937619502761</v>
      </c>
      <c r="N52" s="31">
        <f t="shared" si="6"/>
        <v>2.6967060059344152E-2</v>
      </c>
      <c r="O52" s="31">
        <f t="shared" si="7"/>
        <v>6.0531658913078129E-2</v>
      </c>
      <c r="P52" s="31">
        <f t="shared" si="8"/>
        <v>0.12600669625063582</v>
      </c>
      <c r="Q52" s="31">
        <f t="shared" si="9"/>
        <v>0.21825</v>
      </c>
      <c r="R52" s="32">
        <v>0.4365</v>
      </c>
    </row>
    <row r="53" spans="2:18" x14ac:dyDescent="0.25">
      <c r="B53" s="5" t="s">
        <v>141</v>
      </c>
      <c r="C53" s="108" t="s">
        <v>142</v>
      </c>
      <c r="D53" s="8" t="s">
        <v>207</v>
      </c>
      <c r="E53" s="108">
        <v>4795115881.71</v>
      </c>
      <c r="F53" s="8" t="s">
        <v>88</v>
      </c>
      <c r="G53" s="8" t="s">
        <v>89</v>
      </c>
      <c r="H53" s="8" t="s">
        <v>90</v>
      </c>
      <c r="I53" s="28">
        <v>3.4158329321820002E-2</v>
      </c>
      <c r="J53" s="29">
        <v>7.1570180722332996E-2</v>
      </c>
      <c r="K53" s="29">
        <v>0.15396242463972101</v>
      </c>
      <c r="L53" s="29">
        <v>0.31968129064530199</v>
      </c>
      <c r="M53" s="30">
        <f t="shared" si="5"/>
        <v>0.51609991277719192</v>
      </c>
      <c r="N53" s="31">
        <f t="shared" si="6"/>
        <v>2.5453445004466876E-2</v>
      </c>
      <c r="O53" s="31">
        <f t="shared" si="7"/>
        <v>5.7134120211198604E-2</v>
      </c>
      <c r="P53" s="31">
        <f t="shared" si="8"/>
        <v>0.11893415545306292</v>
      </c>
      <c r="Q53" s="31">
        <f t="shared" si="9"/>
        <v>0.20600000000000002</v>
      </c>
      <c r="R53" s="32">
        <v>0.41200000000000003</v>
      </c>
    </row>
    <row r="54" spans="2:18" x14ac:dyDescent="0.25">
      <c r="B54" s="5" t="s">
        <v>61</v>
      </c>
      <c r="C54" s="8" t="s">
        <v>188</v>
      </c>
      <c r="D54" s="8" t="s">
        <v>207</v>
      </c>
      <c r="E54" s="108">
        <v>4368341502.1999998</v>
      </c>
      <c r="F54" s="8" t="s">
        <v>103</v>
      </c>
      <c r="G54" s="8" t="s">
        <v>181</v>
      </c>
      <c r="H54" s="8" t="s">
        <v>182</v>
      </c>
      <c r="I54" s="28">
        <v>2.5916998139358001E-2</v>
      </c>
      <c r="J54" s="29">
        <v>6.1009393057318999E-2</v>
      </c>
      <c r="K54" s="29">
        <v>0.11511225933276301</v>
      </c>
      <c r="L54" s="29">
        <v>0.190806600958705</v>
      </c>
      <c r="M54" s="30">
        <f t="shared" si="5"/>
        <v>0.43994498990620073</v>
      </c>
      <c r="N54" s="31">
        <f t="shared" si="6"/>
        <v>2.4118992547922012E-2</v>
      </c>
      <c r="O54" s="31">
        <f t="shared" si="7"/>
        <v>5.413873915158237E-2</v>
      </c>
      <c r="P54" s="31">
        <f t="shared" si="8"/>
        <v>0.11269877254581497</v>
      </c>
      <c r="Q54" s="31">
        <f t="shared" si="9"/>
        <v>0.19520000000000001</v>
      </c>
      <c r="R54" s="32">
        <v>0.39040000000000002</v>
      </c>
    </row>
    <row r="55" spans="2:18" x14ac:dyDescent="0.25">
      <c r="B55" s="5" t="s">
        <v>143</v>
      </c>
      <c r="C55" s="108" t="s">
        <v>144</v>
      </c>
      <c r="D55" s="8" t="s">
        <v>207</v>
      </c>
      <c r="E55" s="108">
        <v>4132888077.2800002</v>
      </c>
      <c r="F55" s="8" t="s">
        <v>84</v>
      </c>
      <c r="G55" s="8" t="s">
        <v>84</v>
      </c>
      <c r="H55" s="8" t="s">
        <v>145</v>
      </c>
      <c r="I55" s="28">
        <v>1.6210946448154E-2</v>
      </c>
      <c r="J55" s="29">
        <v>3.1787478686427E-2</v>
      </c>
      <c r="K55" s="29">
        <v>5.4773863632014003E-2</v>
      </c>
      <c r="L55" s="29">
        <v>8.7828049734729005E-2</v>
      </c>
      <c r="M55" s="30">
        <f t="shared" si="5"/>
        <v>0.22922276864326246</v>
      </c>
      <c r="N55" s="31">
        <f t="shared" si="6"/>
        <v>1.6952488614625512E-2</v>
      </c>
      <c r="O55" s="31">
        <f t="shared" si="7"/>
        <v>3.8052433461050722E-2</v>
      </c>
      <c r="P55" s="31">
        <f t="shared" si="8"/>
        <v>7.9212456932816672E-2</v>
      </c>
      <c r="Q55" s="31">
        <f t="shared" si="9"/>
        <v>0.13720000000000002</v>
      </c>
      <c r="R55" s="32">
        <v>0.27440000000000003</v>
      </c>
    </row>
    <row r="56" spans="2:18" ht="15.75" thickBot="1" x14ac:dyDescent="0.3">
      <c r="B56" s="9" t="s">
        <v>146</v>
      </c>
      <c r="C56" s="109" t="s">
        <v>147</v>
      </c>
      <c r="D56" s="10" t="s">
        <v>207</v>
      </c>
      <c r="E56" s="109">
        <v>3675256350.5300002</v>
      </c>
      <c r="F56" s="10" t="s">
        <v>135</v>
      </c>
      <c r="G56" s="10" t="s">
        <v>148</v>
      </c>
      <c r="H56" s="10" t="s">
        <v>149</v>
      </c>
      <c r="I56" s="33">
        <v>2.9295432548736001E-2</v>
      </c>
      <c r="J56" s="34">
        <v>6.2136405861615999E-2</v>
      </c>
      <c r="K56" s="34">
        <v>0.11523416255814301</v>
      </c>
      <c r="L56" s="34">
        <v>0.221228682308199</v>
      </c>
      <c r="M56" s="35">
        <f t="shared" si="5"/>
        <v>0.4480719948141953</v>
      </c>
      <c r="N56" s="36">
        <f t="shared" si="6"/>
        <v>2.3970720052750361E-2</v>
      </c>
      <c r="O56" s="36">
        <f t="shared" si="7"/>
        <v>5.3805919033847231E-2</v>
      </c>
      <c r="P56" s="36">
        <f t="shared" si="8"/>
        <v>0.11200595222278741</v>
      </c>
      <c r="Q56" s="36">
        <f t="shared" si="9"/>
        <v>0.19400000000000001</v>
      </c>
      <c r="R56" s="37">
        <v>0.38800000000000001</v>
      </c>
    </row>
    <row r="57" spans="2:18" x14ac:dyDescent="0.25">
      <c r="C57" s="104"/>
    </row>
    <row r="58" spans="2:18" x14ac:dyDescent="0.25">
      <c r="D58" s="188" t="s">
        <v>273</v>
      </c>
    </row>
    <row r="59" spans="2:18" x14ac:dyDescent="0.25">
      <c r="D59" s="2" t="s">
        <v>266</v>
      </c>
      <c r="E59" s="2"/>
      <c r="F59" s="2" t="s">
        <v>268</v>
      </c>
      <c r="G59" s="2" t="s">
        <v>267</v>
      </c>
    </row>
    <row r="60" spans="2:18" x14ac:dyDescent="0.25">
      <c r="D60" s="185" t="s">
        <v>28</v>
      </c>
      <c r="E60" s="185"/>
      <c r="F60" s="185" t="s">
        <v>3</v>
      </c>
      <c r="G60" s="43" t="s">
        <v>3</v>
      </c>
    </row>
    <row r="61" spans="2:18" x14ac:dyDescent="0.25">
      <c r="D61" s="185" t="s">
        <v>31</v>
      </c>
      <c r="E61" s="185"/>
      <c r="F61" s="185" t="s">
        <v>5</v>
      </c>
      <c r="G61" s="43" t="s">
        <v>5</v>
      </c>
    </row>
    <row r="62" spans="2:18" x14ac:dyDescent="0.25">
      <c r="D62" s="185" t="s">
        <v>29</v>
      </c>
      <c r="E62" s="185"/>
      <c r="F62" s="185" t="s">
        <v>4</v>
      </c>
      <c r="G62" s="43" t="s">
        <v>4</v>
      </c>
    </row>
    <row r="63" spans="2:18" x14ac:dyDescent="0.25">
      <c r="D63" s="185" t="s">
        <v>32</v>
      </c>
      <c r="E63" s="185"/>
      <c r="F63" s="185" t="s">
        <v>106</v>
      </c>
      <c r="G63" s="43" t="s">
        <v>106</v>
      </c>
    </row>
    <row r="64" spans="2:18" x14ac:dyDescent="0.25">
      <c r="D64" s="185" t="s">
        <v>27</v>
      </c>
      <c r="E64" s="185"/>
      <c r="F64" s="185" t="s">
        <v>113</v>
      </c>
      <c r="G64" s="185" t="s">
        <v>113</v>
      </c>
    </row>
    <row r="65" spans="3:7" x14ac:dyDescent="0.25">
      <c r="D65" s="185" t="s">
        <v>30</v>
      </c>
      <c r="E65" s="185"/>
      <c r="F65" s="185" t="s">
        <v>63</v>
      </c>
      <c r="G65" s="185" t="s">
        <v>63</v>
      </c>
    </row>
    <row r="66" spans="3:7" x14ac:dyDescent="0.25">
      <c r="D66" s="185" t="s">
        <v>23</v>
      </c>
      <c r="E66" s="185"/>
      <c r="F66" s="185" t="s">
        <v>64</v>
      </c>
      <c r="G66" s="185" t="s">
        <v>64</v>
      </c>
    </row>
    <row r="67" spans="3:7" x14ac:dyDescent="0.25">
      <c r="D67" s="185" t="s">
        <v>86</v>
      </c>
      <c r="E67" s="185"/>
      <c r="F67" s="185" t="s">
        <v>131</v>
      </c>
      <c r="G67" s="185" t="s">
        <v>131</v>
      </c>
    </row>
    <row r="68" spans="3:7" x14ac:dyDescent="0.25">
      <c r="D68" s="185" t="s">
        <v>26</v>
      </c>
      <c r="E68" s="185"/>
      <c r="F68" s="185" t="s">
        <v>141</v>
      </c>
      <c r="G68" s="185" t="s">
        <v>141</v>
      </c>
    </row>
    <row r="69" spans="3:7" x14ac:dyDescent="0.25">
      <c r="D69" s="185" t="s">
        <v>91</v>
      </c>
      <c r="E69" s="185"/>
      <c r="F69" s="185" t="s">
        <v>61</v>
      </c>
      <c r="G69" s="185" t="s">
        <v>61</v>
      </c>
    </row>
    <row r="70" spans="3:7" x14ac:dyDescent="0.25">
      <c r="C70" s="187" t="s">
        <v>214</v>
      </c>
      <c r="D70" s="186">
        <v>0.19232177721783003</v>
      </c>
      <c r="E70" s="186"/>
      <c r="F70" s="186">
        <v>0.29362485731452997</v>
      </c>
      <c r="G70" s="186">
        <v>0.11226276763733123</v>
      </c>
    </row>
    <row r="71" spans="3:7" x14ac:dyDescent="0.25">
      <c r="C71" s="187" t="s">
        <v>269</v>
      </c>
      <c r="D71" s="186">
        <v>0.28283805020323172</v>
      </c>
      <c r="E71" s="186"/>
      <c r="F71" s="186">
        <v>0.443263314761973</v>
      </c>
      <c r="G71" s="186">
        <v>0.443263314761973</v>
      </c>
    </row>
    <row r="72" spans="3:7" x14ac:dyDescent="0.25">
      <c r="C72" s="187" t="s">
        <v>270</v>
      </c>
      <c r="D72" s="186">
        <v>0.42787089823462765</v>
      </c>
      <c r="E72" s="186"/>
      <c r="F72" s="186">
        <v>0.38521774209121085</v>
      </c>
      <c r="G72" s="186">
        <v>-4.6902879610740182E-2</v>
      </c>
    </row>
    <row r="75" spans="3:7" x14ac:dyDescent="0.25">
      <c r="C75" s="1"/>
      <c r="D75" s="1"/>
      <c r="E75" s="1"/>
    </row>
    <row r="76" spans="3:7" x14ac:dyDescent="0.25">
      <c r="C76" s="1"/>
      <c r="D76" s="1"/>
      <c r="E76" s="1"/>
    </row>
    <row r="77" spans="3:7" x14ac:dyDescent="0.25">
      <c r="C77" s="1"/>
      <c r="D77" s="1"/>
      <c r="E77" s="1"/>
    </row>
    <row r="78" spans="3:7" x14ac:dyDescent="0.25">
      <c r="C78" s="1"/>
      <c r="D78" s="1"/>
      <c r="E78"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88A3B-C2BC-42BA-A4DE-91B1687698A9}">
  <dimension ref="A1:V64"/>
  <sheetViews>
    <sheetView showGridLines="0" zoomScale="115" zoomScaleNormal="115" workbookViewId="0">
      <selection activeCell="H7" sqref="H7"/>
    </sheetView>
  </sheetViews>
  <sheetFormatPr defaultRowHeight="12.75" x14ac:dyDescent="0.2"/>
  <cols>
    <col min="1" max="3" width="9.140625" style="117"/>
    <col min="4" max="4" width="8.5703125" style="117" customWidth="1"/>
    <col min="5" max="5" width="20.42578125" style="117" bestFit="1" customWidth="1"/>
    <col min="6" max="6" width="17" style="117" customWidth="1"/>
    <col min="7" max="7" width="9.140625" style="117"/>
    <col min="8" max="8" width="11.140625" style="117" bestFit="1" customWidth="1"/>
    <col min="9" max="9" width="15.42578125" style="117" bestFit="1" customWidth="1"/>
    <col min="10" max="10" width="9.140625" style="117"/>
    <col min="11" max="11" width="17.85546875" style="117" bestFit="1" customWidth="1"/>
    <col min="12" max="13" width="9.140625" style="117"/>
    <col min="14" max="14" width="10.140625" style="117" bestFit="1" customWidth="1"/>
    <col min="15" max="18" width="9.140625" style="117"/>
    <col min="19" max="16384" width="9.140625" style="134"/>
  </cols>
  <sheetData>
    <row r="1" spans="4:13" x14ac:dyDescent="0.2">
      <c r="D1" s="113" t="s">
        <v>209</v>
      </c>
      <c r="E1" s="114" t="s">
        <v>210</v>
      </c>
      <c r="F1" s="114" t="s">
        <v>211</v>
      </c>
      <c r="G1" s="114"/>
      <c r="H1" s="115" t="s">
        <v>212</v>
      </c>
      <c r="I1" s="115" t="s">
        <v>213</v>
      </c>
      <c r="J1" s="115" t="s">
        <v>214</v>
      </c>
      <c r="K1" s="114"/>
      <c r="L1" s="114"/>
      <c r="M1" s="116"/>
    </row>
    <row r="2" spans="4:13" x14ac:dyDescent="0.2">
      <c r="D2" s="118">
        <v>8</v>
      </c>
      <c r="E2" s="117">
        <f>D2-$H$2</f>
        <v>2</v>
      </c>
      <c r="F2" s="117">
        <f>E2^2</f>
        <v>4</v>
      </c>
      <c r="H2" s="117">
        <f>AVERAGE(D2:D9)</f>
        <v>6</v>
      </c>
      <c r="I2" s="117">
        <f>AVERAGE(F2:F9)</f>
        <v>6</v>
      </c>
      <c r="J2" s="119">
        <f>SQRT(I2)</f>
        <v>2.4494897427831779</v>
      </c>
      <c r="K2" s="119">
        <f>_xlfn.STDEV.P(D2:D9)</f>
        <v>2.4494897427831779</v>
      </c>
      <c r="M2" s="120"/>
    </row>
    <row r="3" spans="4:13" x14ac:dyDescent="0.2">
      <c r="D3" s="118">
        <v>3</v>
      </c>
      <c r="E3" s="117">
        <f t="shared" ref="E3:E9" si="0">D3-$H$2</f>
        <v>-3</v>
      </c>
      <c r="F3" s="117">
        <f t="shared" ref="F3:F9" si="1">E3^2</f>
        <v>9</v>
      </c>
      <c r="M3" s="120"/>
    </row>
    <row r="4" spans="4:13" x14ac:dyDescent="0.2">
      <c r="D4" s="118">
        <v>5</v>
      </c>
      <c r="E4" s="117">
        <f t="shared" si="0"/>
        <v>-1</v>
      </c>
      <c r="F4" s="117">
        <f t="shared" si="1"/>
        <v>1</v>
      </c>
      <c r="M4" s="120"/>
    </row>
    <row r="5" spans="4:13" x14ac:dyDescent="0.2">
      <c r="D5" s="118">
        <v>7</v>
      </c>
      <c r="E5" s="117">
        <f t="shared" si="0"/>
        <v>1</v>
      </c>
      <c r="F5" s="117">
        <f t="shared" si="1"/>
        <v>1</v>
      </c>
      <c r="M5" s="120"/>
    </row>
    <row r="6" spans="4:13" x14ac:dyDescent="0.2">
      <c r="D6" s="118">
        <v>11</v>
      </c>
      <c r="E6" s="117">
        <f t="shared" si="0"/>
        <v>5</v>
      </c>
      <c r="F6" s="117">
        <f t="shared" si="1"/>
        <v>25</v>
      </c>
      <c r="M6" s="120"/>
    </row>
    <row r="7" spans="4:13" x14ac:dyDescent="0.2">
      <c r="D7" s="118">
        <v>4</v>
      </c>
      <c r="E7" s="117">
        <f t="shared" si="0"/>
        <v>-2</v>
      </c>
      <c r="F7" s="117">
        <f t="shared" si="1"/>
        <v>4</v>
      </c>
      <c r="M7" s="120"/>
    </row>
    <row r="8" spans="4:13" x14ac:dyDescent="0.2">
      <c r="D8" s="118">
        <v>6</v>
      </c>
      <c r="E8" s="117">
        <f t="shared" si="0"/>
        <v>0</v>
      </c>
      <c r="F8" s="117">
        <f t="shared" si="1"/>
        <v>0</v>
      </c>
      <c r="M8" s="120"/>
    </row>
    <row r="9" spans="4:13" x14ac:dyDescent="0.2">
      <c r="D9" s="118">
        <v>4</v>
      </c>
      <c r="E9" s="117">
        <f t="shared" si="0"/>
        <v>-2</v>
      </c>
      <c r="F9" s="117">
        <f t="shared" si="1"/>
        <v>4</v>
      </c>
      <c r="M9" s="120"/>
    </row>
    <row r="10" spans="4:13" ht="13.5" thickBot="1" x14ac:dyDescent="0.25">
      <c r="D10" s="121"/>
      <c r="E10" s="122"/>
      <c r="F10" s="122"/>
      <c r="G10" s="122"/>
      <c r="H10" s="122"/>
      <c r="I10" s="122"/>
      <c r="J10" s="122"/>
      <c r="K10" s="122"/>
      <c r="L10" s="122"/>
      <c r="M10" s="123"/>
    </row>
    <row r="11" spans="4:13" x14ac:dyDescent="0.2">
      <c r="D11" s="124" t="s">
        <v>215</v>
      </c>
      <c r="G11" s="124" t="s">
        <v>216</v>
      </c>
      <c r="I11" s="124" t="s">
        <v>217</v>
      </c>
    </row>
    <row r="12" spans="4:13" ht="25.5" customHeight="1" x14ac:dyDescent="0.2">
      <c r="D12" s="125">
        <v>1</v>
      </c>
      <c r="E12" s="126" t="s">
        <v>218</v>
      </c>
      <c r="F12" s="127"/>
      <c r="G12" s="128" t="s">
        <v>219</v>
      </c>
      <c r="H12" s="128"/>
      <c r="I12" s="190" t="s">
        <v>220</v>
      </c>
      <c r="J12" s="190"/>
      <c r="K12" s="190"/>
      <c r="L12" s="190"/>
      <c r="M12" s="190"/>
    </row>
    <row r="13" spans="4:13" ht="38.25" customHeight="1" x14ac:dyDescent="0.2">
      <c r="D13" s="129">
        <v>2</v>
      </c>
      <c r="E13" s="130" t="s">
        <v>221</v>
      </c>
      <c r="F13" s="131"/>
      <c r="G13" s="132" t="s">
        <v>222</v>
      </c>
      <c r="H13" s="132"/>
      <c r="I13" s="191" t="s">
        <v>223</v>
      </c>
      <c r="J13" s="191"/>
      <c r="K13" s="191"/>
      <c r="L13" s="191"/>
      <c r="M13" s="191"/>
    </row>
    <row r="14" spans="4:13" ht="25.5" customHeight="1" x14ac:dyDescent="0.2">
      <c r="D14" s="125">
        <v>3</v>
      </c>
      <c r="E14" s="126" t="s">
        <v>224</v>
      </c>
      <c r="F14" s="127"/>
      <c r="G14" s="128" t="s">
        <v>225</v>
      </c>
      <c r="H14" s="128"/>
      <c r="I14" s="190" t="s">
        <v>226</v>
      </c>
      <c r="J14" s="190"/>
      <c r="K14" s="190"/>
      <c r="L14" s="190"/>
      <c r="M14" s="190"/>
    </row>
    <row r="15" spans="4:13" ht="38.25" x14ac:dyDescent="0.2">
      <c r="D15" s="129">
        <v>4</v>
      </c>
      <c r="E15" s="130" t="s">
        <v>227</v>
      </c>
      <c r="F15" s="131"/>
      <c r="G15" s="132" t="s">
        <v>228</v>
      </c>
      <c r="H15" s="132"/>
      <c r="I15" s="191" t="s">
        <v>229</v>
      </c>
      <c r="J15" s="191"/>
      <c r="K15" s="191"/>
      <c r="L15" s="191"/>
      <c r="M15" s="191"/>
    </row>
    <row r="16" spans="4:13" ht="25.5" x14ac:dyDescent="0.2">
      <c r="D16" s="125">
        <v>5</v>
      </c>
      <c r="E16" s="126" t="s">
        <v>230</v>
      </c>
      <c r="F16" s="127"/>
      <c r="G16" s="128" t="s">
        <v>231</v>
      </c>
      <c r="H16" s="128"/>
      <c r="I16" s="190" t="s">
        <v>232</v>
      </c>
      <c r="J16" s="190"/>
      <c r="K16" s="190"/>
      <c r="L16" s="190"/>
      <c r="M16" s="190"/>
    </row>
    <row r="17" spans="4:21" x14ac:dyDescent="0.2">
      <c r="D17" s="133"/>
      <c r="E17" s="133"/>
      <c r="F17" s="133"/>
      <c r="G17" s="133"/>
      <c r="H17" s="133"/>
      <c r="I17" s="133"/>
      <c r="J17" s="133"/>
      <c r="K17" s="133"/>
      <c r="L17" s="133"/>
      <c r="M17" s="133"/>
    </row>
    <row r="18" spans="4:21" ht="12.75" customHeight="1" x14ac:dyDescent="0.2">
      <c r="D18" s="133"/>
      <c r="E18" s="133"/>
      <c r="F18" s="133"/>
      <c r="G18" s="133"/>
      <c r="H18" s="133"/>
      <c r="I18" s="133"/>
      <c r="J18" s="133"/>
      <c r="K18" s="189" t="s">
        <v>264</v>
      </c>
      <c r="L18" s="189"/>
      <c r="M18" s="189"/>
      <c r="N18" s="135"/>
      <c r="O18" s="135"/>
      <c r="P18" s="135"/>
      <c r="Q18" s="135"/>
    </row>
    <row r="19" spans="4:21" x14ac:dyDescent="0.2">
      <c r="D19" s="133"/>
      <c r="E19" s="133"/>
      <c r="F19" s="133"/>
      <c r="G19" s="133"/>
      <c r="H19" s="133"/>
      <c r="I19" s="133"/>
      <c r="J19" s="133"/>
      <c r="K19" s="189"/>
      <c r="L19" s="189"/>
      <c r="M19" s="189"/>
      <c r="N19" s="135"/>
      <c r="O19" s="135"/>
      <c r="P19" s="135"/>
      <c r="Q19" s="135"/>
      <c r="R19" s="135"/>
      <c r="S19" s="136"/>
      <c r="T19" s="136"/>
      <c r="U19" s="136"/>
    </row>
    <row r="20" spans="4:21" x14ac:dyDescent="0.2">
      <c r="D20" s="133"/>
      <c r="E20" s="133"/>
      <c r="F20" s="133"/>
      <c r="G20" s="133"/>
      <c r="H20" s="133"/>
      <c r="I20" s="133"/>
      <c r="J20" s="133"/>
      <c r="K20" s="189"/>
      <c r="L20" s="189"/>
      <c r="M20" s="189"/>
      <c r="N20" s="135"/>
      <c r="O20" s="135"/>
      <c r="P20" s="135"/>
      <c r="Q20" s="135"/>
      <c r="R20" s="135"/>
      <c r="S20" s="136"/>
      <c r="T20" s="136"/>
      <c r="U20" s="136"/>
    </row>
    <row r="21" spans="4:21" x14ac:dyDescent="0.2">
      <c r="D21" s="133"/>
      <c r="E21" s="133"/>
      <c r="F21" s="133"/>
      <c r="G21" s="133"/>
      <c r="H21" s="133"/>
      <c r="I21" s="133"/>
      <c r="J21" s="133"/>
      <c r="K21" s="189"/>
      <c r="L21" s="189"/>
      <c r="M21" s="189"/>
      <c r="N21" s="135"/>
      <c r="O21" s="135"/>
      <c r="P21" s="135"/>
      <c r="Q21" s="135"/>
      <c r="R21" s="135"/>
      <c r="S21" s="136"/>
      <c r="T21" s="136"/>
      <c r="U21" s="136"/>
    </row>
    <row r="22" spans="4:21" x14ac:dyDescent="0.2">
      <c r="D22" s="133"/>
      <c r="E22" s="133"/>
      <c r="F22" s="133"/>
      <c r="G22" s="133"/>
      <c r="H22" s="133"/>
      <c r="I22" s="133"/>
      <c r="J22" s="133"/>
      <c r="K22" s="189"/>
      <c r="L22" s="189"/>
      <c r="M22" s="189"/>
      <c r="N22" s="135"/>
      <c r="O22" s="135"/>
      <c r="P22" s="135"/>
      <c r="Q22" s="135"/>
      <c r="R22" s="135"/>
      <c r="S22" s="136"/>
      <c r="T22" s="136"/>
      <c r="U22" s="136"/>
    </row>
    <row r="23" spans="4:21" x14ac:dyDescent="0.2">
      <c r="D23" s="133"/>
      <c r="E23" s="133"/>
      <c r="F23" s="133"/>
      <c r="G23" s="133"/>
      <c r="H23" s="133"/>
      <c r="I23" s="133"/>
      <c r="J23" s="133"/>
      <c r="K23" s="189"/>
      <c r="L23" s="189"/>
      <c r="M23" s="189"/>
      <c r="N23" s="135"/>
      <c r="O23" s="135"/>
      <c r="P23" s="135"/>
      <c r="Q23" s="135"/>
      <c r="R23" s="135"/>
      <c r="S23" s="136"/>
      <c r="T23" s="136"/>
      <c r="U23" s="136"/>
    </row>
    <row r="24" spans="4:21" x14ac:dyDescent="0.2">
      <c r="D24" s="133"/>
      <c r="E24" s="133"/>
      <c r="F24" s="133"/>
      <c r="G24" s="133"/>
      <c r="H24" s="133"/>
      <c r="I24" s="133"/>
      <c r="J24" s="133"/>
      <c r="K24" s="189"/>
      <c r="L24" s="189"/>
      <c r="M24" s="189"/>
      <c r="N24" s="135"/>
      <c r="O24" s="135"/>
      <c r="P24" s="135"/>
      <c r="Q24" s="135"/>
      <c r="R24" s="135"/>
      <c r="S24" s="136"/>
      <c r="T24" s="136"/>
      <c r="U24" s="136"/>
    </row>
    <row r="25" spans="4:21" x14ac:dyDescent="0.2">
      <c r="D25" s="133"/>
      <c r="E25" s="133"/>
      <c r="F25" s="133"/>
      <c r="G25" s="133"/>
      <c r="H25" s="133"/>
      <c r="I25" s="133"/>
      <c r="J25" s="133"/>
      <c r="K25" s="189"/>
      <c r="L25" s="189"/>
      <c r="M25" s="189"/>
      <c r="N25" s="135"/>
      <c r="O25" s="135"/>
      <c r="P25" s="135"/>
      <c r="Q25" s="135"/>
      <c r="R25" s="137"/>
      <c r="S25" s="138"/>
      <c r="T25" s="138"/>
      <c r="U25" s="138"/>
    </row>
    <row r="26" spans="4:21" x14ac:dyDescent="0.2">
      <c r="D26" s="133"/>
      <c r="E26" s="133"/>
      <c r="F26" s="133"/>
      <c r="G26" s="133"/>
      <c r="H26" s="133"/>
      <c r="I26" s="133"/>
      <c r="J26" s="133"/>
      <c r="K26" s="189"/>
      <c r="L26" s="189"/>
      <c r="M26" s="189"/>
      <c r="N26" s="135"/>
      <c r="O26" s="135"/>
      <c r="P26" s="135"/>
      <c r="Q26" s="135"/>
      <c r="R26" s="137"/>
      <c r="S26" s="138"/>
      <c r="T26" s="138"/>
      <c r="U26" s="138"/>
    </row>
    <row r="27" spans="4:21" x14ac:dyDescent="0.2">
      <c r="D27" s="133"/>
      <c r="E27" s="133"/>
      <c r="F27" s="133"/>
      <c r="G27" s="133"/>
      <c r="H27" s="133"/>
      <c r="I27" s="133"/>
      <c r="J27" s="133"/>
      <c r="K27" s="189"/>
      <c r="L27" s="189"/>
      <c r="M27" s="189"/>
      <c r="N27" s="135"/>
      <c r="O27" s="135"/>
      <c r="P27" s="135"/>
      <c r="Q27" s="135"/>
      <c r="R27" s="137"/>
      <c r="S27" s="138"/>
      <c r="T27" s="138"/>
      <c r="U27" s="138"/>
    </row>
    <row r="28" spans="4:21" x14ac:dyDescent="0.2">
      <c r="D28" s="133"/>
      <c r="E28" s="133"/>
      <c r="F28" s="133"/>
      <c r="G28" s="133"/>
      <c r="H28" s="133"/>
      <c r="I28" s="133"/>
      <c r="J28" s="133"/>
      <c r="K28" s="189"/>
      <c r="L28" s="189"/>
      <c r="M28" s="189"/>
      <c r="N28" s="135"/>
      <c r="O28" s="135"/>
      <c r="P28" s="135"/>
      <c r="Q28" s="135"/>
      <c r="R28" s="137"/>
      <c r="S28" s="138"/>
      <c r="T28" s="138"/>
      <c r="U28" s="138"/>
    </row>
    <row r="29" spans="4:21" x14ac:dyDescent="0.2">
      <c r="D29" s="133"/>
      <c r="E29" s="133"/>
      <c r="F29" s="133"/>
      <c r="G29" s="133"/>
      <c r="H29" s="133"/>
      <c r="I29" s="133"/>
      <c r="J29" s="133"/>
      <c r="K29" s="189"/>
      <c r="L29" s="189"/>
      <c r="M29" s="189"/>
      <c r="N29" s="135"/>
      <c r="O29" s="135"/>
      <c r="P29" s="135"/>
      <c r="Q29" s="135"/>
      <c r="R29" s="137"/>
      <c r="S29" s="138"/>
      <c r="T29" s="138"/>
      <c r="U29" s="138"/>
    </row>
    <row r="30" spans="4:21" x14ac:dyDescent="0.2">
      <c r="D30" s="133"/>
      <c r="E30" s="133"/>
      <c r="F30" s="133"/>
      <c r="G30" s="133"/>
      <c r="H30" s="133"/>
      <c r="I30" s="133"/>
      <c r="J30" s="133"/>
      <c r="K30" s="189"/>
      <c r="L30" s="189"/>
      <c r="M30" s="189"/>
      <c r="N30" s="135"/>
      <c r="O30" s="135"/>
      <c r="P30" s="135"/>
      <c r="Q30" s="135"/>
      <c r="R30" s="137"/>
      <c r="S30" s="138"/>
      <c r="T30" s="138"/>
      <c r="U30" s="138"/>
    </row>
    <row r="31" spans="4:21" x14ac:dyDescent="0.2">
      <c r="D31" s="133"/>
      <c r="E31" s="133"/>
      <c r="F31" s="133"/>
      <c r="G31" s="133"/>
      <c r="H31" s="133"/>
      <c r="I31" s="133"/>
      <c r="J31" s="133"/>
      <c r="K31" s="189"/>
      <c r="L31" s="189"/>
      <c r="M31" s="189"/>
      <c r="N31" s="135"/>
      <c r="O31" s="135"/>
      <c r="P31" s="135"/>
      <c r="Q31" s="135"/>
      <c r="R31" s="137"/>
      <c r="S31" s="138"/>
      <c r="T31" s="138"/>
      <c r="U31" s="138"/>
    </row>
    <row r="32" spans="4:21" x14ac:dyDescent="0.2">
      <c r="D32" s="133"/>
      <c r="E32" s="133"/>
      <c r="F32" s="133"/>
      <c r="G32" s="133"/>
      <c r="H32" s="133"/>
      <c r="I32" s="133"/>
      <c r="J32" s="133"/>
      <c r="K32" s="189"/>
      <c r="L32" s="189"/>
      <c r="M32" s="189"/>
      <c r="N32" s="135"/>
      <c r="O32" s="135"/>
      <c r="P32" s="135"/>
      <c r="Q32" s="135"/>
      <c r="R32" s="137"/>
      <c r="S32" s="138"/>
      <c r="T32" s="138"/>
      <c r="U32" s="138"/>
    </row>
    <row r="33" spans="4:22" x14ac:dyDescent="0.2">
      <c r="D33" s="133"/>
      <c r="E33" s="133"/>
      <c r="F33" s="133"/>
      <c r="G33" s="133"/>
      <c r="H33" s="133"/>
      <c r="I33" s="133"/>
      <c r="J33" s="133"/>
      <c r="K33" s="189"/>
      <c r="L33" s="189"/>
      <c r="M33" s="189"/>
      <c r="N33" s="135"/>
      <c r="O33" s="135"/>
      <c r="P33" s="135"/>
      <c r="Q33" s="135"/>
      <c r="R33" s="137"/>
      <c r="S33" s="138"/>
      <c r="T33" s="138"/>
      <c r="U33" s="138"/>
    </row>
    <row r="34" spans="4:22" x14ac:dyDescent="0.2">
      <c r="D34" s="133"/>
      <c r="E34" s="133"/>
      <c r="F34" s="133"/>
      <c r="G34" s="133"/>
      <c r="H34" s="133"/>
      <c r="I34" s="133"/>
      <c r="J34" s="133"/>
      <c r="K34" s="189"/>
      <c r="L34" s="189"/>
      <c r="M34" s="189"/>
      <c r="N34" s="135"/>
      <c r="O34" s="135"/>
      <c r="P34" s="135"/>
      <c r="Q34" s="135"/>
      <c r="R34" s="137"/>
      <c r="S34" s="138"/>
      <c r="T34" s="138"/>
      <c r="U34" s="138"/>
    </row>
    <row r="35" spans="4:22" x14ac:dyDescent="0.2">
      <c r="D35" s="133"/>
      <c r="E35" s="133"/>
      <c r="F35" s="133"/>
      <c r="G35" s="133"/>
      <c r="H35" s="133"/>
      <c r="I35" s="133"/>
      <c r="J35" s="133"/>
      <c r="K35" s="189"/>
      <c r="L35" s="189"/>
      <c r="M35" s="189"/>
      <c r="N35" s="135"/>
      <c r="O35" s="137"/>
      <c r="P35" s="137"/>
      <c r="Q35" s="137"/>
      <c r="R35" s="137"/>
      <c r="S35" s="138"/>
      <c r="T35" s="138"/>
      <c r="U35" s="138"/>
    </row>
    <row r="36" spans="4:22" x14ac:dyDescent="0.2">
      <c r="D36" s="133"/>
      <c r="E36" s="133"/>
      <c r="F36" s="133"/>
      <c r="G36" s="133"/>
      <c r="H36" s="133"/>
      <c r="I36" s="133"/>
      <c r="J36" s="133"/>
      <c r="K36" s="189"/>
      <c r="L36" s="189"/>
      <c r="M36" s="189"/>
      <c r="N36" s="135"/>
      <c r="O36" s="137"/>
      <c r="P36" s="137"/>
      <c r="Q36" s="137"/>
      <c r="R36" s="137"/>
      <c r="S36" s="138"/>
      <c r="T36" s="138"/>
      <c r="U36" s="138"/>
    </row>
    <row r="37" spans="4:22" x14ac:dyDescent="0.2">
      <c r="D37" s="133"/>
      <c r="E37" s="133"/>
      <c r="F37" s="133"/>
      <c r="G37" s="133"/>
      <c r="H37" s="133"/>
      <c r="I37" s="133"/>
      <c r="J37" s="133"/>
      <c r="K37" s="189"/>
      <c r="L37" s="189"/>
      <c r="M37" s="189"/>
      <c r="N37" s="135"/>
      <c r="O37" s="137"/>
      <c r="P37" s="137"/>
      <c r="Q37" s="137"/>
      <c r="R37" s="137"/>
      <c r="S37" s="138"/>
      <c r="T37" s="138"/>
      <c r="U37" s="138"/>
    </row>
    <row r="38" spans="4:22" x14ac:dyDescent="0.2">
      <c r="D38" s="133"/>
      <c r="E38" s="133"/>
      <c r="F38" s="133"/>
      <c r="G38" s="133"/>
      <c r="H38" s="133"/>
      <c r="I38" s="133"/>
      <c r="J38" s="133"/>
      <c r="K38" s="189"/>
      <c r="L38" s="189"/>
      <c r="M38" s="189"/>
      <c r="N38" s="135"/>
      <c r="O38" s="137"/>
      <c r="P38" s="137"/>
      <c r="Q38" s="137"/>
      <c r="R38" s="137"/>
      <c r="S38" s="138"/>
      <c r="T38" s="138"/>
      <c r="U38" s="138"/>
    </row>
    <row r="39" spans="4:22" x14ac:dyDescent="0.2">
      <c r="D39" s="133"/>
      <c r="E39" s="133"/>
      <c r="F39" s="133"/>
      <c r="G39" s="133"/>
      <c r="H39" s="133"/>
      <c r="I39" s="133"/>
      <c r="J39" s="133"/>
      <c r="K39" s="189"/>
      <c r="L39" s="189"/>
      <c r="M39" s="189"/>
      <c r="N39" s="135"/>
      <c r="O39" s="137"/>
      <c r="P39" s="137"/>
      <c r="Q39" s="137"/>
      <c r="R39" s="137"/>
      <c r="S39" s="138"/>
      <c r="T39" s="138"/>
      <c r="U39" s="138"/>
    </row>
    <row r="40" spans="4:22" x14ac:dyDescent="0.2">
      <c r="D40" s="133"/>
      <c r="E40" s="133"/>
      <c r="F40" s="133"/>
      <c r="G40" s="133"/>
      <c r="H40" s="133"/>
      <c r="I40" s="133"/>
      <c r="J40" s="133"/>
      <c r="K40" s="189"/>
      <c r="L40" s="189"/>
      <c r="M40" s="189"/>
      <c r="N40" s="135"/>
      <c r="O40" s="135"/>
      <c r="P40" s="135"/>
      <c r="Q40" s="135"/>
      <c r="R40" s="137"/>
      <c r="S40" s="138"/>
      <c r="T40" s="138"/>
      <c r="U40" s="138"/>
    </row>
    <row r="41" spans="4:22" x14ac:dyDescent="0.2">
      <c r="D41" s="133"/>
      <c r="E41" s="133"/>
      <c r="F41" s="133"/>
      <c r="G41" s="133"/>
      <c r="H41" s="133"/>
      <c r="I41" s="133"/>
      <c r="J41" s="133"/>
      <c r="K41" s="189"/>
      <c r="L41" s="189"/>
      <c r="M41" s="189"/>
      <c r="N41" s="135"/>
      <c r="O41" s="135"/>
      <c r="P41" s="135"/>
      <c r="Q41" s="135"/>
      <c r="R41" s="137"/>
      <c r="S41" s="138"/>
      <c r="T41" s="138"/>
      <c r="U41" s="138"/>
    </row>
    <row r="42" spans="4:22" x14ac:dyDescent="0.2">
      <c r="D42" s="133"/>
      <c r="E42" s="133"/>
      <c r="F42" s="133"/>
      <c r="G42" s="133"/>
      <c r="H42" s="133"/>
      <c r="I42" s="133"/>
      <c r="J42" s="133"/>
      <c r="K42" s="133"/>
      <c r="L42" s="139"/>
      <c r="M42" s="139"/>
      <c r="N42" s="135"/>
      <c r="O42" s="135"/>
      <c r="P42" s="135"/>
      <c r="Q42" s="135"/>
      <c r="R42" s="135"/>
      <c r="S42" s="138"/>
      <c r="T42" s="138"/>
      <c r="U42" s="138"/>
      <c r="V42" s="138"/>
    </row>
    <row r="43" spans="4:22" x14ac:dyDescent="0.2">
      <c r="L43" s="135"/>
      <c r="M43" s="135"/>
      <c r="N43" s="135"/>
      <c r="O43" s="135"/>
      <c r="P43" s="135"/>
      <c r="Q43" s="135"/>
      <c r="R43" s="135"/>
      <c r="S43" s="138"/>
      <c r="T43" s="138"/>
      <c r="U43" s="138"/>
      <c r="V43" s="138"/>
    </row>
    <row r="44" spans="4:22" x14ac:dyDescent="0.2">
      <c r="L44" s="135"/>
      <c r="M44" s="135"/>
      <c r="N44" s="135"/>
      <c r="O44" s="135"/>
      <c r="P44" s="135"/>
      <c r="Q44" s="135"/>
      <c r="R44" s="135"/>
      <c r="S44" s="138"/>
      <c r="T44" s="138"/>
      <c r="U44" s="138"/>
      <c r="V44" s="138"/>
    </row>
    <row r="45" spans="4:22" x14ac:dyDescent="0.2">
      <c r="L45" s="135"/>
      <c r="M45" s="135"/>
      <c r="N45" s="135"/>
      <c r="O45" s="135"/>
      <c r="P45" s="135"/>
      <c r="Q45" s="135"/>
      <c r="R45" s="135"/>
      <c r="S45" s="138"/>
      <c r="T45" s="138"/>
      <c r="U45" s="138"/>
      <c r="V45" s="138"/>
    </row>
    <row r="46" spans="4:22" x14ac:dyDescent="0.2">
      <c r="P46" s="137"/>
      <c r="Q46" s="137"/>
      <c r="R46" s="137"/>
      <c r="S46" s="138"/>
      <c r="T46" s="138"/>
      <c r="U46" s="138"/>
      <c r="V46" s="138"/>
    </row>
    <row r="47" spans="4:22" x14ac:dyDescent="0.2">
      <c r="P47" s="137"/>
      <c r="Q47" s="137"/>
      <c r="R47" s="137"/>
      <c r="S47" s="138"/>
      <c r="T47" s="138"/>
      <c r="U47" s="138"/>
      <c r="V47" s="138"/>
    </row>
    <row r="48" spans="4:22" x14ac:dyDescent="0.2">
      <c r="P48" s="137"/>
      <c r="Q48" s="137"/>
      <c r="R48" s="137"/>
      <c r="S48" s="138"/>
      <c r="T48" s="138"/>
      <c r="U48" s="138"/>
      <c r="V48" s="138"/>
    </row>
    <row r="49" spans="4:22" x14ac:dyDescent="0.2">
      <c r="P49" s="137"/>
      <c r="Q49" s="137"/>
      <c r="R49" s="137"/>
      <c r="S49" s="138"/>
      <c r="T49" s="138"/>
      <c r="U49" s="138"/>
      <c r="V49" s="138"/>
    </row>
    <row r="50" spans="4:22" x14ac:dyDescent="0.2">
      <c r="P50" s="137"/>
      <c r="Q50" s="137"/>
      <c r="R50" s="137"/>
      <c r="S50" s="138"/>
      <c r="T50" s="138"/>
      <c r="U50" s="138"/>
      <c r="V50" s="138"/>
    </row>
    <row r="51" spans="4:22" x14ac:dyDescent="0.2">
      <c r="P51" s="137"/>
      <c r="Q51" s="137"/>
      <c r="R51" s="137"/>
      <c r="S51" s="138"/>
      <c r="T51" s="138"/>
      <c r="U51" s="138"/>
      <c r="V51" s="138"/>
    </row>
    <row r="52" spans="4:22" x14ac:dyDescent="0.2">
      <c r="P52" s="137"/>
      <c r="Q52" s="137"/>
      <c r="R52" s="137"/>
      <c r="S52" s="138"/>
      <c r="T52" s="138"/>
      <c r="U52" s="138"/>
      <c r="V52" s="138"/>
    </row>
    <row r="53" spans="4:22" x14ac:dyDescent="0.2">
      <c r="P53" s="137"/>
      <c r="Q53" s="137"/>
      <c r="R53" s="137"/>
      <c r="S53" s="138"/>
      <c r="T53" s="138"/>
      <c r="U53" s="138"/>
      <c r="V53" s="138"/>
    </row>
    <row r="54" spans="4:22" x14ac:dyDescent="0.2">
      <c r="P54" s="137"/>
      <c r="Q54" s="137"/>
      <c r="R54" s="137"/>
      <c r="S54" s="138"/>
      <c r="T54" s="138"/>
      <c r="U54" s="138"/>
      <c r="V54" s="138"/>
    </row>
    <row r="55" spans="4:22" x14ac:dyDescent="0.2">
      <c r="D55" s="140"/>
      <c r="E55" s="141" t="s">
        <v>209</v>
      </c>
      <c r="F55" s="140" t="s">
        <v>233</v>
      </c>
      <c r="G55" s="140" t="s">
        <v>234</v>
      </c>
      <c r="H55" s="140"/>
      <c r="I55" s="141" t="s">
        <v>212</v>
      </c>
      <c r="J55" s="141" t="s">
        <v>213</v>
      </c>
      <c r="K55" s="141" t="s">
        <v>214</v>
      </c>
      <c r="L55" s="140"/>
      <c r="M55" s="140"/>
      <c r="N55" s="140"/>
    </row>
    <row r="56" spans="4:22" x14ac:dyDescent="0.2">
      <c r="D56" s="140" t="s">
        <v>235</v>
      </c>
      <c r="E56" s="140">
        <v>8</v>
      </c>
      <c r="F56" s="140">
        <v>2</v>
      </c>
      <c r="G56" s="140">
        <v>4</v>
      </c>
      <c r="H56" s="140"/>
      <c r="I56" s="140">
        <v>6</v>
      </c>
      <c r="J56" s="140">
        <v>6</v>
      </c>
      <c r="K56" s="142">
        <v>2.4494897427831779</v>
      </c>
      <c r="L56" s="140"/>
      <c r="M56" s="140"/>
      <c r="N56" s="140"/>
    </row>
    <row r="57" spans="4:22" x14ac:dyDescent="0.2">
      <c r="D57" s="140" t="s">
        <v>236</v>
      </c>
      <c r="E57" s="140">
        <v>3</v>
      </c>
      <c r="F57" s="140">
        <v>-3</v>
      </c>
      <c r="G57" s="140">
        <v>9</v>
      </c>
      <c r="H57" s="140"/>
      <c r="I57" s="140">
        <v>6</v>
      </c>
      <c r="J57" s="140"/>
      <c r="K57" s="140"/>
      <c r="L57" s="140"/>
      <c r="M57" s="140"/>
      <c r="N57" s="140"/>
    </row>
    <row r="58" spans="4:22" x14ac:dyDescent="0.2">
      <c r="D58" s="140" t="s">
        <v>237</v>
      </c>
      <c r="E58" s="140">
        <v>5</v>
      </c>
      <c r="F58" s="140">
        <v>-1</v>
      </c>
      <c r="G58" s="140">
        <v>1</v>
      </c>
      <c r="H58" s="140"/>
      <c r="I58" s="140">
        <v>6</v>
      </c>
      <c r="J58" s="140"/>
      <c r="K58" s="140"/>
      <c r="L58" s="140"/>
      <c r="M58" s="140"/>
      <c r="N58" s="140"/>
    </row>
    <row r="59" spans="4:22" x14ac:dyDescent="0.2">
      <c r="D59" s="140" t="s">
        <v>238</v>
      </c>
      <c r="E59" s="140">
        <v>7</v>
      </c>
      <c r="F59" s="140">
        <v>1</v>
      </c>
      <c r="G59" s="140">
        <v>1</v>
      </c>
      <c r="H59" s="140"/>
      <c r="I59" s="140">
        <v>6</v>
      </c>
      <c r="J59" s="140"/>
      <c r="K59" s="140"/>
      <c r="L59" s="140"/>
      <c r="M59" s="140"/>
      <c r="N59" s="140"/>
    </row>
    <row r="60" spans="4:22" x14ac:dyDescent="0.2">
      <c r="D60" s="140" t="s">
        <v>239</v>
      </c>
      <c r="E60" s="140">
        <v>11</v>
      </c>
      <c r="F60" s="140">
        <v>5</v>
      </c>
      <c r="G60" s="140">
        <v>25</v>
      </c>
      <c r="H60" s="140"/>
      <c r="I60" s="140">
        <v>6</v>
      </c>
      <c r="J60" s="140"/>
      <c r="K60" s="140"/>
      <c r="L60" s="140"/>
      <c r="M60" s="140"/>
      <c r="N60" s="140"/>
    </row>
    <row r="61" spans="4:22" x14ac:dyDescent="0.2">
      <c r="D61" s="140" t="s">
        <v>240</v>
      </c>
      <c r="E61" s="140">
        <v>4</v>
      </c>
      <c r="F61" s="140">
        <v>-2</v>
      </c>
      <c r="G61" s="140">
        <v>4</v>
      </c>
      <c r="H61" s="140"/>
      <c r="I61" s="140">
        <v>6</v>
      </c>
      <c r="J61" s="140"/>
      <c r="K61" s="140"/>
      <c r="L61" s="140"/>
      <c r="M61" s="140"/>
      <c r="N61" s="140"/>
    </row>
    <row r="62" spans="4:22" x14ac:dyDescent="0.2">
      <c r="D62" s="140" t="s">
        <v>241</v>
      </c>
      <c r="E62" s="140">
        <v>6</v>
      </c>
      <c r="F62" s="140">
        <v>0</v>
      </c>
      <c r="G62" s="140">
        <v>0</v>
      </c>
      <c r="H62" s="140"/>
      <c r="I62" s="140">
        <v>6</v>
      </c>
      <c r="J62" s="140"/>
      <c r="K62" s="140"/>
      <c r="L62" s="140"/>
      <c r="M62" s="140"/>
      <c r="N62" s="140"/>
    </row>
    <row r="63" spans="4:22" x14ac:dyDescent="0.2">
      <c r="D63" s="140" t="s">
        <v>242</v>
      </c>
      <c r="E63" s="140">
        <v>4</v>
      </c>
      <c r="F63" s="140">
        <v>-2</v>
      </c>
      <c r="G63" s="140">
        <v>4</v>
      </c>
      <c r="H63" s="140"/>
      <c r="I63" s="140">
        <v>6</v>
      </c>
      <c r="J63" s="140"/>
      <c r="K63" s="140"/>
      <c r="L63" s="140"/>
      <c r="M63" s="140"/>
      <c r="N63" s="140"/>
    </row>
    <row r="64" spans="4:22" x14ac:dyDescent="0.2">
      <c r="D64" s="140"/>
      <c r="E64" s="140"/>
      <c r="F64" s="140"/>
      <c r="G64" s="140"/>
      <c r="H64" s="140"/>
      <c r="I64" s="140"/>
      <c r="J64" s="140"/>
      <c r="K64" s="140"/>
      <c r="L64" s="140"/>
      <c r="M64" s="140"/>
      <c r="N64" s="140"/>
    </row>
  </sheetData>
  <mergeCells count="6">
    <mergeCell ref="K18:M41"/>
    <mergeCell ref="I12:M12"/>
    <mergeCell ref="I13:M13"/>
    <mergeCell ref="I14:M14"/>
    <mergeCell ref="I15:M15"/>
    <mergeCell ref="I16:M16"/>
  </mergeCell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44FF4-DA50-45AB-ACB4-C5631D0F9EA6}">
  <dimension ref="A1:P108"/>
  <sheetViews>
    <sheetView workbookViewId="0">
      <selection activeCell="Q21" sqref="Q21"/>
    </sheetView>
  </sheetViews>
  <sheetFormatPr defaultRowHeight="15" x14ac:dyDescent="0.25"/>
  <cols>
    <col min="1" max="1" width="11.5703125" customWidth="1"/>
    <col min="2" max="6" width="13.28515625" customWidth="1"/>
    <col min="7" max="8" width="19.140625" customWidth="1"/>
    <col min="9" max="9" width="20.140625" customWidth="1"/>
    <col min="10" max="10" width="19.140625" customWidth="1"/>
    <col min="11" max="11" width="22.5703125" customWidth="1"/>
    <col min="12" max="13" width="19.140625" customWidth="1"/>
    <col min="14" max="14" width="18.42578125" customWidth="1"/>
    <col min="15" max="15" width="18" customWidth="1"/>
    <col min="16" max="16" width="22.140625" bestFit="1" customWidth="1"/>
  </cols>
  <sheetData>
    <row r="1" spans="1:16" x14ac:dyDescent="0.25">
      <c r="A1" s="2" t="s">
        <v>208</v>
      </c>
      <c r="B1" s="2" t="s">
        <v>243</v>
      </c>
      <c r="C1" s="2" t="s">
        <v>246</v>
      </c>
      <c r="D1" s="2" t="s">
        <v>247</v>
      </c>
      <c r="E1" s="2" t="s">
        <v>248</v>
      </c>
      <c r="G1" s="144" t="s">
        <v>271</v>
      </c>
      <c r="H1" s="7"/>
      <c r="I1" s="7"/>
      <c r="J1" s="7"/>
      <c r="K1" s="143"/>
      <c r="L1" s="144" t="s">
        <v>272</v>
      </c>
      <c r="M1" s="7"/>
      <c r="N1" s="7"/>
      <c r="O1" s="7"/>
      <c r="P1" s="143"/>
    </row>
    <row r="2" spans="1:16" x14ac:dyDescent="0.25">
      <c r="A2" s="38">
        <v>44200</v>
      </c>
      <c r="B2" s="111">
        <v>100019.02364</v>
      </c>
      <c r="C2" s="111">
        <v>99789.891382999995</v>
      </c>
      <c r="G2" s="11" t="s">
        <v>244</v>
      </c>
      <c r="H2" s="12" t="s">
        <v>245</v>
      </c>
      <c r="I2" s="12"/>
      <c r="J2" s="12"/>
      <c r="K2" s="147"/>
      <c r="L2" s="11" t="s">
        <v>244</v>
      </c>
      <c r="M2" s="12" t="s">
        <v>245</v>
      </c>
      <c r="N2" s="8"/>
      <c r="O2" s="8"/>
      <c r="P2" s="146"/>
    </row>
    <row r="3" spans="1:16" x14ac:dyDescent="0.25">
      <c r="A3" s="38">
        <v>44201</v>
      </c>
      <c r="B3" s="111">
        <v>100401.18842999999</v>
      </c>
      <c r="C3" s="111">
        <v>100998.49892100001</v>
      </c>
      <c r="D3" s="1">
        <f>B3/B2-1</f>
        <v>3.8209210217401424E-3</v>
      </c>
      <c r="E3" s="1">
        <f>C3/C2-1</f>
        <v>1.2111522732911828E-2</v>
      </c>
      <c r="G3" s="5" t="s">
        <v>82</v>
      </c>
      <c r="H3" s="8" t="s">
        <v>106</v>
      </c>
      <c r="I3" s="8"/>
      <c r="J3" s="8"/>
      <c r="K3" s="146"/>
      <c r="L3" s="5" t="s">
        <v>62</v>
      </c>
      <c r="M3" s="8" t="s">
        <v>106</v>
      </c>
      <c r="N3" s="8"/>
      <c r="O3" s="8"/>
      <c r="P3" s="146"/>
    </row>
    <row r="4" spans="1:16" x14ac:dyDescent="0.25">
      <c r="A4" s="38">
        <v>44202</v>
      </c>
      <c r="B4" s="111">
        <v>101464.957431</v>
      </c>
      <c r="C4" s="111">
        <v>103338.521546</v>
      </c>
      <c r="D4" s="1">
        <f t="shared" ref="D4:D67" si="0">B4/B3-1</f>
        <v>1.0595183360221583E-2</v>
      </c>
      <c r="E4" s="1">
        <f t="shared" ref="E4:E67" si="1">C4/C3-1</f>
        <v>2.3168885181455323E-2</v>
      </c>
      <c r="G4" s="5" t="s">
        <v>86</v>
      </c>
      <c r="H4" s="8" t="s">
        <v>113</v>
      </c>
      <c r="I4" s="8"/>
      <c r="J4" s="8"/>
      <c r="K4" s="146"/>
      <c r="L4" s="5" t="s">
        <v>133</v>
      </c>
      <c r="M4" s="8" t="s">
        <v>113</v>
      </c>
      <c r="N4" s="8"/>
      <c r="O4" s="8"/>
      <c r="P4" s="146"/>
    </row>
    <row r="5" spans="1:16" x14ac:dyDescent="0.25">
      <c r="A5" s="38">
        <v>44203</v>
      </c>
      <c r="B5" s="111">
        <v>101296.055475</v>
      </c>
      <c r="C5" s="111">
        <v>104505.79576000001</v>
      </c>
      <c r="D5" s="1">
        <f t="shared" si="0"/>
        <v>-1.6646333894622112E-3</v>
      </c>
      <c r="E5" s="1">
        <f t="shared" si="1"/>
        <v>1.1295634933971899E-2</v>
      </c>
      <c r="G5" s="5" t="s">
        <v>91</v>
      </c>
      <c r="H5" s="8" t="s">
        <v>117</v>
      </c>
      <c r="I5" s="8"/>
      <c r="J5" s="8"/>
      <c r="K5" s="146"/>
      <c r="L5" s="5" t="s">
        <v>138</v>
      </c>
      <c r="M5" s="8" t="s">
        <v>117</v>
      </c>
      <c r="N5" s="8"/>
      <c r="O5" s="8"/>
      <c r="P5" s="146"/>
    </row>
    <row r="6" spans="1:16" x14ac:dyDescent="0.25">
      <c r="A6" s="38">
        <v>44204</v>
      </c>
      <c r="B6" s="111">
        <v>100490.15648599999</v>
      </c>
      <c r="C6" s="111">
        <v>103138.69786799999</v>
      </c>
      <c r="D6" s="1">
        <f t="shared" si="0"/>
        <v>-7.9558773065838695E-3</v>
      </c>
      <c r="E6" s="1">
        <f t="shared" si="1"/>
        <v>-1.3081550951868692E-2</v>
      </c>
      <c r="G6" s="5" t="s">
        <v>96</v>
      </c>
      <c r="H6" s="8" t="s">
        <v>121</v>
      </c>
      <c r="I6" s="8"/>
      <c r="J6" s="8"/>
      <c r="K6" s="146"/>
      <c r="L6" s="5" t="s">
        <v>141</v>
      </c>
      <c r="M6" s="8" t="s">
        <v>121</v>
      </c>
      <c r="N6" s="8"/>
      <c r="O6" s="8"/>
      <c r="P6" s="146"/>
    </row>
    <row r="7" spans="1:16" x14ac:dyDescent="0.25">
      <c r="A7" s="38">
        <v>44207</v>
      </c>
      <c r="B7" s="111">
        <v>99605.874219000005</v>
      </c>
      <c r="C7" s="111">
        <v>102720.406885</v>
      </c>
      <c r="D7" s="1">
        <f t="shared" si="0"/>
        <v>-8.7996904166746104E-3</v>
      </c>
      <c r="E7" s="1">
        <f t="shared" si="1"/>
        <v>-4.0556162880330815E-3</v>
      </c>
      <c r="G7" s="5" t="s">
        <v>101</v>
      </c>
      <c r="H7" s="8"/>
      <c r="I7" s="8"/>
      <c r="J7" s="8"/>
      <c r="K7" s="146"/>
      <c r="L7" s="5" t="s">
        <v>143</v>
      </c>
      <c r="M7" s="8"/>
      <c r="N7" s="8"/>
      <c r="O7" s="8"/>
      <c r="P7" s="146"/>
    </row>
    <row r="8" spans="1:16" x14ac:dyDescent="0.25">
      <c r="A8" s="38">
        <v>44208</v>
      </c>
      <c r="B8" s="111">
        <v>99483.264863000004</v>
      </c>
      <c r="C8" s="111">
        <v>102639.67709499999</v>
      </c>
      <c r="D8" s="1">
        <f t="shared" si="0"/>
        <v>-1.2309450317199433E-3</v>
      </c>
      <c r="E8" s="1">
        <f t="shared" si="1"/>
        <v>-7.8591773969893808E-4</v>
      </c>
      <c r="G8" s="5" t="s">
        <v>109</v>
      </c>
      <c r="H8" s="8"/>
      <c r="I8" s="8"/>
      <c r="J8" s="8"/>
      <c r="K8" s="146"/>
      <c r="L8" s="5" t="s">
        <v>146</v>
      </c>
      <c r="M8" s="8"/>
      <c r="N8" s="8"/>
      <c r="O8" s="8"/>
      <c r="P8" s="146"/>
    </row>
    <row r="9" spans="1:16" x14ac:dyDescent="0.25">
      <c r="A9" s="38">
        <v>44209</v>
      </c>
      <c r="B9" s="111">
        <v>99446.070069000009</v>
      </c>
      <c r="C9" s="111">
        <v>101832.71317599999</v>
      </c>
      <c r="D9" s="1">
        <f t="shared" si="0"/>
        <v>-3.7387990885917599E-4</v>
      </c>
      <c r="E9" s="1">
        <f t="shared" si="1"/>
        <v>-7.8621050049981767E-3</v>
      </c>
      <c r="G9" s="160"/>
      <c r="H9" s="161"/>
      <c r="I9" s="161"/>
      <c r="J9" s="161"/>
      <c r="K9" s="162"/>
      <c r="L9" s="160"/>
      <c r="M9" s="161"/>
      <c r="N9" s="161"/>
      <c r="O9" s="161"/>
      <c r="P9" s="162"/>
    </row>
    <row r="10" spans="1:16" x14ac:dyDescent="0.25">
      <c r="A10" s="38">
        <v>44210</v>
      </c>
      <c r="B10" s="111">
        <v>100353.02353200001</v>
      </c>
      <c r="C10" s="111">
        <v>103513.797226</v>
      </c>
      <c r="D10" s="1">
        <f t="shared" si="0"/>
        <v>9.1200533351465385E-3</v>
      </c>
      <c r="E10" s="1">
        <f t="shared" si="1"/>
        <v>1.6508290877947474E-2</v>
      </c>
      <c r="G10" s="156" t="s">
        <v>249</v>
      </c>
      <c r="H10" s="153"/>
      <c r="I10" s="153"/>
      <c r="J10" s="153"/>
      <c r="K10" s="159"/>
      <c r="L10" s="156" t="s">
        <v>249</v>
      </c>
      <c r="M10" s="153"/>
      <c r="N10" s="57"/>
      <c r="O10" s="57"/>
      <c r="P10" s="58"/>
    </row>
    <row r="11" spans="1:16" x14ac:dyDescent="0.25">
      <c r="A11" s="38">
        <v>44211</v>
      </c>
      <c r="B11" s="111">
        <v>100264.57815400002</v>
      </c>
      <c r="C11" s="111">
        <v>102538.91509699999</v>
      </c>
      <c r="D11" s="1">
        <f t="shared" si="0"/>
        <v>-8.8134243381099431E-4</v>
      </c>
      <c r="E11" s="1">
        <f t="shared" si="1"/>
        <v>-9.417895537843668E-3</v>
      </c>
      <c r="G11" s="156"/>
      <c r="H11" s="154"/>
      <c r="I11" s="154"/>
      <c r="J11" s="154"/>
      <c r="K11" s="148"/>
      <c r="L11" s="145"/>
      <c r="M11" s="154"/>
      <c r="N11" s="57"/>
      <c r="O11" s="57"/>
      <c r="P11" s="58"/>
    </row>
    <row r="12" spans="1:16" x14ac:dyDescent="0.25">
      <c r="A12" s="38">
        <v>44215</v>
      </c>
      <c r="B12" s="111">
        <v>99649.850856000034</v>
      </c>
      <c r="C12" s="111">
        <v>102590.79947200001</v>
      </c>
      <c r="D12" s="1">
        <f t="shared" si="0"/>
        <v>-6.13105155696958E-3</v>
      </c>
      <c r="E12" s="1">
        <f t="shared" si="1"/>
        <v>5.0599691786223921E-4</v>
      </c>
      <c r="G12" s="145" t="s">
        <v>250</v>
      </c>
      <c r="H12" s="151">
        <f>AVERAGE($D$2:$D$108)</f>
        <v>6.8097648428291338E-4</v>
      </c>
      <c r="I12" s="151"/>
      <c r="J12" s="151"/>
      <c r="K12" s="149"/>
      <c r="L12" s="145" t="s">
        <v>250</v>
      </c>
      <c r="M12" s="151">
        <f>AVERAGE($E$2:$E$108)</f>
        <v>1.9362530396312124E-3</v>
      </c>
      <c r="N12" s="57"/>
      <c r="O12" s="57"/>
      <c r="P12" s="58"/>
    </row>
    <row r="13" spans="1:16" x14ac:dyDescent="0.25">
      <c r="A13" s="38">
        <v>44216</v>
      </c>
      <c r="B13" s="111">
        <v>99710.098651000008</v>
      </c>
      <c r="C13" s="111">
        <v>102559.215402</v>
      </c>
      <c r="D13" s="1">
        <f t="shared" si="0"/>
        <v>6.0459493398568043E-4</v>
      </c>
      <c r="E13" s="1">
        <f t="shared" si="1"/>
        <v>-3.0786454694342602E-4</v>
      </c>
      <c r="G13" s="145" t="s">
        <v>251</v>
      </c>
      <c r="H13" s="151">
        <f>MEDIAN($D$2:$D$108)</f>
        <v>6.6520718476381635E-4</v>
      </c>
      <c r="I13" s="151"/>
      <c r="J13" s="151"/>
      <c r="K13" s="149"/>
      <c r="L13" s="145" t="s">
        <v>251</v>
      </c>
      <c r="M13" s="151">
        <f>MEDIAN($E$2:$E$108)</f>
        <v>1.0210415930228534E-3</v>
      </c>
      <c r="N13" s="57"/>
      <c r="O13" s="57"/>
      <c r="P13" s="58"/>
    </row>
    <row r="14" spans="1:16" x14ac:dyDescent="0.25">
      <c r="A14" s="38">
        <v>44217</v>
      </c>
      <c r="B14" s="111">
        <v>99735.337166000012</v>
      </c>
      <c r="C14" s="111">
        <v>103028.573099</v>
      </c>
      <c r="D14" s="1">
        <f t="shared" si="0"/>
        <v>2.5311894523682987E-4</v>
      </c>
      <c r="E14" s="1">
        <f t="shared" si="1"/>
        <v>4.5764556130842848E-3</v>
      </c>
      <c r="G14" s="145" t="s">
        <v>252</v>
      </c>
      <c r="H14" s="151">
        <f>_xlfn.STDEV.S($D$2:$D$108)</f>
        <v>5.2452243886794859E-3</v>
      </c>
      <c r="I14" s="151"/>
      <c r="J14" s="151"/>
      <c r="K14" s="149"/>
      <c r="L14" s="145" t="s">
        <v>252</v>
      </c>
      <c r="M14" s="151">
        <f>_xlfn.STDEV.S($E$2:$E$108)</f>
        <v>9.5852383125150445E-3</v>
      </c>
      <c r="N14" s="57"/>
      <c r="O14" s="57"/>
      <c r="P14" s="58"/>
    </row>
    <row r="15" spans="1:16" x14ac:dyDescent="0.25">
      <c r="A15" s="38">
        <v>44218</v>
      </c>
      <c r="B15" s="111">
        <v>98638.377551000012</v>
      </c>
      <c r="C15" s="111">
        <v>104719.90664</v>
      </c>
      <c r="D15" s="1">
        <f t="shared" si="0"/>
        <v>-1.0998705636039663E-2</v>
      </c>
      <c r="E15" s="1">
        <f t="shared" si="1"/>
        <v>1.641616000422319E-2</v>
      </c>
      <c r="G15" s="145" t="s">
        <v>253</v>
      </c>
      <c r="H15" s="151">
        <f>_xlfn.VAR.S($D$2:$D$108)</f>
        <v>2.7512378887598084E-5</v>
      </c>
      <c r="I15" s="151"/>
      <c r="J15" s="151"/>
      <c r="K15" s="149"/>
      <c r="L15" s="145" t="s">
        <v>253</v>
      </c>
      <c r="M15" s="151">
        <f>_xlfn.VAR.S($E$2:$E$108)</f>
        <v>9.1876793507706251E-5</v>
      </c>
      <c r="N15" s="57"/>
      <c r="O15" s="57"/>
      <c r="P15" s="58"/>
    </row>
    <row r="16" spans="1:16" x14ac:dyDescent="0.25">
      <c r="A16" s="38">
        <v>44221</v>
      </c>
      <c r="B16" s="111">
        <v>98891.230367000011</v>
      </c>
      <c r="C16" s="111">
        <v>103911.448667</v>
      </c>
      <c r="D16" s="1">
        <f t="shared" si="0"/>
        <v>2.5634324314516288E-3</v>
      </c>
      <c r="E16" s="1">
        <f t="shared" si="1"/>
        <v>-7.7201937906540286E-3</v>
      </c>
      <c r="G16" s="145" t="s">
        <v>254</v>
      </c>
      <c r="H16" s="152">
        <f>KURT($D$2:$D$108)</f>
        <v>3.2841771214314206</v>
      </c>
      <c r="I16" s="152"/>
      <c r="J16" s="152"/>
      <c r="K16" s="150"/>
      <c r="L16" s="145" t="s">
        <v>254</v>
      </c>
      <c r="M16" s="152">
        <f>KURT($E$2:$E$108)</f>
        <v>2.7579142177468525</v>
      </c>
      <c r="N16" s="57"/>
      <c r="O16" s="57"/>
      <c r="P16" s="58"/>
    </row>
    <row r="17" spans="1:16" x14ac:dyDescent="0.25">
      <c r="A17" s="38">
        <v>44222</v>
      </c>
      <c r="B17" s="111">
        <v>98444.991910000012</v>
      </c>
      <c r="C17" s="111">
        <v>102985.19496200001</v>
      </c>
      <c r="D17" s="1">
        <f t="shared" si="0"/>
        <v>-4.5124168780582563E-3</v>
      </c>
      <c r="E17" s="1">
        <f t="shared" si="1"/>
        <v>-8.9138753898843071E-3</v>
      </c>
      <c r="G17" s="145" t="s">
        <v>255</v>
      </c>
      <c r="H17" s="152">
        <f>SKEW($D$2:$D$108)</f>
        <v>0.75057229965384797</v>
      </c>
      <c r="I17" s="152"/>
      <c r="J17" s="152"/>
      <c r="K17" s="150"/>
      <c r="L17" s="145" t="s">
        <v>255</v>
      </c>
      <c r="M17" s="152">
        <f>SKEW($E$2:$E$108)</f>
        <v>0.89727992950760049</v>
      </c>
      <c r="N17" s="57"/>
      <c r="O17" s="57"/>
      <c r="P17" s="58"/>
    </row>
    <row r="18" spans="1:16" x14ac:dyDescent="0.25">
      <c r="A18" s="38">
        <v>44223</v>
      </c>
      <c r="B18" s="111">
        <v>98080.976989999996</v>
      </c>
      <c r="C18" s="111">
        <v>101976.12684499999</v>
      </c>
      <c r="D18" s="1">
        <f t="shared" si="0"/>
        <v>-3.6976479243637783E-3</v>
      </c>
      <c r="E18" s="1">
        <f t="shared" si="1"/>
        <v>-9.7981862089240312E-3</v>
      </c>
      <c r="G18" s="145" t="s">
        <v>256</v>
      </c>
      <c r="H18" s="151">
        <f>H20-H19</f>
        <v>3.5930706599874629E-2</v>
      </c>
      <c r="I18" s="151"/>
      <c r="J18" s="151"/>
      <c r="K18" s="149"/>
      <c r="L18" s="145" t="s">
        <v>256</v>
      </c>
      <c r="M18" s="151">
        <f>M20-M19</f>
        <v>6.2271027967398251E-2</v>
      </c>
      <c r="N18" s="57"/>
      <c r="O18" s="57"/>
      <c r="P18" s="58"/>
    </row>
    <row r="19" spans="1:16" x14ac:dyDescent="0.25">
      <c r="A19" s="38">
        <v>44224</v>
      </c>
      <c r="B19" s="111">
        <v>97900.014452000003</v>
      </c>
      <c r="C19" s="111">
        <v>103060.27229200001</v>
      </c>
      <c r="D19" s="1">
        <f t="shared" si="0"/>
        <v>-1.845031968007893E-3</v>
      </c>
      <c r="E19" s="1">
        <f t="shared" si="1"/>
        <v>1.0631365208132237E-2</v>
      </c>
      <c r="G19" s="145" t="s">
        <v>257</v>
      </c>
      <c r="H19" s="151">
        <f>MIN($D$2:$D$108)</f>
        <v>-1.0998705636039663E-2</v>
      </c>
      <c r="I19" s="151"/>
      <c r="J19" s="151"/>
      <c r="K19" s="149"/>
      <c r="L19" s="145" t="s">
        <v>257</v>
      </c>
      <c r="M19" s="151">
        <f>MIN($E$2:$E$108)</f>
        <v>-1.6872331571736177E-2</v>
      </c>
      <c r="N19" s="57"/>
      <c r="O19" s="57"/>
      <c r="P19" s="58"/>
    </row>
    <row r="20" spans="1:16" x14ac:dyDescent="0.25">
      <c r="A20" s="38">
        <v>44225</v>
      </c>
      <c r="B20" s="111">
        <v>97440.306859000004</v>
      </c>
      <c r="C20" s="111">
        <v>102014.51824100001</v>
      </c>
      <c r="D20" s="1">
        <f t="shared" si="0"/>
        <v>-4.6956846285798326E-3</v>
      </c>
      <c r="E20" s="1">
        <f t="shared" si="1"/>
        <v>-1.0147014244606956E-2</v>
      </c>
      <c r="G20" s="145" t="s">
        <v>258</v>
      </c>
      <c r="H20" s="151">
        <f>MAX($D$2:$D$108)</f>
        <v>2.4932000963834966E-2</v>
      </c>
      <c r="I20" s="151"/>
      <c r="J20" s="151"/>
      <c r="K20" s="149"/>
      <c r="L20" s="145" t="s">
        <v>258</v>
      </c>
      <c r="M20" s="151">
        <f>MAX($E$2:$E$108)</f>
        <v>4.5398696395662075E-2</v>
      </c>
      <c r="N20" s="57"/>
      <c r="O20" s="57"/>
      <c r="P20" s="58"/>
    </row>
    <row r="21" spans="1:16" x14ac:dyDescent="0.25">
      <c r="A21" s="38">
        <v>44228</v>
      </c>
      <c r="B21" s="111">
        <v>97095.232638000001</v>
      </c>
      <c r="C21" s="111">
        <v>103034.94610900001</v>
      </c>
      <c r="D21" s="1">
        <f t="shared" si="0"/>
        <v>-3.5413909512758135E-3</v>
      </c>
      <c r="E21" s="1">
        <f t="shared" si="1"/>
        <v>1.0002771032936009E-2</v>
      </c>
      <c r="G21" s="163" t="s">
        <v>259</v>
      </c>
      <c r="H21" s="164">
        <f>COUNT($D$2:$D$108)</f>
        <v>106</v>
      </c>
      <c r="I21" s="164"/>
      <c r="J21" s="164"/>
      <c r="K21" s="165"/>
      <c r="L21" s="163" t="s">
        <v>259</v>
      </c>
      <c r="M21" s="164">
        <f>COUNT($E$2:$E$108)</f>
        <v>106</v>
      </c>
      <c r="N21" s="166"/>
      <c r="O21" s="166"/>
      <c r="P21" s="167"/>
    </row>
    <row r="22" spans="1:16" x14ac:dyDescent="0.25">
      <c r="A22" s="38">
        <v>44229</v>
      </c>
      <c r="B22" s="111">
        <v>97570.919878999994</v>
      </c>
      <c r="C22" s="111">
        <v>104099.59953600002</v>
      </c>
      <c r="D22" s="1">
        <f t="shared" si="0"/>
        <v>4.89918225721242E-3</v>
      </c>
      <c r="E22" s="1">
        <f t="shared" si="1"/>
        <v>1.0332935253576148E-2</v>
      </c>
      <c r="G22" s="158" t="s">
        <v>263</v>
      </c>
      <c r="H22" s="57"/>
      <c r="I22" s="57"/>
      <c r="J22" s="57"/>
      <c r="K22" s="58"/>
      <c r="L22" s="158" t="s">
        <v>263</v>
      </c>
      <c r="M22" s="57"/>
      <c r="N22" s="57"/>
      <c r="O22" s="57"/>
      <c r="P22" s="58"/>
    </row>
    <row r="23" spans="1:16" x14ac:dyDescent="0.25">
      <c r="A23" s="38">
        <v>44230</v>
      </c>
      <c r="B23" s="111">
        <v>96795.987606999988</v>
      </c>
      <c r="C23" s="111">
        <v>103588.02534800002</v>
      </c>
      <c r="D23" s="1">
        <f t="shared" si="0"/>
        <v>-7.9422462446907538E-3</v>
      </c>
      <c r="E23" s="1">
        <f t="shared" si="1"/>
        <v>-4.9142762343008517E-3</v>
      </c>
      <c r="G23" s="145" t="s">
        <v>260</v>
      </c>
      <c r="H23" s="157" t="s">
        <v>261</v>
      </c>
      <c r="I23" s="154" t="s">
        <v>256</v>
      </c>
      <c r="J23" s="154" t="s">
        <v>262</v>
      </c>
      <c r="K23" s="148" t="s">
        <v>265</v>
      </c>
      <c r="L23" s="145" t="s">
        <v>260</v>
      </c>
      <c r="M23" s="157" t="s">
        <v>261</v>
      </c>
      <c r="N23" s="154" t="s">
        <v>256</v>
      </c>
      <c r="O23" s="154" t="s">
        <v>262</v>
      </c>
      <c r="P23" s="148" t="s">
        <v>265</v>
      </c>
    </row>
    <row r="24" spans="1:16" x14ac:dyDescent="0.25">
      <c r="A24" s="38">
        <v>44231</v>
      </c>
      <c r="B24" s="111">
        <v>97427.695794999992</v>
      </c>
      <c r="C24" s="111">
        <v>108290.78666100002</v>
      </c>
      <c r="D24" s="1">
        <f t="shared" si="0"/>
        <v>6.5261815455077699E-3</v>
      </c>
      <c r="E24" s="1">
        <f t="shared" si="1"/>
        <v>4.5398696395662075E-2</v>
      </c>
      <c r="G24" s="60">
        <f>$H$12-(3*$H$14)</f>
        <v>-1.5054696681755545E-2</v>
      </c>
      <c r="H24" s="57">
        <f>COUNTIF($D:$D,"&lt;"&amp;G24)</f>
        <v>0</v>
      </c>
      <c r="I24" s="154" t="str">
        <f>"Less than "&amp;TEXT(G24,"0.00%")</f>
        <v>Less than -1.51%</v>
      </c>
      <c r="J24" s="53">
        <f>H24/H$21</f>
        <v>0</v>
      </c>
      <c r="K24" s="54">
        <f>J24</f>
        <v>0</v>
      </c>
      <c r="L24" s="60">
        <f>$M$12-(3*$M$14)</f>
        <v>-2.681946189791392E-2</v>
      </c>
      <c r="M24" s="57">
        <f>COUNTIF($E:$E,"&lt;"&amp;L24)</f>
        <v>0</v>
      </c>
      <c r="N24" s="154" t="str">
        <f>"Less than "&amp;TEXT(L24,"0.00%")</f>
        <v>Less than -2.68%</v>
      </c>
      <c r="O24" s="53">
        <f>M24/M$21</f>
        <v>0</v>
      </c>
      <c r="P24" s="54">
        <f>O24</f>
        <v>0</v>
      </c>
    </row>
    <row r="25" spans="1:16" x14ac:dyDescent="0.25">
      <c r="A25" s="38">
        <v>44232</v>
      </c>
      <c r="B25" s="111">
        <v>97880.193807999996</v>
      </c>
      <c r="C25" s="111">
        <v>108260.97543100001</v>
      </c>
      <c r="D25" s="1">
        <f t="shared" si="0"/>
        <v>4.644449499781933E-3</v>
      </c>
      <c r="E25" s="1">
        <f t="shared" si="1"/>
        <v>-2.752887010908367E-4</v>
      </c>
      <c r="G25" s="60">
        <f>$H$12-(2.5*$H$14)</f>
        <v>-1.24320844874158E-2</v>
      </c>
      <c r="H25" s="57">
        <f>COUNTIFS($D:$D,"&gt;="&amp;G24,$D:$D,"&lt;"&amp;G25)</f>
        <v>0</v>
      </c>
      <c r="I25" s="154" t="str">
        <f>TEXT(G24,"0.00%")&amp;" to "&amp;TEXT(G25,"0.00%")</f>
        <v>-1.51% to -1.24%</v>
      </c>
      <c r="J25" s="53">
        <f t="shared" ref="J25:J37" si="2">H25/H$21</f>
        <v>0</v>
      </c>
      <c r="K25" s="54">
        <f>K24+J25</f>
        <v>0</v>
      </c>
      <c r="L25" s="60">
        <f>$M$12-(2.5*$M$14)</f>
        <v>-2.2026842741656397E-2</v>
      </c>
      <c r="M25" s="57">
        <f>COUNTIFS($E:$E,"&gt;="&amp;L24,$E:$E,"&lt;"&amp;L25)</f>
        <v>0</v>
      </c>
      <c r="N25" s="154" t="str">
        <f>TEXT(L24,"0.00%")&amp;" to "&amp;TEXT(L25,"0.00%")</f>
        <v>-2.68% to -2.20%</v>
      </c>
      <c r="O25" s="53">
        <f t="shared" ref="O25:O37" si="3">M25/M$21</f>
        <v>0</v>
      </c>
      <c r="P25" s="54">
        <f>P24+O25</f>
        <v>0</v>
      </c>
    </row>
    <row r="26" spans="1:16" x14ac:dyDescent="0.25">
      <c r="A26" s="38">
        <v>44235</v>
      </c>
      <c r="B26" s="111">
        <v>98330.121664999999</v>
      </c>
      <c r="C26" s="111">
        <v>109036.49332200001</v>
      </c>
      <c r="D26" s="1">
        <f t="shared" si="0"/>
        <v>4.5967201279002445E-3</v>
      </c>
      <c r="E26" s="1">
        <f t="shared" si="1"/>
        <v>7.1634112653480297E-3</v>
      </c>
      <c r="G26" s="60">
        <f>$H$12-(2*$H$14)</f>
        <v>-9.8094722930760578E-3</v>
      </c>
      <c r="H26" s="57">
        <f t="shared" ref="H26:H36" si="4">COUNTIFS($D:$D,"&gt;="&amp;G25,$D:$D,"&lt;"&amp;G26)</f>
        <v>2</v>
      </c>
      <c r="I26" s="154" t="str">
        <f t="shared" ref="I26:I36" si="5">TEXT(G25,"0.00%")&amp;" to "&amp;TEXT(G26,"0.00%")</f>
        <v>-1.24% to -0.98%</v>
      </c>
      <c r="J26" s="53">
        <f t="shared" si="2"/>
        <v>1.8867924528301886E-2</v>
      </c>
      <c r="K26" s="54">
        <f t="shared" ref="K26:K37" si="6">K25+J26</f>
        <v>1.8867924528301886E-2</v>
      </c>
      <c r="L26" s="60">
        <f>$M$12-(2*$M$14)</f>
        <v>-1.7234223585398875E-2</v>
      </c>
      <c r="M26" s="57">
        <f t="shared" ref="M26:M36" si="7">COUNTIFS($E:$E,"&gt;="&amp;L25,$E:$E,"&lt;"&amp;L26)</f>
        <v>0</v>
      </c>
      <c r="N26" s="154" t="str">
        <f t="shared" ref="N26:N36" si="8">TEXT(L25,"0.00%")&amp;" to "&amp;TEXT(L26,"0.00%")</f>
        <v>-2.20% to -1.72%</v>
      </c>
      <c r="O26" s="53">
        <f t="shared" si="3"/>
        <v>0</v>
      </c>
      <c r="P26" s="54">
        <f t="shared" ref="P26:P37" si="9">P25+O26</f>
        <v>0</v>
      </c>
    </row>
    <row r="27" spans="1:16" x14ac:dyDescent="0.25">
      <c r="A27" s="38">
        <v>44236</v>
      </c>
      <c r="B27" s="111">
        <v>97874.288845999981</v>
      </c>
      <c r="C27" s="111">
        <v>108630.76331200002</v>
      </c>
      <c r="D27" s="1">
        <f t="shared" si="0"/>
        <v>-4.6357393978723183E-3</v>
      </c>
      <c r="E27" s="1">
        <f t="shared" si="1"/>
        <v>-3.7210478587367257E-3</v>
      </c>
      <c r="G27" s="60">
        <f>$H$12-(1.5*$H$14)</f>
        <v>-7.1868600987363166E-3</v>
      </c>
      <c r="H27" s="57">
        <f t="shared" si="4"/>
        <v>5</v>
      </c>
      <c r="I27" s="154" t="str">
        <f t="shared" si="5"/>
        <v>-0.98% to -0.72%</v>
      </c>
      <c r="J27" s="53">
        <f t="shared" si="2"/>
        <v>4.716981132075472E-2</v>
      </c>
      <c r="K27" s="54">
        <f t="shared" si="6"/>
        <v>6.6037735849056603E-2</v>
      </c>
      <c r="L27" s="60">
        <f>$M$12-(1.5*$M$14)</f>
        <v>-1.2441604429141355E-2</v>
      </c>
      <c r="M27" s="57">
        <f t="shared" si="7"/>
        <v>5</v>
      </c>
      <c r="N27" s="154" t="str">
        <f t="shared" si="8"/>
        <v>-1.72% to -1.24%</v>
      </c>
      <c r="O27" s="53">
        <f t="shared" si="3"/>
        <v>4.716981132075472E-2</v>
      </c>
      <c r="P27" s="54">
        <f t="shared" si="9"/>
        <v>4.716981132075472E-2</v>
      </c>
    </row>
    <row r="28" spans="1:16" x14ac:dyDescent="0.25">
      <c r="A28" s="38">
        <v>44237</v>
      </c>
      <c r="B28" s="111">
        <v>98358.440882999988</v>
      </c>
      <c r="C28" s="111">
        <v>109077.55922800001</v>
      </c>
      <c r="D28" s="1">
        <f t="shared" si="0"/>
        <v>4.9466723355895414E-3</v>
      </c>
      <c r="E28" s="1">
        <f t="shared" si="1"/>
        <v>4.1129777825157365E-3</v>
      </c>
      <c r="G28" s="60">
        <f>$H$12-(1*$H$14)</f>
        <v>-4.5642479043965728E-3</v>
      </c>
      <c r="H28" s="57">
        <f t="shared" si="4"/>
        <v>7</v>
      </c>
      <c r="I28" s="154" t="str">
        <f t="shared" si="5"/>
        <v>-0.72% to -0.46%</v>
      </c>
      <c r="J28" s="53">
        <f t="shared" si="2"/>
        <v>6.6037735849056603E-2</v>
      </c>
      <c r="K28" s="54">
        <f t="shared" si="6"/>
        <v>0.13207547169811321</v>
      </c>
      <c r="L28" s="60">
        <f>$M$12-(1*$M$14)</f>
        <v>-7.6489852728838324E-3</v>
      </c>
      <c r="M28" s="57">
        <f t="shared" si="7"/>
        <v>12</v>
      </c>
      <c r="N28" s="154" t="str">
        <f t="shared" si="8"/>
        <v>-1.24% to -0.76%</v>
      </c>
      <c r="O28" s="53">
        <f t="shared" si="3"/>
        <v>0.11320754716981132</v>
      </c>
      <c r="P28" s="54">
        <f t="shared" si="9"/>
        <v>0.16037735849056606</v>
      </c>
    </row>
    <row r="29" spans="1:16" x14ac:dyDescent="0.25">
      <c r="A29" s="38">
        <v>44238</v>
      </c>
      <c r="B29" s="111">
        <v>98040.84785999998</v>
      </c>
      <c r="C29" s="111">
        <v>109708.05971600002</v>
      </c>
      <c r="D29" s="1">
        <f t="shared" si="0"/>
        <v>-3.2289351086582929E-3</v>
      </c>
      <c r="E29" s="1">
        <f t="shared" si="1"/>
        <v>5.7802951630234745E-3</v>
      </c>
      <c r="G29" s="60">
        <f>$H$12-(0.5*$H$14)</f>
        <v>-1.9416357100568295E-3</v>
      </c>
      <c r="H29" s="57">
        <f t="shared" si="4"/>
        <v>18</v>
      </c>
      <c r="I29" s="154" t="str">
        <f t="shared" si="5"/>
        <v>-0.46% to -0.19%</v>
      </c>
      <c r="J29" s="53">
        <f t="shared" si="2"/>
        <v>0.16981132075471697</v>
      </c>
      <c r="K29" s="54">
        <f t="shared" si="6"/>
        <v>0.30188679245283018</v>
      </c>
      <c r="L29" s="60">
        <f>$M$12-(0.5*$M$14)</f>
        <v>-2.8563661166263101E-3</v>
      </c>
      <c r="M29" s="57">
        <f t="shared" si="7"/>
        <v>20</v>
      </c>
      <c r="N29" s="154" t="str">
        <f t="shared" si="8"/>
        <v>-0.76% to -0.29%</v>
      </c>
      <c r="O29" s="53">
        <f t="shared" si="3"/>
        <v>0.18867924528301888</v>
      </c>
      <c r="P29" s="54">
        <f t="shared" si="9"/>
        <v>0.34905660377358494</v>
      </c>
    </row>
    <row r="30" spans="1:16" x14ac:dyDescent="0.25">
      <c r="A30" s="38">
        <v>44239</v>
      </c>
      <c r="B30" s="111">
        <v>97623.426647999993</v>
      </c>
      <c r="C30" s="111">
        <v>109575.82883900002</v>
      </c>
      <c r="D30" s="1">
        <f t="shared" si="0"/>
        <v>-4.2576254807185077E-3</v>
      </c>
      <c r="E30" s="1">
        <f t="shared" si="1"/>
        <v>-1.2052977451456615E-3</v>
      </c>
      <c r="G30" s="60">
        <f>$H$12</f>
        <v>6.8097648428291338E-4</v>
      </c>
      <c r="H30" s="57">
        <f t="shared" si="4"/>
        <v>22</v>
      </c>
      <c r="I30" s="154" t="str">
        <f t="shared" si="5"/>
        <v>-0.19% to 0.07%</v>
      </c>
      <c r="J30" s="53">
        <f t="shared" si="2"/>
        <v>0.20754716981132076</v>
      </c>
      <c r="K30" s="54">
        <f t="shared" si="6"/>
        <v>0.50943396226415094</v>
      </c>
      <c r="L30" s="60">
        <f>$M$12</f>
        <v>1.9362530396312124E-3</v>
      </c>
      <c r="M30" s="57">
        <f t="shared" si="7"/>
        <v>19</v>
      </c>
      <c r="N30" s="154" t="str">
        <f t="shared" si="8"/>
        <v>-0.29% to 0.19%</v>
      </c>
      <c r="O30" s="53">
        <f t="shared" si="3"/>
        <v>0.17924528301886791</v>
      </c>
      <c r="P30" s="54">
        <f t="shared" si="9"/>
        <v>0.52830188679245282</v>
      </c>
    </row>
    <row r="31" spans="1:16" x14ac:dyDescent="0.25">
      <c r="A31" s="38">
        <v>44243</v>
      </c>
      <c r="B31" s="111">
        <v>97259.986260999984</v>
      </c>
      <c r="C31" s="111">
        <v>108910.87928700002</v>
      </c>
      <c r="D31" s="1">
        <f t="shared" si="0"/>
        <v>-3.7228808645537459E-3</v>
      </c>
      <c r="E31" s="1">
        <f t="shared" si="1"/>
        <v>-6.0683962790463175E-3</v>
      </c>
      <c r="G31" s="60">
        <f>$H$12+(0.5*$H$14)</f>
        <v>3.3035886786226564E-3</v>
      </c>
      <c r="H31" s="57">
        <f t="shared" si="4"/>
        <v>22</v>
      </c>
      <c r="I31" s="154" t="str">
        <f t="shared" si="5"/>
        <v>0.07% to 0.33%</v>
      </c>
      <c r="J31" s="53">
        <f t="shared" si="2"/>
        <v>0.20754716981132076</v>
      </c>
      <c r="K31" s="54">
        <f t="shared" si="6"/>
        <v>0.71698113207547176</v>
      </c>
      <c r="L31" s="60">
        <f>$M$12+(0.5*$M$14)</f>
        <v>6.7288721958887344E-3</v>
      </c>
      <c r="M31" s="57">
        <f t="shared" si="7"/>
        <v>20</v>
      </c>
      <c r="N31" s="154" t="str">
        <f t="shared" si="8"/>
        <v>0.19% to 0.67%</v>
      </c>
      <c r="O31" s="53">
        <f t="shared" si="3"/>
        <v>0.18867924528301888</v>
      </c>
      <c r="P31" s="54">
        <f t="shared" si="9"/>
        <v>0.71698113207547176</v>
      </c>
    </row>
    <row r="32" spans="1:16" x14ac:dyDescent="0.25">
      <c r="A32" s="38">
        <v>44244</v>
      </c>
      <c r="B32" s="111">
        <v>97437.142246999982</v>
      </c>
      <c r="C32" s="111">
        <v>108955.25612900002</v>
      </c>
      <c r="D32" s="1">
        <f t="shared" si="0"/>
        <v>1.821468342845467E-3</v>
      </c>
      <c r="E32" s="1">
        <f t="shared" si="1"/>
        <v>4.0746013888148802E-4</v>
      </c>
      <c r="G32" s="60">
        <f>$H$12+(1*$H$14)</f>
        <v>5.9262008729623989E-3</v>
      </c>
      <c r="H32" s="57">
        <f t="shared" si="4"/>
        <v>15</v>
      </c>
      <c r="I32" s="154" t="str">
        <f t="shared" si="5"/>
        <v>0.33% to 0.59%</v>
      </c>
      <c r="J32" s="53">
        <f t="shared" si="2"/>
        <v>0.14150943396226415</v>
      </c>
      <c r="K32" s="54">
        <f t="shared" si="6"/>
        <v>0.85849056603773588</v>
      </c>
      <c r="L32" s="60">
        <f>$M$12+(1*$M$14)</f>
        <v>1.1521491352146257E-2</v>
      </c>
      <c r="M32" s="57">
        <f t="shared" si="7"/>
        <v>17</v>
      </c>
      <c r="N32" s="154" t="str">
        <f t="shared" si="8"/>
        <v>0.67% to 1.15%</v>
      </c>
      <c r="O32" s="53">
        <f t="shared" si="3"/>
        <v>0.16037735849056603</v>
      </c>
      <c r="P32" s="54">
        <f t="shared" si="9"/>
        <v>0.87735849056603776</v>
      </c>
    </row>
    <row r="33" spans="1:16" x14ac:dyDescent="0.25">
      <c r="A33" s="38">
        <v>44245</v>
      </c>
      <c r="B33" s="111">
        <v>97986.276403999975</v>
      </c>
      <c r="C33" s="111">
        <v>108772.636094</v>
      </c>
      <c r="D33" s="1">
        <f t="shared" si="0"/>
        <v>5.6357785577081376E-3</v>
      </c>
      <c r="E33" s="1">
        <f t="shared" si="1"/>
        <v>-1.6761011950061633E-3</v>
      </c>
      <c r="G33" s="60">
        <f>$H$12+(1.5*$H$14)</f>
        <v>8.5488130673021436E-3</v>
      </c>
      <c r="H33" s="57">
        <f t="shared" si="4"/>
        <v>11</v>
      </c>
      <c r="I33" s="154" t="str">
        <f t="shared" si="5"/>
        <v>0.59% to 0.85%</v>
      </c>
      <c r="J33" s="53">
        <f t="shared" si="2"/>
        <v>0.10377358490566038</v>
      </c>
      <c r="K33" s="54">
        <f t="shared" si="6"/>
        <v>0.96226415094339623</v>
      </c>
      <c r="L33" s="60">
        <f>$M$12+(1.5*$M$14)</f>
        <v>1.6314110508403781E-2</v>
      </c>
      <c r="M33" s="57">
        <f t="shared" si="7"/>
        <v>6</v>
      </c>
      <c r="N33" s="154" t="str">
        <f t="shared" si="8"/>
        <v>1.15% to 1.63%</v>
      </c>
      <c r="O33" s="53">
        <f t="shared" si="3"/>
        <v>5.6603773584905662E-2</v>
      </c>
      <c r="P33" s="54">
        <f t="shared" si="9"/>
        <v>0.93396226415094341</v>
      </c>
    </row>
    <row r="34" spans="1:16" x14ac:dyDescent="0.25">
      <c r="A34" s="38">
        <v>44246</v>
      </c>
      <c r="B34" s="111">
        <v>97262.40727799997</v>
      </c>
      <c r="C34" s="111">
        <v>110939.048779</v>
      </c>
      <c r="D34" s="1">
        <f t="shared" si="0"/>
        <v>-7.3874541677191319E-3</v>
      </c>
      <c r="E34" s="1">
        <f t="shared" si="1"/>
        <v>1.9916890523162589E-2</v>
      </c>
      <c r="G34" s="60">
        <f>$H$12+(2*$H$14)</f>
        <v>1.1171425261641886E-2</v>
      </c>
      <c r="H34" s="57">
        <f t="shared" si="4"/>
        <v>3</v>
      </c>
      <c r="I34" s="154" t="str">
        <f t="shared" si="5"/>
        <v>0.85% to 1.12%</v>
      </c>
      <c r="J34" s="53">
        <f t="shared" si="2"/>
        <v>2.8301886792452831E-2</v>
      </c>
      <c r="K34" s="54">
        <f t="shared" si="6"/>
        <v>0.99056603773584906</v>
      </c>
      <c r="L34" s="60">
        <f>$M$12+(2*$M$14)</f>
        <v>2.1106729664661303E-2</v>
      </c>
      <c r="M34" s="57">
        <f t="shared" si="7"/>
        <v>5</v>
      </c>
      <c r="N34" s="154" t="str">
        <f t="shared" si="8"/>
        <v>1.63% to 2.11%</v>
      </c>
      <c r="O34" s="53">
        <f t="shared" si="3"/>
        <v>4.716981132075472E-2</v>
      </c>
      <c r="P34" s="54">
        <f t="shared" si="9"/>
        <v>0.98113207547169812</v>
      </c>
    </row>
    <row r="35" spans="1:16" x14ac:dyDescent="0.25">
      <c r="A35" s="38">
        <v>44249</v>
      </c>
      <c r="B35" s="111">
        <v>99687.353709999981</v>
      </c>
      <c r="C35" s="111">
        <v>111989.92726000001</v>
      </c>
      <c r="D35" s="1">
        <f t="shared" si="0"/>
        <v>2.4932000963834966E-2</v>
      </c>
      <c r="E35" s="1">
        <f t="shared" si="1"/>
        <v>9.472575189403809E-3</v>
      </c>
      <c r="G35" s="60">
        <f>$H$12+(2.5*$H$14)</f>
        <v>1.3794037455981628E-2</v>
      </c>
      <c r="H35" s="57">
        <f t="shared" si="4"/>
        <v>0</v>
      </c>
      <c r="I35" s="154" t="str">
        <f t="shared" si="5"/>
        <v>1.12% to 1.38%</v>
      </c>
      <c r="J35" s="53">
        <f t="shared" si="2"/>
        <v>0</v>
      </c>
      <c r="K35" s="54">
        <f t="shared" si="6"/>
        <v>0.99056603773584906</v>
      </c>
      <c r="L35" s="60">
        <f>$M$12+(2.5*$M$14)</f>
        <v>2.5899348820918825E-2</v>
      </c>
      <c r="M35" s="57">
        <f t="shared" si="7"/>
        <v>1</v>
      </c>
      <c r="N35" s="154" t="str">
        <f t="shared" si="8"/>
        <v>2.11% to 2.59%</v>
      </c>
      <c r="O35" s="53">
        <f t="shared" si="3"/>
        <v>9.433962264150943E-3</v>
      </c>
      <c r="P35" s="54">
        <f t="shared" si="9"/>
        <v>0.99056603773584906</v>
      </c>
    </row>
    <row r="36" spans="1:16" x14ac:dyDescent="0.25">
      <c r="A36" s="38">
        <v>44250</v>
      </c>
      <c r="B36" s="111">
        <v>100451.32113199997</v>
      </c>
      <c r="C36" s="111">
        <v>112372.98463499999</v>
      </c>
      <c r="D36" s="1">
        <f t="shared" si="0"/>
        <v>7.663634288281429E-3</v>
      </c>
      <c r="E36" s="1">
        <f t="shared" si="1"/>
        <v>3.4204627538569898E-3</v>
      </c>
      <c r="G36" s="60">
        <f>$H$12+(3*$H$14)</f>
        <v>1.6416649650321372E-2</v>
      </c>
      <c r="H36" s="57">
        <f t="shared" si="4"/>
        <v>0</v>
      </c>
      <c r="I36" s="154" t="str">
        <f t="shared" si="5"/>
        <v>1.38% to 1.64%</v>
      </c>
      <c r="J36" s="53">
        <f t="shared" si="2"/>
        <v>0</v>
      </c>
      <c r="K36" s="54">
        <f t="shared" si="6"/>
        <v>0.99056603773584906</v>
      </c>
      <c r="L36" s="60">
        <f>$M$12+(3*$M$14)</f>
        <v>3.0691967977176347E-2</v>
      </c>
      <c r="M36" s="57">
        <f t="shared" si="7"/>
        <v>0</v>
      </c>
      <c r="N36" s="154" t="str">
        <f t="shared" si="8"/>
        <v>2.59% to 3.07%</v>
      </c>
      <c r="O36" s="53">
        <f t="shared" si="3"/>
        <v>0</v>
      </c>
      <c r="P36" s="54">
        <f t="shared" si="9"/>
        <v>0.99056603773584906</v>
      </c>
    </row>
    <row r="37" spans="1:16" x14ac:dyDescent="0.25">
      <c r="A37" s="38">
        <v>44251</v>
      </c>
      <c r="B37" s="111">
        <v>100654.70560499998</v>
      </c>
      <c r="C37" s="111">
        <v>114469.66179300001</v>
      </c>
      <c r="D37" s="1">
        <f t="shared" si="0"/>
        <v>2.0247068003491631E-3</v>
      </c>
      <c r="E37" s="1">
        <f t="shared" si="1"/>
        <v>1.8658195871634753E-2</v>
      </c>
      <c r="G37" s="168"/>
      <c r="H37" s="166">
        <f>COUNTIF($D:$D,"&gt;="&amp;G36)</f>
        <v>1</v>
      </c>
      <c r="I37" s="164" t="str">
        <f>"Greater than "&amp;TEXT(G36,"0.00%")</f>
        <v>Greater than 1.64%</v>
      </c>
      <c r="J37" s="169">
        <f t="shared" si="2"/>
        <v>9.433962264150943E-3</v>
      </c>
      <c r="K37" s="170">
        <f t="shared" si="6"/>
        <v>1</v>
      </c>
      <c r="L37" s="168"/>
      <c r="M37" s="166">
        <f>COUNTIF($E:$E,"&gt;="&amp;L36)</f>
        <v>1</v>
      </c>
      <c r="N37" s="164" t="str">
        <f>"Greater than "&amp;TEXT(L36,"0.00%")</f>
        <v>Greater than 3.07%</v>
      </c>
      <c r="O37" s="169">
        <f t="shared" si="3"/>
        <v>9.433962264150943E-3</v>
      </c>
      <c r="P37" s="170">
        <f t="shared" si="9"/>
        <v>1</v>
      </c>
    </row>
    <row r="38" spans="1:16" x14ac:dyDescent="0.25">
      <c r="A38" s="38">
        <v>44252</v>
      </c>
      <c r="B38" s="111">
        <v>100391.23649699998</v>
      </c>
      <c r="C38" s="111">
        <v>113962.00897199998</v>
      </c>
      <c r="D38" s="1">
        <f t="shared" si="0"/>
        <v>-2.6175538085019268E-3</v>
      </c>
      <c r="E38" s="1">
        <f t="shared" si="1"/>
        <v>-4.4348241538272326E-3</v>
      </c>
      <c r="G38" s="59"/>
      <c r="H38" s="57"/>
      <c r="I38" s="57"/>
      <c r="J38" s="57"/>
      <c r="K38" s="58"/>
      <c r="L38" s="59"/>
      <c r="M38" s="57"/>
      <c r="N38" s="57"/>
      <c r="O38" s="57"/>
      <c r="P38" s="58"/>
    </row>
    <row r="39" spans="1:16" x14ac:dyDescent="0.25">
      <c r="A39" s="38">
        <v>44253</v>
      </c>
      <c r="B39" s="111">
        <v>99536.771028999996</v>
      </c>
      <c r="C39" s="111">
        <v>115081.753784</v>
      </c>
      <c r="D39" s="1">
        <f t="shared" si="0"/>
        <v>-8.5113551522548736E-3</v>
      </c>
      <c r="E39" s="1">
        <f t="shared" si="1"/>
        <v>9.8255973381018435E-3</v>
      </c>
      <c r="G39" s="59"/>
      <c r="H39" s="57"/>
      <c r="I39" s="57"/>
      <c r="J39" s="57"/>
      <c r="K39" s="58"/>
      <c r="L39" s="59"/>
      <c r="M39" s="57"/>
      <c r="N39" s="57"/>
      <c r="O39" s="57"/>
      <c r="P39" s="58"/>
    </row>
    <row r="40" spans="1:16" x14ac:dyDescent="0.25">
      <c r="A40" s="38">
        <v>44256</v>
      </c>
      <c r="B40" s="111">
        <v>99412.466676999989</v>
      </c>
      <c r="C40" s="111">
        <v>115801.54930599999</v>
      </c>
      <c r="D40" s="1">
        <f t="shared" si="0"/>
        <v>-1.2488284552026885E-3</v>
      </c>
      <c r="E40" s="1">
        <f t="shared" si="1"/>
        <v>6.254645053037633E-3</v>
      </c>
      <c r="G40" s="59"/>
      <c r="H40" s="57"/>
      <c r="I40" s="57"/>
      <c r="J40" s="57"/>
      <c r="K40" s="58"/>
      <c r="L40" s="59"/>
      <c r="M40" s="57"/>
      <c r="N40" s="57"/>
      <c r="O40" s="57"/>
      <c r="P40" s="58"/>
    </row>
    <row r="41" spans="1:16" x14ac:dyDescent="0.25">
      <c r="A41" s="38">
        <v>44257</v>
      </c>
      <c r="B41" s="111">
        <v>100015.312255</v>
      </c>
      <c r="C41" s="111">
        <v>115286.53177499998</v>
      </c>
      <c r="D41" s="1">
        <f t="shared" si="0"/>
        <v>6.0640842959738261E-3</v>
      </c>
      <c r="E41" s="1">
        <f t="shared" si="1"/>
        <v>-4.4474148583202311E-3</v>
      </c>
      <c r="G41" s="59"/>
      <c r="H41" s="57"/>
      <c r="I41" s="57"/>
      <c r="J41" s="57"/>
      <c r="K41" s="58"/>
      <c r="L41" s="59"/>
      <c r="M41" s="57"/>
      <c r="N41" s="57"/>
      <c r="O41" s="57"/>
      <c r="P41" s="58"/>
    </row>
    <row r="42" spans="1:16" x14ac:dyDescent="0.25">
      <c r="A42" s="38">
        <v>44258</v>
      </c>
      <c r="B42" s="111">
        <v>100256.00524500001</v>
      </c>
      <c r="C42" s="111">
        <v>114322.33764299998</v>
      </c>
      <c r="D42" s="1">
        <f t="shared" si="0"/>
        <v>2.4065614011816727E-3</v>
      </c>
      <c r="E42" s="1">
        <f t="shared" si="1"/>
        <v>-8.3634585684456697E-3</v>
      </c>
      <c r="G42" s="59"/>
      <c r="H42" s="57"/>
      <c r="I42" s="57"/>
      <c r="J42" s="57"/>
      <c r="K42" s="58"/>
      <c r="L42" s="59"/>
      <c r="M42" s="57"/>
      <c r="N42" s="57"/>
      <c r="O42" s="57"/>
      <c r="P42" s="58"/>
    </row>
    <row r="43" spans="1:16" x14ac:dyDescent="0.25">
      <c r="A43" s="38">
        <v>44259</v>
      </c>
      <c r="B43" s="111">
        <v>100423.873691</v>
      </c>
      <c r="C43" s="111">
        <v>113193.23911199998</v>
      </c>
      <c r="D43" s="1">
        <f t="shared" si="0"/>
        <v>1.6743979135191989E-3</v>
      </c>
      <c r="E43" s="1">
        <f t="shared" si="1"/>
        <v>-9.8764471955243849E-3</v>
      </c>
      <c r="G43" s="59"/>
      <c r="H43" s="57"/>
      <c r="I43" s="57"/>
      <c r="J43" s="57"/>
      <c r="K43" s="58"/>
      <c r="L43" s="59"/>
      <c r="M43" s="57"/>
      <c r="N43" s="57"/>
      <c r="O43" s="57"/>
      <c r="P43" s="58"/>
    </row>
    <row r="44" spans="1:16" x14ac:dyDescent="0.25">
      <c r="A44" s="38">
        <v>44260</v>
      </c>
      <c r="B44" s="111">
        <v>100818.00189</v>
      </c>
      <c r="C44" s="111">
        <v>113764.78238599998</v>
      </c>
      <c r="D44" s="1">
        <f t="shared" si="0"/>
        <v>3.92464644624968E-3</v>
      </c>
      <c r="E44" s="1">
        <f t="shared" si="1"/>
        <v>5.0492704200688632E-3</v>
      </c>
      <c r="G44" s="59"/>
      <c r="H44" s="57"/>
      <c r="I44" s="57"/>
      <c r="J44" s="57"/>
      <c r="K44" s="58"/>
      <c r="L44" s="59"/>
      <c r="M44" s="57"/>
      <c r="N44" s="57"/>
      <c r="O44" s="57"/>
      <c r="P44" s="58"/>
    </row>
    <row r="45" spans="1:16" x14ac:dyDescent="0.25">
      <c r="A45" s="38">
        <v>44263</v>
      </c>
      <c r="B45" s="111">
        <v>101624.65684400001</v>
      </c>
      <c r="C45" s="111">
        <v>115436.59471999996</v>
      </c>
      <c r="D45" s="1">
        <f t="shared" si="0"/>
        <v>8.0011003876085951E-3</v>
      </c>
      <c r="E45" s="1">
        <f t="shared" si="1"/>
        <v>1.4695341554186614E-2</v>
      </c>
      <c r="G45" s="59"/>
      <c r="H45" s="57"/>
      <c r="I45" s="57"/>
      <c r="J45" s="57"/>
      <c r="K45" s="58"/>
      <c r="L45" s="59"/>
      <c r="M45" s="57"/>
      <c r="N45" s="57"/>
      <c r="O45" s="57"/>
      <c r="P45" s="58"/>
    </row>
    <row r="46" spans="1:16" x14ac:dyDescent="0.25">
      <c r="A46" s="38">
        <v>44264</v>
      </c>
      <c r="B46" s="111">
        <v>101893.47585800001</v>
      </c>
      <c r="C46" s="111">
        <v>116747.64353299997</v>
      </c>
      <c r="D46" s="1">
        <f t="shared" si="0"/>
        <v>2.645214481881597E-3</v>
      </c>
      <c r="E46" s="1">
        <f t="shared" si="1"/>
        <v>1.1357306720455984E-2</v>
      </c>
      <c r="G46" s="59"/>
      <c r="H46" s="57"/>
      <c r="I46" s="57"/>
      <c r="J46" s="57"/>
      <c r="K46" s="58"/>
      <c r="L46" s="59"/>
      <c r="M46" s="57"/>
      <c r="N46" s="57"/>
      <c r="O46" s="57"/>
      <c r="P46" s="58"/>
    </row>
    <row r="47" spans="1:16" x14ac:dyDescent="0.25">
      <c r="A47" s="38">
        <v>44265</v>
      </c>
      <c r="B47" s="111">
        <v>102645.79150000001</v>
      </c>
      <c r="C47" s="111">
        <v>117384.53096099995</v>
      </c>
      <c r="D47" s="1">
        <f t="shared" si="0"/>
        <v>7.3833543871684171E-3</v>
      </c>
      <c r="E47" s="1">
        <f t="shared" si="1"/>
        <v>5.4552486776313636E-3</v>
      </c>
      <c r="G47" s="59"/>
      <c r="H47" s="57"/>
      <c r="I47" s="57"/>
      <c r="J47" s="57"/>
      <c r="K47" s="58"/>
      <c r="L47" s="59"/>
      <c r="M47" s="57"/>
      <c r="N47" s="57"/>
      <c r="O47" s="57"/>
      <c r="P47" s="58"/>
    </row>
    <row r="48" spans="1:16" x14ac:dyDescent="0.25">
      <c r="A48" s="38">
        <v>44266</v>
      </c>
      <c r="B48" s="111">
        <v>102016.462285</v>
      </c>
      <c r="C48" s="111">
        <v>118118.72765499994</v>
      </c>
      <c r="D48" s="1">
        <f t="shared" si="0"/>
        <v>-6.1310766452612464E-3</v>
      </c>
      <c r="E48" s="1">
        <f t="shared" si="1"/>
        <v>6.2546290212968092E-3</v>
      </c>
      <c r="G48" s="59"/>
      <c r="H48" s="57"/>
      <c r="I48" s="57"/>
      <c r="J48" s="57"/>
      <c r="K48" s="58"/>
      <c r="L48" s="59"/>
      <c r="M48" s="57"/>
      <c r="N48" s="57"/>
      <c r="O48" s="57"/>
      <c r="P48" s="58"/>
    </row>
    <row r="49" spans="1:16" x14ac:dyDescent="0.25">
      <c r="A49" s="38">
        <v>44267</v>
      </c>
      <c r="B49" s="111">
        <v>102120.933911</v>
      </c>
      <c r="C49" s="111">
        <v>118021.62211499996</v>
      </c>
      <c r="D49" s="1">
        <f t="shared" si="0"/>
        <v>1.0240663483129797E-3</v>
      </c>
      <c r="E49" s="1">
        <f t="shared" si="1"/>
        <v>-8.221011344077267E-4</v>
      </c>
      <c r="G49" s="59"/>
      <c r="H49" s="57"/>
      <c r="I49" s="57"/>
      <c r="J49" s="57"/>
      <c r="K49" s="58"/>
      <c r="L49" s="59"/>
      <c r="M49" s="57"/>
      <c r="N49" s="57"/>
      <c r="O49" s="57"/>
      <c r="P49" s="58"/>
    </row>
    <row r="50" spans="1:16" x14ac:dyDescent="0.25">
      <c r="A50" s="38">
        <v>44270</v>
      </c>
      <c r="B50" s="111">
        <v>102609.716107</v>
      </c>
      <c r="C50" s="111">
        <v>119276.64189699996</v>
      </c>
      <c r="D50" s="1">
        <f t="shared" si="0"/>
        <v>4.7863075402931887E-3</v>
      </c>
      <c r="E50" s="1">
        <f t="shared" si="1"/>
        <v>1.0633812343107119E-2</v>
      </c>
      <c r="G50" s="59"/>
      <c r="H50" s="57"/>
      <c r="I50" s="57"/>
      <c r="J50" s="57"/>
      <c r="K50" s="58"/>
      <c r="L50" s="59"/>
      <c r="M50" s="57"/>
      <c r="N50" s="57"/>
      <c r="O50" s="57"/>
      <c r="P50" s="58"/>
    </row>
    <row r="51" spans="1:16" x14ac:dyDescent="0.25">
      <c r="A51" s="38">
        <v>44271</v>
      </c>
      <c r="B51" s="111">
        <v>102795.71412400001</v>
      </c>
      <c r="C51" s="111">
        <v>118907.46302099996</v>
      </c>
      <c r="D51" s="1">
        <f t="shared" si="0"/>
        <v>1.8126745113109521E-3</v>
      </c>
      <c r="E51" s="1">
        <f t="shared" si="1"/>
        <v>-3.0951481373763245E-3</v>
      </c>
      <c r="G51" s="59"/>
      <c r="H51" s="57"/>
      <c r="I51" s="57"/>
      <c r="J51" s="57"/>
      <c r="K51" s="58"/>
      <c r="L51" s="59"/>
      <c r="M51" s="57"/>
      <c r="N51" s="57"/>
      <c r="O51" s="57"/>
      <c r="P51" s="58"/>
    </row>
    <row r="52" spans="1:16" x14ac:dyDescent="0.25">
      <c r="A52" s="38">
        <v>44272</v>
      </c>
      <c r="B52" s="111">
        <v>102816.82292000001</v>
      </c>
      <c r="C52" s="111">
        <v>118728.77602099995</v>
      </c>
      <c r="D52" s="1">
        <f t="shared" si="0"/>
        <v>2.0534704369623569E-4</v>
      </c>
      <c r="E52" s="1">
        <f t="shared" si="1"/>
        <v>-1.502739991756874E-3</v>
      </c>
      <c r="G52" s="168"/>
      <c r="H52" s="166"/>
      <c r="I52" s="166"/>
      <c r="J52" s="166"/>
      <c r="K52" s="167"/>
      <c r="L52" s="168"/>
      <c r="M52" s="166"/>
      <c r="N52" s="166"/>
      <c r="O52" s="166"/>
      <c r="P52" s="167"/>
    </row>
    <row r="53" spans="1:16" x14ac:dyDescent="0.25">
      <c r="A53" s="38">
        <v>44273</v>
      </c>
      <c r="B53" s="111">
        <v>103155.056472</v>
      </c>
      <c r="C53" s="111">
        <v>118437.34216599996</v>
      </c>
      <c r="D53" s="1">
        <f t="shared" si="0"/>
        <v>3.2896713046965953E-3</v>
      </c>
      <c r="E53" s="1">
        <f t="shared" si="1"/>
        <v>-2.4546185412409605E-3</v>
      </c>
      <c r="G53" s="59"/>
      <c r="H53" s="57"/>
      <c r="I53" s="57"/>
      <c r="J53" s="57"/>
      <c r="K53" s="58"/>
      <c r="L53" s="59"/>
      <c r="M53" s="57"/>
      <c r="N53" s="57"/>
      <c r="O53" s="57"/>
      <c r="P53" s="58"/>
    </row>
    <row r="54" spans="1:16" x14ac:dyDescent="0.25">
      <c r="A54" s="38">
        <v>44274</v>
      </c>
      <c r="B54" s="111">
        <v>102833.10213700001</v>
      </c>
      <c r="C54" s="111">
        <v>118603.66041799996</v>
      </c>
      <c r="D54" s="1">
        <f t="shared" si="0"/>
        <v>-3.121071773029116E-3</v>
      </c>
      <c r="E54" s="1">
        <f t="shared" si="1"/>
        <v>1.4042720729656732E-3</v>
      </c>
      <c r="G54" s="59"/>
      <c r="H54" s="57"/>
      <c r="I54" s="57"/>
      <c r="J54" s="57"/>
      <c r="K54" s="58"/>
      <c r="L54" s="59"/>
      <c r="M54" s="57"/>
      <c r="N54" s="57"/>
      <c r="O54" s="57"/>
      <c r="P54" s="58"/>
    </row>
    <row r="55" spans="1:16" x14ac:dyDescent="0.25">
      <c r="A55" s="38">
        <v>44277</v>
      </c>
      <c r="B55" s="111">
        <v>102561.58088800001</v>
      </c>
      <c r="C55" s="111">
        <v>117259.89321199997</v>
      </c>
      <c r="D55" s="1">
        <f t="shared" si="0"/>
        <v>-2.6404070611256714E-3</v>
      </c>
      <c r="E55" s="1">
        <f t="shared" si="1"/>
        <v>-1.1329896575401621E-2</v>
      </c>
      <c r="G55" s="59"/>
      <c r="H55" s="57"/>
      <c r="I55" s="57"/>
      <c r="J55" s="57"/>
      <c r="K55" s="58"/>
      <c r="L55" s="59"/>
      <c r="M55" s="57"/>
      <c r="N55" s="57"/>
      <c r="O55" s="57"/>
      <c r="P55" s="58"/>
    </row>
    <row r="56" spans="1:16" x14ac:dyDescent="0.25">
      <c r="A56" s="38">
        <v>44278</v>
      </c>
      <c r="B56" s="111">
        <v>102737.004111</v>
      </c>
      <c r="C56" s="111">
        <v>116208.72171199997</v>
      </c>
      <c r="D56" s="1">
        <f t="shared" si="0"/>
        <v>1.7104184771834507E-3</v>
      </c>
      <c r="E56" s="1">
        <f t="shared" si="1"/>
        <v>-8.9644589569899402E-3</v>
      </c>
      <c r="G56" s="59"/>
      <c r="H56" s="57"/>
      <c r="I56" s="57"/>
      <c r="J56" s="57"/>
      <c r="K56" s="58"/>
      <c r="L56" s="59"/>
      <c r="M56" s="57"/>
      <c r="N56" s="57"/>
      <c r="O56" s="57"/>
      <c r="P56" s="58"/>
    </row>
    <row r="57" spans="1:16" x14ac:dyDescent="0.25">
      <c r="A57" s="38">
        <v>44279</v>
      </c>
      <c r="B57" s="111">
        <v>103347.01266800001</v>
      </c>
      <c r="C57" s="111">
        <v>115593.08618499996</v>
      </c>
      <c r="D57" s="1">
        <f t="shared" si="0"/>
        <v>5.9375739275104866E-3</v>
      </c>
      <c r="E57" s="1">
        <f t="shared" si="1"/>
        <v>-5.2976705872880281E-3</v>
      </c>
      <c r="G57" s="59"/>
      <c r="H57" s="57"/>
      <c r="I57" s="57"/>
      <c r="J57" s="57"/>
      <c r="K57" s="58"/>
      <c r="L57" s="59"/>
      <c r="M57" s="57"/>
      <c r="N57" s="57"/>
      <c r="O57" s="57"/>
      <c r="P57" s="58"/>
    </row>
    <row r="58" spans="1:16" x14ac:dyDescent="0.25">
      <c r="A58" s="38">
        <v>44280</v>
      </c>
      <c r="B58" s="111">
        <v>103621.592408</v>
      </c>
      <c r="C58" s="111">
        <v>117515.66972699996</v>
      </c>
      <c r="D58" s="1">
        <f t="shared" si="0"/>
        <v>2.656871571915298E-3</v>
      </c>
      <c r="E58" s="1">
        <f t="shared" si="1"/>
        <v>1.6632340267505263E-2</v>
      </c>
      <c r="G58" s="59"/>
      <c r="H58" s="57"/>
      <c r="I58" s="57"/>
      <c r="J58" s="57"/>
      <c r="K58" s="58"/>
      <c r="L58" s="59"/>
      <c r="M58" s="57"/>
      <c r="N58" s="57"/>
      <c r="O58" s="57"/>
      <c r="P58" s="58"/>
    </row>
    <row r="59" spans="1:16" x14ac:dyDescent="0.25">
      <c r="A59" s="38">
        <v>44281</v>
      </c>
      <c r="B59" s="111">
        <v>104131.216944</v>
      </c>
      <c r="C59" s="111">
        <v>118651.62195399996</v>
      </c>
      <c r="D59" s="1">
        <f t="shared" si="0"/>
        <v>4.9181307115355732E-3</v>
      </c>
      <c r="E59" s="1">
        <f t="shared" si="1"/>
        <v>9.6663894239714665E-3</v>
      </c>
      <c r="G59" s="59"/>
      <c r="H59" s="57"/>
      <c r="I59" s="57"/>
      <c r="J59" s="57"/>
      <c r="K59" s="58"/>
      <c r="L59" s="59"/>
      <c r="M59" s="57"/>
      <c r="N59" s="57"/>
      <c r="O59" s="57"/>
      <c r="P59" s="58"/>
    </row>
    <row r="60" spans="1:16" x14ac:dyDescent="0.25">
      <c r="A60" s="38">
        <v>44284</v>
      </c>
      <c r="B60" s="111">
        <v>104403.59235600001</v>
      </c>
      <c r="C60" s="111">
        <v>117145.68950499996</v>
      </c>
      <c r="D60" s="1">
        <f t="shared" si="0"/>
        <v>2.6156941212593932E-3</v>
      </c>
      <c r="E60" s="1">
        <f t="shared" si="1"/>
        <v>-1.2692051100522073E-2</v>
      </c>
      <c r="G60" s="59"/>
      <c r="H60" s="57"/>
      <c r="I60" s="57"/>
      <c r="J60" s="57"/>
      <c r="K60" s="58"/>
      <c r="L60" s="59"/>
      <c r="M60" s="57"/>
      <c r="N60" s="57"/>
      <c r="O60" s="57"/>
      <c r="P60" s="58"/>
    </row>
    <row r="61" spans="1:16" x14ac:dyDescent="0.25">
      <c r="A61" s="38">
        <v>44285</v>
      </c>
      <c r="B61" s="111">
        <v>104306.231741</v>
      </c>
      <c r="C61" s="111">
        <v>118753.80529399995</v>
      </c>
      <c r="D61" s="1">
        <f t="shared" si="0"/>
        <v>-9.3254085231120332E-4</v>
      </c>
      <c r="E61" s="1">
        <f t="shared" si="1"/>
        <v>1.3727485798197936E-2</v>
      </c>
      <c r="G61" s="59"/>
      <c r="H61" s="57"/>
      <c r="I61" s="57"/>
      <c r="J61" s="57"/>
      <c r="K61" s="58"/>
      <c r="L61" s="59"/>
      <c r="M61" s="57"/>
      <c r="N61" s="57"/>
      <c r="O61" s="57"/>
      <c r="P61" s="58"/>
    </row>
    <row r="62" spans="1:16" x14ac:dyDescent="0.25">
      <c r="A62" s="38">
        <v>44286</v>
      </c>
      <c r="B62" s="111">
        <v>104061.74799599999</v>
      </c>
      <c r="C62" s="111">
        <v>119851.93631499998</v>
      </c>
      <c r="D62" s="1">
        <f t="shared" si="0"/>
        <v>-2.3439035321214385E-3</v>
      </c>
      <c r="E62" s="1">
        <f t="shared" si="1"/>
        <v>9.2471228040347242E-3</v>
      </c>
      <c r="G62" s="59"/>
      <c r="H62" s="57"/>
      <c r="I62" s="57"/>
      <c r="J62" s="57"/>
      <c r="K62" s="58"/>
      <c r="L62" s="59"/>
      <c r="M62" s="57"/>
      <c r="N62" s="57"/>
      <c r="O62" s="57"/>
      <c r="P62" s="58"/>
    </row>
    <row r="63" spans="1:16" x14ac:dyDescent="0.25">
      <c r="A63" s="38">
        <v>44287</v>
      </c>
      <c r="B63" s="111">
        <v>104265.32101</v>
      </c>
      <c r="C63" s="111">
        <v>120540.53495199996</v>
      </c>
      <c r="D63" s="1">
        <f t="shared" si="0"/>
        <v>1.9562713285177225E-3</v>
      </c>
      <c r="E63" s="1">
        <f t="shared" si="1"/>
        <v>5.7454110310757311E-3</v>
      </c>
      <c r="G63" s="59"/>
      <c r="H63" s="57"/>
      <c r="I63" s="57"/>
      <c r="J63" s="57"/>
      <c r="K63" s="58"/>
      <c r="L63" s="59"/>
      <c r="M63" s="57"/>
      <c r="N63" s="57"/>
      <c r="O63" s="57"/>
      <c r="P63" s="58"/>
    </row>
    <row r="64" spans="1:16" x14ac:dyDescent="0.25">
      <c r="A64" s="38">
        <v>44291</v>
      </c>
      <c r="B64" s="111">
        <v>104913.65434499999</v>
      </c>
      <c r="C64" s="111">
        <v>121951.66225899996</v>
      </c>
      <c r="D64" s="1">
        <f t="shared" si="0"/>
        <v>6.2181109569288129E-3</v>
      </c>
      <c r="E64" s="1">
        <f t="shared" si="1"/>
        <v>1.1706662058219131E-2</v>
      </c>
      <c r="G64" s="59"/>
      <c r="H64" s="57"/>
      <c r="I64" s="57"/>
      <c r="J64" s="57"/>
      <c r="K64" s="58"/>
      <c r="L64" s="59"/>
      <c r="M64" s="57"/>
      <c r="N64" s="57"/>
      <c r="O64" s="57"/>
      <c r="P64" s="58"/>
    </row>
    <row r="65" spans="1:16" x14ac:dyDescent="0.25">
      <c r="A65" s="38">
        <v>44292</v>
      </c>
      <c r="B65" s="111">
        <v>104693.73469599998</v>
      </c>
      <c r="C65" s="111">
        <v>121486.53987099996</v>
      </c>
      <c r="D65" s="1">
        <f t="shared" si="0"/>
        <v>-2.0961966330599324E-3</v>
      </c>
      <c r="E65" s="1">
        <f t="shared" si="1"/>
        <v>-3.8139897348195007E-3</v>
      </c>
      <c r="G65" s="59"/>
      <c r="H65" s="57"/>
      <c r="I65" s="57"/>
      <c r="J65" s="57"/>
      <c r="K65" s="58"/>
      <c r="L65" s="59"/>
      <c r="M65" s="57"/>
      <c r="N65" s="57"/>
      <c r="O65" s="57"/>
      <c r="P65" s="58"/>
    </row>
    <row r="66" spans="1:16" x14ac:dyDescent="0.25">
      <c r="A66" s="38">
        <v>44293</v>
      </c>
      <c r="B66" s="111">
        <v>105069.72631999999</v>
      </c>
      <c r="C66" s="111">
        <v>121124.84155899993</v>
      </c>
      <c r="D66" s="1">
        <f t="shared" si="0"/>
        <v>3.5913478976727919E-3</v>
      </c>
      <c r="E66" s="1">
        <f t="shared" si="1"/>
        <v>-2.9772706703482532E-3</v>
      </c>
      <c r="G66" s="59"/>
      <c r="H66" s="57"/>
      <c r="I66" s="57"/>
      <c r="J66" s="57"/>
      <c r="K66" s="58"/>
      <c r="L66" s="59"/>
      <c r="M66" s="57"/>
      <c r="N66" s="57"/>
      <c r="O66" s="57"/>
      <c r="P66" s="58"/>
    </row>
    <row r="67" spans="1:16" x14ac:dyDescent="0.25">
      <c r="A67" s="38">
        <v>44294</v>
      </c>
      <c r="B67" s="111">
        <v>105303.31278599997</v>
      </c>
      <c r="C67" s="111">
        <v>122199.83968999994</v>
      </c>
      <c r="D67" s="1">
        <f t="shared" si="0"/>
        <v>2.223156699662221E-3</v>
      </c>
      <c r="E67" s="1">
        <f t="shared" si="1"/>
        <v>8.8751251779872753E-3</v>
      </c>
      <c r="G67" s="59"/>
      <c r="H67" s="57"/>
      <c r="I67" s="57"/>
      <c r="J67" s="57"/>
      <c r="K67" s="58"/>
      <c r="L67" s="59"/>
      <c r="M67" s="57"/>
      <c r="N67" s="57"/>
      <c r="O67" s="57"/>
      <c r="P67" s="58"/>
    </row>
    <row r="68" spans="1:16" ht="15.75" thickBot="1" x14ac:dyDescent="0.3">
      <c r="A68" s="38">
        <v>44295</v>
      </c>
      <c r="B68" s="111">
        <v>104959.044482</v>
      </c>
      <c r="C68" s="111">
        <v>122693.54365099993</v>
      </c>
      <c r="D68" s="1">
        <f t="shared" ref="D68:D108" si="10">B68/B67-1</f>
        <v>-3.2693017426678184E-3</v>
      </c>
      <c r="E68" s="1">
        <f t="shared" ref="E68:E108" si="11">C68/C67-1</f>
        <v>4.0401359138639847E-3</v>
      </c>
      <c r="G68" s="155"/>
      <c r="H68" s="61"/>
      <c r="I68" s="61"/>
      <c r="J68" s="61"/>
      <c r="K68" s="62"/>
      <c r="L68" s="155"/>
      <c r="M68" s="61"/>
      <c r="N68" s="61"/>
      <c r="O68" s="61"/>
      <c r="P68" s="62"/>
    </row>
    <row r="69" spans="1:16" x14ac:dyDescent="0.25">
      <c r="A69" s="38">
        <v>44298</v>
      </c>
      <c r="B69" s="111">
        <v>104550.42049399999</v>
      </c>
      <c r="C69" s="111">
        <v>123200.93627599992</v>
      </c>
      <c r="D69" s="1">
        <f t="shared" si="10"/>
        <v>-3.8931755716400396E-3</v>
      </c>
      <c r="E69" s="1">
        <f t="shared" si="11"/>
        <v>4.1354468206025174E-3</v>
      </c>
    </row>
    <row r="70" spans="1:16" x14ac:dyDescent="0.25">
      <c r="A70" s="38">
        <v>44299</v>
      </c>
      <c r="B70" s="111">
        <v>104547.63522599998</v>
      </c>
      <c r="C70" s="111">
        <v>122846.26138799993</v>
      </c>
      <c r="D70" s="1">
        <f t="shared" si="10"/>
        <v>-2.6640428482660461E-5</v>
      </c>
      <c r="E70" s="1">
        <f t="shared" si="11"/>
        <v>-2.8788327322889495E-3</v>
      </c>
    </row>
    <row r="71" spans="1:16" x14ac:dyDescent="0.25">
      <c r="A71" s="38">
        <v>44300</v>
      </c>
      <c r="B71" s="111">
        <v>104694.301312</v>
      </c>
      <c r="C71" s="111">
        <v>123136.91953899992</v>
      </c>
      <c r="D71" s="1">
        <f t="shared" si="10"/>
        <v>1.4028637346312767E-3</v>
      </c>
      <c r="E71" s="1">
        <f t="shared" si="11"/>
        <v>2.3660317189626578E-3</v>
      </c>
    </row>
    <row r="72" spans="1:16" x14ac:dyDescent="0.25">
      <c r="A72" s="38">
        <v>44301</v>
      </c>
      <c r="B72" s="111">
        <v>105007.02645899999</v>
      </c>
      <c r="C72" s="111">
        <v>123309.59650099995</v>
      </c>
      <c r="D72" s="1">
        <f t="shared" si="10"/>
        <v>2.9870312240589669E-3</v>
      </c>
      <c r="E72" s="1">
        <f t="shared" si="11"/>
        <v>1.4023167271561832E-3</v>
      </c>
    </row>
    <row r="73" spans="1:16" x14ac:dyDescent="0.25">
      <c r="A73" s="38">
        <v>44302</v>
      </c>
      <c r="B73" s="111">
        <v>106065.49571699998</v>
      </c>
      <c r="C73" s="111">
        <v>124581.90093899994</v>
      </c>
      <c r="D73" s="1">
        <f t="shared" si="10"/>
        <v>1.0079985060935659E-2</v>
      </c>
      <c r="E73" s="1">
        <f t="shared" si="11"/>
        <v>1.0317967734082112E-2</v>
      </c>
    </row>
    <row r="74" spans="1:16" x14ac:dyDescent="0.25">
      <c r="A74" s="38">
        <v>44305</v>
      </c>
      <c r="B74" s="111">
        <v>105919.57686899998</v>
      </c>
      <c r="C74" s="111">
        <v>124047.19515099993</v>
      </c>
      <c r="D74" s="1">
        <f t="shared" si="10"/>
        <v>-1.3757428559928453E-3</v>
      </c>
      <c r="E74" s="1">
        <f t="shared" si="11"/>
        <v>-4.2920021605852288E-3</v>
      </c>
    </row>
    <row r="75" spans="1:16" x14ac:dyDescent="0.25">
      <c r="A75" s="38">
        <v>44306</v>
      </c>
      <c r="B75" s="111">
        <v>106794.10499899999</v>
      </c>
      <c r="C75" s="111">
        <v>122468.99416699994</v>
      </c>
      <c r="D75" s="1">
        <f t="shared" si="10"/>
        <v>8.2565296789431919E-3</v>
      </c>
      <c r="E75" s="1">
        <f t="shared" si="11"/>
        <v>-1.2722584997418851E-2</v>
      </c>
    </row>
    <row r="76" spans="1:16" x14ac:dyDescent="0.25">
      <c r="A76" s="38">
        <v>44307</v>
      </c>
      <c r="B76" s="111">
        <v>107044.19466299997</v>
      </c>
      <c r="C76" s="111">
        <v>122977.26928599994</v>
      </c>
      <c r="D76" s="1">
        <f t="shared" si="10"/>
        <v>2.3417927796887117E-3</v>
      </c>
      <c r="E76" s="1">
        <f t="shared" si="11"/>
        <v>4.1502351060946907E-3</v>
      </c>
    </row>
    <row r="77" spans="1:16" x14ac:dyDescent="0.25">
      <c r="A77" s="38">
        <v>44308</v>
      </c>
      <c r="B77" s="111">
        <v>106301.64020799997</v>
      </c>
      <c r="C77" s="111">
        <v>122567.89316599994</v>
      </c>
      <c r="D77" s="1">
        <f t="shared" si="10"/>
        <v>-6.9368960861234674E-3</v>
      </c>
      <c r="E77" s="1">
        <f t="shared" si="11"/>
        <v>-3.3288763230540086E-3</v>
      </c>
    </row>
    <row r="78" spans="1:16" x14ac:dyDescent="0.25">
      <c r="A78" s="38">
        <v>44309</v>
      </c>
      <c r="B78" s="111">
        <v>106778.71884799996</v>
      </c>
      <c r="C78" s="111">
        <v>123936.55411799991</v>
      </c>
      <c r="D78" s="1">
        <f t="shared" si="10"/>
        <v>4.4879706377671802E-3</v>
      </c>
      <c r="E78" s="1">
        <f t="shared" si="11"/>
        <v>1.1166553627109499E-2</v>
      </c>
    </row>
    <row r="79" spans="1:16" x14ac:dyDescent="0.25">
      <c r="A79" s="38">
        <v>44312</v>
      </c>
      <c r="B79" s="111">
        <v>106118.67017699996</v>
      </c>
      <c r="C79" s="111">
        <v>124002.78930599993</v>
      </c>
      <c r="D79" s="1">
        <f t="shared" si="10"/>
        <v>-6.1814627307861247E-3</v>
      </c>
      <c r="E79" s="1">
        <f t="shared" si="11"/>
        <v>5.3442818764315447E-4</v>
      </c>
    </row>
    <row r="80" spans="1:16" x14ac:dyDescent="0.25">
      <c r="A80" s="38">
        <v>44313</v>
      </c>
      <c r="B80" s="111">
        <v>106252.34686399996</v>
      </c>
      <c r="C80" s="111">
        <v>124716.17184099992</v>
      </c>
      <c r="D80" s="1">
        <f t="shared" si="10"/>
        <v>1.259690559418436E-3</v>
      </c>
      <c r="E80" s="1">
        <f t="shared" si="11"/>
        <v>5.7529555503754715E-3</v>
      </c>
    </row>
    <row r="81" spans="1:5" x14ac:dyDescent="0.25">
      <c r="A81" s="38">
        <v>44314</v>
      </c>
      <c r="B81" s="111">
        <v>106021.56892099995</v>
      </c>
      <c r="C81" s="111">
        <v>123845.55741099993</v>
      </c>
      <c r="D81" s="1">
        <f t="shared" si="10"/>
        <v>-2.1719797238493044E-3</v>
      </c>
      <c r="E81" s="1">
        <f t="shared" si="11"/>
        <v>-6.9807661440244306E-3</v>
      </c>
    </row>
    <row r="82" spans="1:5" x14ac:dyDescent="0.25">
      <c r="A82" s="38">
        <v>44315</v>
      </c>
      <c r="B82" s="111">
        <v>106597.54811099995</v>
      </c>
      <c r="C82" s="111">
        <v>123805.5147169999</v>
      </c>
      <c r="D82" s="1">
        <f t="shared" si="10"/>
        <v>5.4326605035357467E-3</v>
      </c>
      <c r="E82" s="1">
        <f t="shared" si="11"/>
        <v>-3.2332765774667482E-4</v>
      </c>
    </row>
    <row r="83" spans="1:5" x14ac:dyDescent="0.25">
      <c r="A83" s="38">
        <v>44316</v>
      </c>
      <c r="B83" s="111">
        <v>106668.72028199997</v>
      </c>
      <c r="C83" s="111">
        <v>123050.5193579999</v>
      </c>
      <c r="D83" s="1">
        <f t="shared" si="10"/>
        <v>6.6767174537551988E-4</v>
      </c>
      <c r="E83" s="1">
        <f t="shared" si="11"/>
        <v>-6.0982369058906194E-3</v>
      </c>
    </row>
    <row r="84" spans="1:5" x14ac:dyDescent="0.25">
      <c r="A84" s="38">
        <v>44319</v>
      </c>
      <c r="B84" s="111">
        <v>107449.01745899997</v>
      </c>
      <c r="C84" s="111">
        <v>123795.38400499991</v>
      </c>
      <c r="D84" s="1">
        <f t="shared" si="10"/>
        <v>7.3151451984905247E-3</v>
      </c>
      <c r="E84" s="1">
        <f t="shared" si="11"/>
        <v>6.0533238777555898E-3</v>
      </c>
    </row>
    <row r="85" spans="1:5" x14ac:dyDescent="0.25">
      <c r="A85" s="38">
        <v>44320</v>
      </c>
      <c r="B85" s="111">
        <v>107537.81860899995</v>
      </c>
      <c r="C85" s="111">
        <v>122947.61174099991</v>
      </c>
      <c r="D85" s="1">
        <f t="shared" si="10"/>
        <v>8.2644915793550489E-4</v>
      </c>
      <c r="E85" s="1">
        <f t="shared" si="11"/>
        <v>-6.8481734663528027E-3</v>
      </c>
    </row>
    <row r="86" spans="1:5" x14ac:dyDescent="0.25">
      <c r="A86" s="38">
        <v>44321</v>
      </c>
      <c r="B86" s="111">
        <v>107478.53535199995</v>
      </c>
      <c r="C86" s="111">
        <v>122889.66575199991</v>
      </c>
      <c r="D86" s="1">
        <f t="shared" si="10"/>
        <v>-5.5127821790357245E-4</v>
      </c>
      <c r="E86" s="1">
        <f t="shared" si="11"/>
        <v>-4.7130634080205791E-4</v>
      </c>
    </row>
    <row r="87" spans="1:5" x14ac:dyDescent="0.25">
      <c r="A87" s="38">
        <v>44322</v>
      </c>
      <c r="B87" s="111">
        <v>108316.24006899995</v>
      </c>
      <c r="C87" s="111">
        <v>121980.43900099992</v>
      </c>
      <c r="D87" s="1">
        <f t="shared" si="10"/>
        <v>7.794158287107722E-3</v>
      </c>
      <c r="E87" s="1">
        <f t="shared" si="11"/>
        <v>-7.3987242575375145E-3</v>
      </c>
    </row>
    <row r="88" spans="1:5" x14ac:dyDescent="0.25">
      <c r="A88" s="38">
        <v>44323</v>
      </c>
      <c r="B88" s="111">
        <v>108244.04953499995</v>
      </c>
      <c r="C88" s="111">
        <v>123418.85627499993</v>
      </c>
      <c r="D88" s="1">
        <f t="shared" si="10"/>
        <v>-6.6647931975860608E-4</v>
      </c>
      <c r="E88" s="1">
        <f t="shared" si="11"/>
        <v>1.1792196238842978E-2</v>
      </c>
    </row>
    <row r="89" spans="1:5" x14ac:dyDescent="0.25">
      <c r="A89" s="38">
        <v>44326</v>
      </c>
      <c r="B89" s="111">
        <v>108130.58676699996</v>
      </c>
      <c r="C89" s="111">
        <v>122077.06012199991</v>
      </c>
      <c r="D89" s="1">
        <f t="shared" si="10"/>
        <v>-1.0482125205719672E-3</v>
      </c>
      <c r="E89" s="1">
        <f t="shared" si="11"/>
        <v>-1.0871889381394384E-2</v>
      </c>
    </row>
    <row r="90" spans="1:5" x14ac:dyDescent="0.25">
      <c r="A90" s="38">
        <v>44327</v>
      </c>
      <c r="B90" s="111">
        <v>107535.53821699995</v>
      </c>
      <c r="C90" s="111">
        <v>121771.18433599992</v>
      </c>
      <c r="D90" s="1">
        <f t="shared" si="10"/>
        <v>-5.5030548505412558E-3</v>
      </c>
      <c r="E90" s="1">
        <f t="shared" si="11"/>
        <v>-2.5055959382893622E-3</v>
      </c>
    </row>
    <row r="91" spans="1:5" x14ac:dyDescent="0.25">
      <c r="A91" s="38">
        <v>44328</v>
      </c>
      <c r="B91" s="111">
        <v>106401.04296899996</v>
      </c>
      <c r="C91" s="111">
        <v>119716.62053799992</v>
      </c>
      <c r="D91" s="1">
        <f t="shared" si="10"/>
        <v>-1.0549956477742706E-2</v>
      </c>
      <c r="E91" s="1">
        <f t="shared" si="11"/>
        <v>-1.6872331571736177E-2</v>
      </c>
    </row>
    <row r="92" spans="1:5" x14ac:dyDescent="0.25">
      <c r="A92" s="38">
        <v>44329</v>
      </c>
      <c r="B92" s="111">
        <v>107282.57703899997</v>
      </c>
      <c r="C92" s="111">
        <v>121030.4868869999</v>
      </c>
      <c r="D92" s="1">
        <f t="shared" si="10"/>
        <v>8.2850134303367184E-3</v>
      </c>
      <c r="E92" s="1">
        <f t="shared" si="11"/>
        <v>1.0974803190196614E-2</v>
      </c>
    </row>
    <row r="93" spans="1:5" x14ac:dyDescent="0.25">
      <c r="A93" s="38">
        <v>44330</v>
      </c>
      <c r="B93" s="111">
        <v>107706.40714199997</v>
      </c>
      <c r="C93" s="111">
        <v>122157.87231999991</v>
      </c>
      <c r="D93" s="1">
        <f t="shared" si="10"/>
        <v>3.9505958441501399E-3</v>
      </c>
      <c r="E93" s="1">
        <f t="shared" si="11"/>
        <v>9.3148880253004496E-3</v>
      </c>
    </row>
    <row r="94" spans="1:5" x14ac:dyDescent="0.25">
      <c r="A94" s="38">
        <v>44333</v>
      </c>
      <c r="B94" s="111">
        <v>107981.14355699994</v>
      </c>
      <c r="C94" s="111">
        <v>121359.03671399991</v>
      </c>
      <c r="D94" s="1">
        <f t="shared" si="10"/>
        <v>2.5507898953287533E-3</v>
      </c>
      <c r="E94" s="1">
        <f t="shared" si="11"/>
        <v>-6.5393706588748879E-3</v>
      </c>
    </row>
    <row r="95" spans="1:5" x14ac:dyDescent="0.25">
      <c r="A95" s="38">
        <v>44334</v>
      </c>
      <c r="B95" s="111">
        <v>107804.03520799994</v>
      </c>
      <c r="C95" s="111">
        <v>119564.1010849999</v>
      </c>
      <c r="D95" s="1">
        <f t="shared" si="10"/>
        <v>-1.6401784901131089E-3</v>
      </c>
      <c r="E95" s="1">
        <f t="shared" si="11"/>
        <v>-1.4790292322689025E-2</v>
      </c>
    </row>
    <row r="96" spans="1:5" x14ac:dyDescent="0.25">
      <c r="A96" s="38">
        <v>44335</v>
      </c>
      <c r="B96" s="111">
        <v>107689.20406299995</v>
      </c>
      <c r="C96" s="111">
        <v>118802.99975099991</v>
      </c>
      <c r="D96" s="1">
        <f t="shared" si="10"/>
        <v>-1.0651841072407686E-3</v>
      </c>
      <c r="E96" s="1">
        <f t="shared" si="11"/>
        <v>-6.3656342254345688E-3</v>
      </c>
    </row>
    <row r="97" spans="1:5" x14ac:dyDescent="0.25">
      <c r="A97" s="38">
        <v>44336</v>
      </c>
      <c r="B97" s="111">
        <v>107639.76138699995</v>
      </c>
      <c r="C97" s="111">
        <v>119003.50967299991</v>
      </c>
      <c r="D97" s="1">
        <f t="shared" si="10"/>
        <v>-4.5912379453638685E-4</v>
      </c>
      <c r="E97" s="1">
        <f t="shared" si="11"/>
        <v>1.6877513397830501E-3</v>
      </c>
    </row>
    <row r="98" spans="1:5" x14ac:dyDescent="0.25">
      <c r="A98" s="38">
        <v>44337</v>
      </c>
      <c r="B98" s="111">
        <v>107717.14935399994</v>
      </c>
      <c r="C98" s="111">
        <v>119354.67709199991</v>
      </c>
      <c r="D98" s="1">
        <f t="shared" si="10"/>
        <v>7.1895334960614399E-4</v>
      </c>
      <c r="E98" s="1">
        <f t="shared" si="11"/>
        <v>2.9508996832525725E-3</v>
      </c>
    </row>
    <row r="99" spans="1:5" x14ac:dyDescent="0.25">
      <c r="A99" s="38">
        <v>44340</v>
      </c>
      <c r="B99" s="111">
        <v>107733.62590199994</v>
      </c>
      <c r="C99" s="111">
        <v>120604.07501499992</v>
      </c>
      <c r="D99" s="1">
        <f t="shared" si="10"/>
        <v>1.5296123318164767E-4</v>
      </c>
      <c r="E99" s="1">
        <f t="shared" si="11"/>
        <v>1.0467942718633161E-2</v>
      </c>
    </row>
    <row r="100" spans="1:5" x14ac:dyDescent="0.25">
      <c r="A100" s="38">
        <v>44341</v>
      </c>
      <c r="B100" s="111">
        <v>107268.12664499992</v>
      </c>
      <c r="C100" s="111">
        <v>120681.23345699991</v>
      </c>
      <c r="D100" s="1">
        <f t="shared" si="10"/>
        <v>-4.320835329755468E-3</v>
      </c>
      <c r="E100" s="1">
        <f t="shared" si="11"/>
        <v>6.3976645888952355E-4</v>
      </c>
    </row>
    <row r="101" spans="1:5" x14ac:dyDescent="0.25">
      <c r="A101" s="38">
        <v>44342</v>
      </c>
      <c r="B101" s="111">
        <v>106991.77692199993</v>
      </c>
      <c r="C101" s="111">
        <v>122195.59539499992</v>
      </c>
      <c r="D101" s="1">
        <f t="shared" si="10"/>
        <v>-2.5762519738464773E-3</v>
      </c>
      <c r="E101" s="1">
        <f t="shared" si="11"/>
        <v>1.2548445973081579E-2</v>
      </c>
    </row>
    <row r="102" spans="1:5" x14ac:dyDescent="0.25">
      <c r="A102" s="38">
        <v>44343</v>
      </c>
      <c r="B102" s="111">
        <v>107062.68493299992</v>
      </c>
      <c r="C102" s="111">
        <v>122530.61568499991</v>
      </c>
      <c r="D102" s="1">
        <f t="shared" si="10"/>
        <v>6.6274262415211282E-4</v>
      </c>
      <c r="E102" s="1">
        <f t="shared" si="11"/>
        <v>2.7416723893936013E-3</v>
      </c>
    </row>
    <row r="103" spans="1:5" x14ac:dyDescent="0.25">
      <c r="A103" s="38">
        <v>44344</v>
      </c>
      <c r="B103" s="111">
        <v>107112.17161999994</v>
      </c>
      <c r="C103" s="111">
        <v>121717.55872099992</v>
      </c>
      <c r="D103" s="1">
        <f t="shared" si="10"/>
        <v>4.6222161373021819E-4</v>
      </c>
      <c r="E103" s="1">
        <f t="shared" si="11"/>
        <v>-6.6355413253630369E-3</v>
      </c>
    </row>
    <row r="104" spans="1:5" x14ac:dyDescent="0.25">
      <c r="A104" s="38">
        <v>44348</v>
      </c>
      <c r="B104" s="111">
        <v>107250.39384499993</v>
      </c>
      <c r="C104" s="111">
        <v>122291.42553399992</v>
      </c>
      <c r="D104" s="1">
        <f t="shared" si="10"/>
        <v>1.2904436807645858E-3</v>
      </c>
      <c r="E104" s="1">
        <f t="shared" si="11"/>
        <v>4.7147413982842057E-3</v>
      </c>
    </row>
    <row r="105" spans="1:5" x14ac:dyDescent="0.25">
      <c r="A105" s="38">
        <v>44349</v>
      </c>
      <c r="B105" s="111">
        <v>106774.73353299992</v>
      </c>
      <c r="C105" s="111">
        <v>120855.92249799991</v>
      </c>
      <c r="D105" s="1">
        <f t="shared" si="10"/>
        <v>-4.4350448977132917E-3</v>
      </c>
      <c r="E105" s="1">
        <f t="shared" si="11"/>
        <v>-1.1738378465470656E-2</v>
      </c>
    </row>
    <row r="106" spans="1:5" x14ac:dyDescent="0.25">
      <c r="A106" s="38">
        <v>44350</v>
      </c>
      <c r="B106" s="111">
        <v>107222.43430699992</v>
      </c>
      <c r="C106" s="111">
        <v>120631.47587499989</v>
      </c>
      <c r="D106" s="1">
        <f t="shared" si="10"/>
        <v>4.1929467692056743E-3</v>
      </c>
      <c r="E106" s="1">
        <f t="shared" si="11"/>
        <v>-1.8571421107124175E-3</v>
      </c>
    </row>
    <row r="107" spans="1:5" x14ac:dyDescent="0.25">
      <c r="A107" s="38">
        <v>44351</v>
      </c>
      <c r="B107" s="111">
        <v>107678.10628699992</v>
      </c>
      <c r="C107" s="111">
        <v>121348.06689099991</v>
      </c>
      <c r="D107" s="1">
        <f t="shared" si="10"/>
        <v>4.2497820810085685E-3</v>
      </c>
      <c r="E107" s="1">
        <f t="shared" si="11"/>
        <v>5.94033199711963E-3</v>
      </c>
    </row>
    <row r="108" spans="1:5" x14ac:dyDescent="0.25">
      <c r="A108" s="38">
        <v>44354</v>
      </c>
      <c r="B108" s="111">
        <v>107348.49499699993</v>
      </c>
      <c r="C108" s="111">
        <v>121915.98431799992</v>
      </c>
      <c r="D108" s="1">
        <f t="shared" si="10"/>
        <v>-3.0610799294840119E-3</v>
      </c>
      <c r="E108" s="1">
        <f t="shared" si="11"/>
        <v>4.6800698317686074E-3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9B3D6-047D-4131-874E-CAFE494AFCDF}">
  <dimension ref="C1:BF66"/>
  <sheetViews>
    <sheetView showGridLines="0" zoomScale="85" zoomScaleNormal="85" workbookViewId="0">
      <selection activeCell="BF25" sqref="BF25"/>
    </sheetView>
  </sheetViews>
  <sheetFormatPr defaultRowHeight="15" outlineLevelCol="1" x14ac:dyDescent="0.25"/>
  <cols>
    <col min="3" max="3" width="16.42578125" customWidth="1"/>
    <col min="5" max="5" width="14" customWidth="1"/>
    <col min="8" max="8" width="9.7109375" customWidth="1"/>
    <col min="9" max="9" width="10.7109375" customWidth="1"/>
    <col min="10" max="10" width="11.28515625" customWidth="1"/>
    <col min="25" max="30" width="9.140625" hidden="1" customWidth="1" outlineLevel="1"/>
    <col min="31" max="31" width="14.42578125" hidden="1" customWidth="1" outlineLevel="1"/>
    <col min="32" max="57" width="9.140625" hidden="1" customWidth="1" outlineLevel="1"/>
    <col min="58" max="58" width="9.140625" collapsed="1"/>
  </cols>
  <sheetData>
    <row r="1" spans="3:57" x14ac:dyDescent="0.25">
      <c r="M1" s="2"/>
      <c r="N1" s="2"/>
      <c r="O1" s="2"/>
      <c r="P1" s="2"/>
      <c r="Q1" s="2"/>
      <c r="R1" s="2"/>
      <c r="S1" s="2"/>
      <c r="T1" s="2"/>
      <c r="U1" s="2"/>
      <c r="V1" s="2"/>
      <c r="W1" s="2"/>
      <c r="X1" s="2"/>
      <c r="Y1" s="2" t="s">
        <v>37</v>
      </c>
      <c r="Z1" s="2" t="s">
        <v>1</v>
      </c>
      <c r="AA1" s="2" t="str">
        <f>"User: Correlation = "&amp;D3&amp;", Asset Volatility = "&amp;D4</f>
        <v>User: Correlation = 0.05, Asset Volatility = 0.5</v>
      </c>
      <c r="AB1" s="2" t="s">
        <v>42</v>
      </c>
      <c r="AC1" s="2" t="s">
        <v>44</v>
      </c>
      <c r="AD1" s="2" t="s">
        <v>43</v>
      </c>
      <c r="AF1" s="2" t="s">
        <v>37</v>
      </c>
      <c r="AG1" s="2">
        <v>1</v>
      </c>
      <c r="AH1" s="2">
        <v>2</v>
      </c>
      <c r="AI1" s="2">
        <v>3</v>
      </c>
      <c r="AJ1" s="2">
        <v>4</v>
      </c>
      <c r="AK1" s="2">
        <v>5</v>
      </c>
      <c r="AL1" s="2">
        <v>6</v>
      </c>
      <c r="AM1" s="2">
        <v>7</v>
      </c>
      <c r="AN1" s="2">
        <v>8</v>
      </c>
      <c r="AO1" s="2">
        <v>9</v>
      </c>
      <c r="AP1" s="2">
        <v>10</v>
      </c>
      <c r="AQ1" s="2">
        <v>11</v>
      </c>
      <c r="AR1" s="2">
        <v>12</v>
      </c>
      <c r="AS1" s="2">
        <v>13</v>
      </c>
      <c r="AT1" s="2">
        <v>14</v>
      </c>
      <c r="AU1" s="2">
        <v>15</v>
      </c>
      <c r="AV1" s="2">
        <v>16</v>
      </c>
      <c r="AW1" s="2">
        <v>17</v>
      </c>
      <c r="AX1" s="2">
        <v>18</v>
      </c>
      <c r="AY1" s="2">
        <v>19</v>
      </c>
      <c r="AZ1" s="2">
        <v>20</v>
      </c>
      <c r="BA1" s="2">
        <v>21</v>
      </c>
      <c r="BB1" s="2">
        <v>22</v>
      </c>
      <c r="BC1" s="2">
        <v>23</v>
      </c>
      <c r="BD1" s="2">
        <v>24</v>
      </c>
      <c r="BE1" s="2">
        <v>25</v>
      </c>
    </row>
    <row r="2" spans="3:57" ht="15.75" x14ac:dyDescent="0.25">
      <c r="C2" s="64" t="s">
        <v>58</v>
      </c>
      <c r="H2" s="44" t="s">
        <v>40</v>
      </c>
      <c r="T2" s="1"/>
      <c r="U2" s="1"/>
      <c r="V2" s="1"/>
      <c r="W2" s="1"/>
      <c r="X2" s="1"/>
      <c r="Y2" s="2">
        <v>1</v>
      </c>
      <c r="Z2" s="42">
        <f>MMULT(MMULT(TRANSPOSE(1/Y2),AG2),1/Y2)</f>
        <v>0.25</v>
      </c>
      <c r="AA2" s="1">
        <f>SQRT(Z2)</f>
        <v>0.5</v>
      </c>
      <c r="AB2" s="1">
        <v>0.25</v>
      </c>
      <c r="AC2" s="1">
        <v>0.35</v>
      </c>
      <c r="AD2" s="1">
        <v>0.35</v>
      </c>
      <c r="AF2" s="2">
        <v>1</v>
      </c>
      <c r="AG2" s="39">
        <f>D4^2</f>
        <v>0.25</v>
      </c>
      <c r="AH2" s="40">
        <f>D3*(D4^2)</f>
        <v>1.2500000000000001E-2</v>
      </c>
      <c r="AI2" s="40">
        <f>D3*(D4^2)</f>
        <v>1.2500000000000001E-2</v>
      </c>
      <c r="AJ2" s="40">
        <f>D3*(D4^2)</f>
        <v>1.2500000000000001E-2</v>
      </c>
      <c r="AK2" s="40">
        <f>D3*(D4^2)</f>
        <v>1.2500000000000001E-2</v>
      </c>
      <c r="AL2" s="40">
        <f>D3*(D4^2)</f>
        <v>1.2500000000000001E-2</v>
      </c>
      <c r="AM2" s="40">
        <f>D3*(D4^2)</f>
        <v>1.2500000000000001E-2</v>
      </c>
      <c r="AN2" s="40">
        <f>D3*(D4^2)</f>
        <v>1.2500000000000001E-2</v>
      </c>
      <c r="AO2" s="40">
        <f>D3*(D4^2)</f>
        <v>1.2500000000000001E-2</v>
      </c>
      <c r="AP2" s="40">
        <f>D3*(D4^2)</f>
        <v>1.2500000000000001E-2</v>
      </c>
      <c r="AQ2" s="40">
        <f>D3*(D4^2)</f>
        <v>1.2500000000000001E-2</v>
      </c>
      <c r="AR2" s="40">
        <f>D3*(D4^2)</f>
        <v>1.2500000000000001E-2</v>
      </c>
      <c r="AS2" s="40">
        <f>D3*(D4^2)</f>
        <v>1.2500000000000001E-2</v>
      </c>
      <c r="AT2" s="40">
        <f>D3*(D4^2)</f>
        <v>1.2500000000000001E-2</v>
      </c>
      <c r="AU2" s="40">
        <f>D3*(D4^2)</f>
        <v>1.2500000000000001E-2</v>
      </c>
      <c r="AV2" s="40">
        <f>D3*(D4^2)</f>
        <v>1.2500000000000001E-2</v>
      </c>
      <c r="AW2" s="40">
        <f>D3*(D4^2)</f>
        <v>1.2500000000000001E-2</v>
      </c>
      <c r="AX2" s="40">
        <f>D3*(D4^2)</f>
        <v>1.2500000000000001E-2</v>
      </c>
      <c r="AY2" s="40">
        <f>D3*(D4^2)</f>
        <v>1.2500000000000001E-2</v>
      </c>
      <c r="AZ2" s="40">
        <f>D3*(D4^2)</f>
        <v>1.2500000000000001E-2</v>
      </c>
      <c r="BA2" s="40">
        <f>D3*(D4^2)</f>
        <v>1.2500000000000001E-2</v>
      </c>
      <c r="BB2" s="40">
        <f>D3*(D4^2)</f>
        <v>1.2500000000000001E-2</v>
      </c>
      <c r="BC2" s="40">
        <f>D3*(D4^2)</f>
        <v>1.2500000000000001E-2</v>
      </c>
      <c r="BD2" s="40">
        <f>D3*(D4^2)</f>
        <v>1.2500000000000001E-2</v>
      </c>
      <c r="BE2" s="40">
        <f>D3*(D4^2)</f>
        <v>1.2500000000000001E-2</v>
      </c>
    </row>
    <row r="3" spans="3:57" x14ac:dyDescent="0.25">
      <c r="C3" s="2" t="s">
        <v>39</v>
      </c>
      <c r="D3" s="63">
        <v>0.05</v>
      </c>
      <c r="H3" s="43" t="s">
        <v>57</v>
      </c>
      <c r="T3" s="1"/>
      <c r="U3" s="1"/>
      <c r="V3" s="1"/>
      <c r="W3" s="1"/>
      <c r="X3" s="1"/>
      <c r="Y3" s="41">
        <v>2</v>
      </c>
      <c r="Z3" s="42">
        <f t="array" ref="Z3">MMULT(MMULT(TRANSPOSE(AH29:AH30),AG2:AH3),AH29:AH30)</f>
        <v>0.13125000000000001</v>
      </c>
      <c r="AA3" s="1">
        <f t="shared" ref="AA3:AA26" si="0">SQRT(Z3)</f>
        <v>0.36228441865473598</v>
      </c>
      <c r="AB3" s="1">
        <v>0.22360679774997896</v>
      </c>
      <c r="AC3" s="1">
        <v>0.29801426140371201</v>
      </c>
      <c r="AD3" s="1">
        <v>0.27110883423451915</v>
      </c>
      <c r="AF3" s="2">
        <v>2</v>
      </c>
      <c r="AG3" s="40">
        <f>D3*(D4^2)</f>
        <v>1.2500000000000001E-2</v>
      </c>
      <c r="AH3" s="39">
        <f>D4^2</f>
        <v>0.25</v>
      </c>
      <c r="AI3" s="40">
        <f>D3*(D4^2)</f>
        <v>1.2500000000000001E-2</v>
      </c>
      <c r="AJ3" s="40">
        <f>D3*(D4^2)</f>
        <v>1.2500000000000001E-2</v>
      </c>
      <c r="AK3" s="40">
        <f>D3*(D4^2)</f>
        <v>1.2500000000000001E-2</v>
      </c>
      <c r="AL3" s="40">
        <f>D3*(D4^2)</f>
        <v>1.2500000000000001E-2</v>
      </c>
      <c r="AM3" s="40">
        <f>D3*(D4^2)</f>
        <v>1.2500000000000001E-2</v>
      </c>
      <c r="AN3" s="40">
        <f>D3*(D4^2)</f>
        <v>1.2500000000000001E-2</v>
      </c>
      <c r="AO3" s="40">
        <f>D3*(D4^2)</f>
        <v>1.2500000000000001E-2</v>
      </c>
      <c r="AP3" s="40">
        <f>D3*(D4^2)</f>
        <v>1.2500000000000001E-2</v>
      </c>
      <c r="AQ3" s="40">
        <f>D3*(D4^2)</f>
        <v>1.2500000000000001E-2</v>
      </c>
      <c r="AR3" s="40">
        <f>D3*(D4^2)</f>
        <v>1.2500000000000001E-2</v>
      </c>
      <c r="AS3" s="40">
        <f>D3*(D4^2)</f>
        <v>1.2500000000000001E-2</v>
      </c>
      <c r="AT3" s="40">
        <f>D3*(D4^2)</f>
        <v>1.2500000000000001E-2</v>
      </c>
      <c r="AU3" s="40">
        <f>D3*(D4^2)</f>
        <v>1.2500000000000001E-2</v>
      </c>
      <c r="AV3" s="40">
        <f>D3*(D4^2)</f>
        <v>1.2500000000000001E-2</v>
      </c>
      <c r="AW3" s="40">
        <f>D3*(D4^2)</f>
        <v>1.2500000000000001E-2</v>
      </c>
      <c r="AX3" s="40">
        <f>D3*(D4^2)</f>
        <v>1.2500000000000001E-2</v>
      </c>
      <c r="AY3" s="40">
        <f>D3*(D4^2)</f>
        <v>1.2500000000000001E-2</v>
      </c>
      <c r="AZ3" s="40">
        <f>D3*(D4^2)</f>
        <v>1.2500000000000001E-2</v>
      </c>
      <c r="BA3" s="40">
        <f>D3*(D4^2)</f>
        <v>1.2500000000000001E-2</v>
      </c>
      <c r="BB3" s="40">
        <f>D3*(D4^2)</f>
        <v>1.2500000000000001E-2</v>
      </c>
      <c r="BC3" s="40">
        <f>D3*(D4^2)</f>
        <v>1.2500000000000001E-2</v>
      </c>
      <c r="BD3" s="40">
        <f>D3*(D4^2)</f>
        <v>1.2500000000000001E-2</v>
      </c>
      <c r="BE3" s="40">
        <f>D3*(D4^2)</f>
        <v>1.2500000000000001E-2</v>
      </c>
    </row>
    <row r="4" spans="3:57" x14ac:dyDescent="0.25">
      <c r="C4" s="2" t="s">
        <v>274</v>
      </c>
      <c r="D4" s="63">
        <v>0.5</v>
      </c>
      <c r="H4" t="s">
        <v>56</v>
      </c>
      <c r="T4" s="1"/>
      <c r="U4" s="1"/>
      <c r="V4" s="1"/>
      <c r="W4" s="1"/>
      <c r="X4" s="1"/>
      <c r="Y4" s="2">
        <v>3</v>
      </c>
      <c r="Z4" s="42">
        <f t="array" ref="Z4">MMULT(MMULT(TRANSPOSE(AI29:AI31),AG2:AI4),AI29:AI31)</f>
        <v>9.1666666666666646E-2</v>
      </c>
      <c r="AA4" s="1">
        <f t="shared" si="0"/>
        <v>0.30276503540974914</v>
      </c>
      <c r="AB4" s="1">
        <v>0.2140872096444188</v>
      </c>
      <c r="AC4" s="1">
        <v>0.27853784901397749</v>
      </c>
      <c r="AD4" s="1">
        <v>0.23909551787239061</v>
      </c>
      <c r="AF4" s="2">
        <v>3</v>
      </c>
      <c r="AG4" s="40">
        <f>D3*(D4^2)</f>
        <v>1.2500000000000001E-2</v>
      </c>
      <c r="AH4" s="40">
        <f>D3*(D4^2)</f>
        <v>1.2500000000000001E-2</v>
      </c>
      <c r="AI4" s="39">
        <f>D4^2</f>
        <v>0.25</v>
      </c>
      <c r="AJ4" s="40">
        <f>D3*(D4^2)</f>
        <v>1.2500000000000001E-2</v>
      </c>
      <c r="AK4" s="40">
        <f>D3*(D4^2)</f>
        <v>1.2500000000000001E-2</v>
      </c>
      <c r="AL4" s="40">
        <f>D3*(D4^2)</f>
        <v>1.2500000000000001E-2</v>
      </c>
      <c r="AM4" s="40">
        <f>D3*(D4^2)</f>
        <v>1.2500000000000001E-2</v>
      </c>
      <c r="AN4" s="40">
        <f>D3*(D4^2)</f>
        <v>1.2500000000000001E-2</v>
      </c>
      <c r="AO4" s="40">
        <f>D3*(D4^2)</f>
        <v>1.2500000000000001E-2</v>
      </c>
      <c r="AP4" s="40">
        <f>D3*(D4^2)</f>
        <v>1.2500000000000001E-2</v>
      </c>
      <c r="AQ4" s="40">
        <f>D3*(D4^2)</f>
        <v>1.2500000000000001E-2</v>
      </c>
      <c r="AR4" s="40">
        <f>D3*(D4^2)</f>
        <v>1.2500000000000001E-2</v>
      </c>
      <c r="AS4" s="40">
        <f>D3*(D4^2)</f>
        <v>1.2500000000000001E-2</v>
      </c>
      <c r="AT4" s="40">
        <f>D3*(D4^2)</f>
        <v>1.2500000000000001E-2</v>
      </c>
      <c r="AU4" s="40">
        <f>D3*(D4^2)</f>
        <v>1.2500000000000001E-2</v>
      </c>
      <c r="AV4" s="40">
        <f>D3*(D4^2)</f>
        <v>1.2500000000000001E-2</v>
      </c>
      <c r="AW4" s="40">
        <f>D3*(D4^2)</f>
        <v>1.2500000000000001E-2</v>
      </c>
      <c r="AX4" s="40">
        <f>D3*(D4^2)</f>
        <v>1.2500000000000001E-2</v>
      </c>
      <c r="AY4" s="40">
        <f>D3*(D4^2)</f>
        <v>1.2500000000000001E-2</v>
      </c>
      <c r="AZ4" s="40">
        <f>D3*(D4^2)</f>
        <v>1.2500000000000001E-2</v>
      </c>
      <c r="BA4" s="40">
        <f>D3*(D4^2)</f>
        <v>1.2500000000000001E-2</v>
      </c>
      <c r="BB4" s="40">
        <f>D3*(D4^2)</f>
        <v>1.2500000000000001E-2</v>
      </c>
      <c r="BC4" s="40">
        <f>D3*(D4^2)</f>
        <v>1.2500000000000001E-2</v>
      </c>
      <c r="BD4" s="40">
        <f>D3*(D4^2)</f>
        <v>1.2500000000000001E-2</v>
      </c>
      <c r="BE4" s="40">
        <f>D3*(D4^2)</f>
        <v>1.2500000000000001E-2</v>
      </c>
    </row>
    <row r="5" spans="3:57" x14ac:dyDescent="0.25">
      <c r="I5" t="s">
        <v>59</v>
      </c>
      <c r="T5" s="1"/>
      <c r="U5" s="1"/>
      <c r="V5" s="1"/>
      <c r="W5" s="1"/>
      <c r="X5" s="1"/>
      <c r="Y5" s="2">
        <v>4</v>
      </c>
      <c r="Z5" s="42">
        <f t="array" ref="Z5">MMULT(MMULT(TRANSPOSE(AJ29:AJ32),AG2:AJ5),AJ29:AJ32)</f>
        <v>7.1874999999999994E-2</v>
      </c>
      <c r="AA5" s="1">
        <f t="shared" si="0"/>
        <v>0.26809513236909022</v>
      </c>
      <c r="AB5" s="1">
        <v>0.20916500663351889</v>
      </c>
      <c r="AC5" s="1">
        <v>0.26826992004322808</v>
      </c>
      <c r="AD5" s="1">
        <v>0.22135943621178655</v>
      </c>
      <c r="AF5" s="2">
        <v>4</v>
      </c>
      <c r="AG5" s="40">
        <f>D3*(D4^2)</f>
        <v>1.2500000000000001E-2</v>
      </c>
      <c r="AH5" s="40">
        <f>D3*(D4^2)</f>
        <v>1.2500000000000001E-2</v>
      </c>
      <c r="AI5" s="40">
        <f>D3*(D4^2)</f>
        <v>1.2500000000000001E-2</v>
      </c>
      <c r="AJ5" s="39">
        <f>D4^2</f>
        <v>0.25</v>
      </c>
      <c r="AK5" s="40">
        <f>D3*(D4^2)</f>
        <v>1.2500000000000001E-2</v>
      </c>
      <c r="AL5" s="40">
        <f>D3*(D4^2)</f>
        <v>1.2500000000000001E-2</v>
      </c>
      <c r="AM5" s="40">
        <f>D3*(D4^2)</f>
        <v>1.2500000000000001E-2</v>
      </c>
      <c r="AN5" s="40">
        <f>D3*(D4^2)</f>
        <v>1.2500000000000001E-2</v>
      </c>
      <c r="AO5" s="40">
        <f>D3*(D4^2)</f>
        <v>1.2500000000000001E-2</v>
      </c>
      <c r="AP5" s="40">
        <f>D3*(D4^2)</f>
        <v>1.2500000000000001E-2</v>
      </c>
      <c r="AQ5" s="40">
        <f>D3*(D4^2)</f>
        <v>1.2500000000000001E-2</v>
      </c>
      <c r="AR5" s="40">
        <f>D3*(D4^2)</f>
        <v>1.2500000000000001E-2</v>
      </c>
      <c r="AS5" s="40">
        <f>D3*(D4^2)</f>
        <v>1.2500000000000001E-2</v>
      </c>
      <c r="AT5" s="40">
        <f>D3*(D4^2)</f>
        <v>1.2500000000000001E-2</v>
      </c>
      <c r="AU5" s="40">
        <f>D3*(D4^2)</f>
        <v>1.2500000000000001E-2</v>
      </c>
      <c r="AV5" s="40">
        <f>D3*(D4^2)</f>
        <v>1.2500000000000001E-2</v>
      </c>
      <c r="AW5" s="40">
        <f>D3*(D4^2)</f>
        <v>1.2500000000000001E-2</v>
      </c>
      <c r="AX5" s="40">
        <f>D3*(D4^2)</f>
        <v>1.2500000000000001E-2</v>
      </c>
      <c r="AY5" s="40">
        <f>D3*(D4^2)</f>
        <v>1.2500000000000001E-2</v>
      </c>
      <c r="AZ5" s="40">
        <f>D3*(D4^2)</f>
        <v>1.2500000000000001E-2</v>
      </c>
      <c r="BA5" s="40">
        <f>D3*(D4^2)</f>
        <v>1.2500000000000001E-2</v>
      </c>
      <c r="BB5" s="40">
        <f>D3*(D4^2)</f>
        <v>1.2500000000000001E-2</v>
      </c>
      <c r="BC5" s="40">
        <f>D3*(D4^2)</f>
        <v>1.2500000000000001E-2</v>
      </c>
      <c r="BD5" s="40">
        <f>D3*(D4^2)</f>
        <v>1.2500000000000001E-2</v>
      </c>
      <c r="BE5" s="40">
        <f>D3*(D4^2)</f>
        <v>1.2500000000000001E-2</v>
      </c>
    </row>
    <row r="6" spans="3:57" x14ac:dyDescent="0.25">
      <c r="I6" t="s">
        <v>41</v>
      </c>
      <c r="T6" s="1"/>
      <c r="U6" s="1"/>
      <c r="V6" s="1"/>
      <c r="W6" s="1"/>
      <c r="X6" s="1"/>
      <c r="Y6" s="41">
        <v>5</v>
      </c>
      <c r="Z6" s="42">
        <f t="array" ref="Z6">MMULT(MMULT(TRANSPOSE(AK29:AK33),AG2:AK6),AK29:AK33)</f>
        <v>6.0000000000000019E-2</v>
      </c>
      <c r="AA6" s="1">
        <f t="shared" si="0"/>
        <v>0.24494897427831785</v>
      </c>
      <c r="AB6" s="1">
        <v>0.20615528128088303</v>
      </c>
      <c r="AC6" s="1">
        <v>0.26191601707417589</v>
      </c>
      <c r="AD6" s="1">
        <v>0.21</v>
      </c>
      <c r="AF6" s="2">
        <v>5</v>
      </c>
      <c r="AG6" s="40">
        <f>D3*(D4^2)</f>
        <v>1.2500000000000001E-2</v>
      </c>
      <c r="AH6" s="40">
        <f>D3*(D4^2)</f>
        <v>1.2500000000000001E-2</v>
      </c>
      <c r="AI6" s="40">
        <f>D3*(D4^2)</f>
        <v>1.2500000000000001E-2</v>
      </c>
      <c r="AJ6" s="40">
        <f>D3*(D4^2)</f>
        <v>1.2500000000000001E-2</v>
      </c>
      <c r="AK6" s="39">
        <f>D4^2</f>
        <v>0.25</v>
      </c>
      <c r="AL6" s="40">
        <f>D3*(D4^2)</f>
        <v>1.2500000000000001E-2</v>
      </c>
      <c r="AM6" s="40">
        <f>D3*(D4^2)</f>
        <v>1.2500000000000001E-2</v>
      </c>
      <c r="AN6" s="40">
        <f>D3*(D4^2)</f>
        <v>1.2500000000000001E-2</v>
      </c>
      <c r="AO6" s="40">
        <f>D3*(D4^2)</f>
        <v>1.2500000000000001E-2</v>
      </c>
      <c r="AP6" s="40">
        <f>D3*(D4^2)</f>
        <v>1.2500000000000001E-2</v>
      </c>
      <c r="AQ6" s="40">
        <f>D3*(D4^2)</f>
        <v>1.2500000000000001E-2</v>
      </c>
      <c r="AR6" s="40">
        <f>D3*(D4^2)</f>
        <v>1.2500000000000001E-2</v>
      </c>
      <c r="AS6" s="40">
        <f>D3*(D4^2)</f>
        <v>1.2500000000000001E-2</v>
      </c>
      <c r="AT6" s="40">
        <f>D3*(D4^2)</f>
        <v>1.2500000000000001E-2</v>
      </c>
      <c r="AU6" s="40">
        <f>D3*(D4^2)</f>
        <v>1.2500000000000001E-2</v>
      </c>
      <c r="AV6" s="40">
        <f>D3*(D4^2)</f>
        <v>1.2500000000000001E-2</v>
      </c>
      <c r="AW6" s="40">
        <f>D3*(D4^2)</f>
        <v>1.2500000000000001E-2</v>
      </c>
      <c r="AX6" s="40">
        <f>D3*(D4^2)</f>
        <v>1.2500000000000001E-2</v>
      </c>
      <c r="AY6" s="40">
        <f>D3*(D4^2)</f>
        <v>1.2500000000000001E-2</v>
      </c>
      <c r="AZ6" s="40">
        <f>D3*(D4^2)</f>
        <v>1.2500000000000001E-2</v>
      </c>
      <c r="BA6" s="40">
        <f>D3*(D4^2)</f>
        <v>1.2500000000000001E-2</v>
      </c>
      <c r="BB6" s="40">
        <f>D3*(D4^2)</f>
        <v>1.2500000000000001E-2</v>
      </c>
      <c r="BC6" s="40">
        <f>D3*(D4^2)</f>
        <v>1.2500000000000001E-2</v>
      </c>
      <c r="BD6" s="40">
        <f>D3*(D4^2)</f>
        <v>1.2500000000000001E-2</v>
      </c>
      <c r="BE6" s="40">
        <f>D3*(D4^2)</f>
        <v>1.2500000000000001E-2</v>
      </c>
    </row>
    <row r="7" spans="3:57" x14ac:dyDescent="0.25">
      <c r="T7" s="1"/>
      <c r="U7" s="1"/>
      <c r="V7" s="1"/>
      <c r="W7" s="1"/>
      <c r="X7" s="1"/>
      <c r="Y7" s="2">
        <v>6</v>
      </c>
      <c r="Z7" s="42">
        <f t="array" ref="Z7">MMULT(MMULT(TRANSPOSE(AL29:AL34),AG2:AL7),AL29:AL34)</f>
        <v>5.2083333333333322E-2</v>
      </c>
      <c r="AA7" s="1">
        <f t="shared" si="0"/>
        <v>0.2282177322938192</v>
      </c>
      <c r="AB7" s="1">
        <v>0.20412414523193151</v>
      </c>
      <c r="AC7" s="1">
        <v>0.25759302526789551</v>
      </c>
      <c r="AD7" s="1">
        <v>0.20207259421636903</v>
      </c>
      <c r="AF7" s="2">
        <v>6</v>
      </c>
      <c r="AG7" s="40">
        <f>D3*(D4^2)</f>
        <v>1.2500000000000001E-2</v>
      </c>
      <c r="AH7" s="40">
        <f>D3*(D4^2)</f>
        <v>1.2500000000000001E-2</v>
      </c>
      <c r="AI7" s="40">
        <f>D3*(D4^2)</f>
        <v>1.2500000000000001E-2</v>
      </c>
      <c r="AJ7" s="40">
        <f>D3*(D4^2)</f>
        <v>1.2500000000000001E-2</v>
      </c>
      <c r="AK7" s="40">
        <f>D3*(D4^2)</f>
        <v>1.2500000000000001E-2</v>
      </c>
      <c r="AL7" s="39">
        <f>D4^2</f>
        <v>0.25</v>
      </c>
      <c r="AM7" s="40">
        <f>D3*(D4^2)</f>
        <v>1.2500000000000001E-2</v>
      </c>
      <c r="AN7" s="40">
        <f>D3*(D4^2)</f>
        <v>1.2500000000000001E-2</v>
      </c>
      <c r="AO7" s="40">
        <f>D3*(D4^2)</f>
        <v>1.2500000000000001E-2</v>
      </c>
      <c r="AP7" s="40">
        <f>D3*(D4^2)</f>
        <v>1.2500000000000001E-2</v>
      </c>
      <c r="AQ7" s="40">
        <f>D3*(D4^2)</f>
        <v>1.2500000000000001E-2</v>
      </c>
      <c r="AR7" s="40">
        <f>D3*(D4^2)</f>
        <v>1.2500000000000001E-2</v>
      </c>
      <c r="AS7" s="40">
        <f>D3*(D4^2)</f>
        <v>1.2500000000000001E-2</v>
      </c>
      <c r="AT7" s="40">
        <f>D3*(D4^2)</f>
        <v>1.2500000000000001E-2</v>
      </c>
      <c r="AU7" s="40">
        <f>D3*(D4^2)</f>
        <v>1.2500000000000001E-2</v>
      </c>
      <c r="AV7" s="40">
        <f>D3*(D4^2)</f>
        <v>1.2500000000000001E-2</v>
      </c>
      <c r="AW7" s="40">
        <f>D3*(D4^2)</f>
        <v>1.2500000000000001E-2</v>
      </c>
      <c r="AX7" s="40">
        <f>D3*(D4^2)</f>
        <v>1.2500000000000001E-2</v>
      </c>
      <c r="AY7" s="40">
        <f>D3*(D4^2)</f>
        <v>1.2500000000000001E-2</v>
      </c>
      <c r="AZ7" s="40">
        <f>D3*(D4^2)</f>
        <v>1.2500000000000001E-2</v>
      </c>
      <c r="BA7" s="40">
        <f>D3*(D4^2)</f>
        <v>1.2500000000000001E-2</v>
      </c>
      <c r="BB7" s="40">
        <f>D3*(D4^2)</f>
        <v>1.2500000000000001E-2</v>
      </c>
      <c r="BC7" s="40">
        <f>D3*(D4^2)</f>
        <v>1.2500000000000001E-2</v>
      </c>
      <c r="BD7" s="40">
        <f>D3*(D4^2)</f>
        <v>1.2500000000000001E-2</v>
      </c>
      <c r="BE7" s="40">
        <f>D3*(D4^2)</f>
        <v>1.2500000000000001E-2</v>
      </c>
    </row>
    <row r="8" spans="3:57" x14ac:dyDescent="0.25">
      <c r="M8" s="1"/>
      <c r="N8" s="1"/>
      <c r="O8" s="1"/>
      <c r="P8" s="1"/>
      <c r="Q8" s="1"/>
      <c r="R8" s="1"/>
      <c r="S8" s="1"/>
      <c r="T8" s="1"/>
      <c r="U8" s="1"/>
      <c r="V8" s="1"/>
      <c r="W8" s="1"/>
      <c r="X8" s="1"/>
      <c r="Y8" s="2">
        <v>7</v>
      </c>
      <c r="Z8" s="42">
        <f t="array" ref="Z8">MMULT(MMULT(TRANSPOSE(AM29:AM35),AG2:AM8),AM29:AM35)</f>
        <v>4.6428571428571416E-2</v>
      </c>
      <c r="AA8" s="1">
        <f t="shared" si="0"/>
        <v>0.21547290184283363</v>
      </c>
      <c r="AB8" s="1">
        <v>0.2026608708444444</v>
      </c>
      <c r="AC8" s="1">
        <v>0.25446021299998939</v>
      </c>
      <c r="AD8" s="1">
        <v>0.19621416870348585</v>
      </c>
      <c r="AF8" s="2">
        <v>7</v>
      </c>
      <c r="AG8" s="40">
        <f>D3*(D4^2)</f>
        <v>1.2500000000000001E-2</v>
      </c>
      <c r="AH8" s="40">
        <f>D3*(D4^2)</f>
        <v>1.2500000000000001E-2</v>
      </c>
      <c r="AI8" s="40">
        <f>D3*(D4^2)</f>
        <v>1.2500000000000001E-2</v>
      </c>
      <c r="AJ8" s="40">
        <f>D3*(D4^2)</f>
        <v>1.2500000000000001E-2</v>
      </c>
      <c r="AK8" s="40">
        <f>D3*(D4^2)</f>
        <v>1.2500000000000001E-2</v>
      </c>
      <c r="AL8" s="40">
        <f>D3*(D4^2)</f>
        <v>1.2500000000000001E-2</v>
      </c>
      <c r="AM8" s="39">
        <f>D4^2</f>
        <v>0.25</v>
      </c>
      <c r="AN8" s="40">
        <f>D3*(D4^2)</f>
        <v>1.2500000000000001E-2</v>
      </c>
      <c r="AO8" s="40">
        <f>D3*(D4^2)</f>
        <v>1.2500000000000001E-2</v>
      </c>
      <c r="AP8" s="40">
        <f>D3*(D4^2)</f>
        <v>1.2500000000000001E-2</v>
      </c>
      <c r="AQ8" s="40">
        <f>D3*(D4^2)</f>
        <v>1.2500000000000001E-2</v>
      </c>
      <c r="AR8" s="40">
        <f>D3*(D4^2)</f>
        <v>1.2500000000000001E-2</v>
      </c>
      <c r="AS8" s="40">
        <f>D3*(D4^2)</f>
        <v>1.2500000000000001E-2</v>
      </c>
      <c r="AT8" s="40">
        <f>D3*(D4^2)</f>
        <v>1.2500000000000001E-2</v>
      </c>
      <c r="AU8" s="40">
        <f>D3*(D4^2)</f>
        <v>1.2500000000000001E-2</v>
      </c>
      <c r="AV8" s="40">
        <f>D3*(D4^2)</f>
        <v>1.2500000000000001E-2</v>
      </c>
      <c r="AW8" s="40">
        <f>D3*(D4^2)</f>
        <v>1.2500000000000001E-2</v>
      </c>
      <c r="AX8" s="40">
        <f>D3*(D4^2)</f>
        <v>1.2500000000000001E-2</v>
      </c>
      <c r="AY8" s="40">
        <f>D3*(D4^2)</f>
        <v>1.2500000000000001E-2</v>
      </c>
      <c r="AZ8" s="40">
        <f>D3*(D4^2)</f>
        <v>1.2500000000000001E-2</v>
      </c>
      <c r="BA8" s="40">
        <f>D3*(D4^2)</f>
        <v>1.2500000000000001E-2</v>
      </c>
      <c r="BB8" s="40">
        <f>D3*(D4^2)</f>
        <v>1.2500000000000001E-2</v>
      </c>
      <c r="BC8" s="40">
        <f>D3*(D4^2)</f>
        <v>1.2500000000000001E-2</v>
      </c>
      <c r="BD8" s="40">
        <f>D3*(D4^2)</f>
        <v>1.2500000000000001E-2</v>
      </c>
      <c r="BE8" s="40">
        <f>D3*(D4^2)</f>
        <v>1.2500000000000001E-2</v>
      </c>
    </row>
    <row r="9" spans="3:57" x14ac:dyDescent="0.25">
      <c r="M9" s="1"/>
      <c r="N9" s="1"/>
      <c r="O9" s="1"/>
      <c r="P9" s="1"/>
      <c r="Q9" s="1"/>
      <c r="R9" s="1"/>
      <c r="S9" s="1"/>
      <c r="T9" s="1"/>
      <c r="U9" s="1"/>
      <c r="V9" s="1"/>
      <c r="W9" s="1"/>
      <c r="X9" s="1"/>
      <c r="Y9" s="41">
        <v>8</v>
      </c>
      <c r="Z9" s="42">
        <f t="array" ref="Z9">MMULT(MMULT(TRANSPOSE(AN29:AN36),AG2:AN9),AN29:AN36)</f>
        <v>4.2187499999999996E-2</v>
      </c>
      <c r="AA9" s="1">
        <f t="shared" si="0"/>
        <v>0.20539595906443728</v>
      </c>
      <c r="AB9" s="1">
        <v>0.20155644370746373</v>
      </c>
      <c r="AC9" s="1">
        <v>0.2520850550905388</v>
      </c>
      <c r="AD9" s="1">
        <v>0.19170289512680813</v>
      </c>
      <c r="AF9" s="2">
        <v>8</v>
      </c>
      <c r="AG9" s="40">
        <f>D3*(D4^2)</f>
        <v>1.2500000000000001E-2</v>
      </c>
      <c r="AH9" s="40">
        <f>D3*(D4^2)</f>
        <v>1.2500000000000001E-2</v>
      </c>
      <c r="AI9" s="40">
        <f>D3*(D4^2)</f>
        <v>1.2500000000000001E-2</v>
      </c>
      <c r="AJ9" s="40">
        <f>D3*(D4^2)</f>
        <v>1.2500000000000001E-2</v>
      </c>
      <c r="AK9" s="40">
        <f>D3*(D4^2)</f>
        <v>1.2500000000000001E-2</v>
      </c>
      <c r="AL9" s="40">
        <f>D3*(D4^2)</f>
        <v>1.2500000000000001E-2</v>
      </c>
      <c r="AM9" s="40">
        <f>D3*(D4^2)</f>
        <v>1.2500000000000001E-2</v>
      </c>
      <c r="AN9" s="39">
        <f>D4^2</f>
        <v>0.25</v>
      </c>
      <c r="AO9" s="40">
        <f>D3*(D4^2)</f>
        <v>1.2500000000000001E-2</v>
      </c>
      <c r="AP9" s="40">
        <f>D3*(D4^2)</f>
        <v>1.2500000000000001E-2</v>
      </c>
      <c r="AQ9" s="40">
        <f>D3*(D4^2)</f>
        <v>1.2500000000000001E-2</v>
      </c>
      <c r="AR9" s="40">
        <f>D3*(D4^2)</f>
        <v>1.2500000000000001E-2</v>
      </c>
      <c r="AS9" s="40">
        <f>D3*(D4^2)</f>
        <v>1.2500000000000001E-2</v>
      </c>
      <c r="AT9" s="40">
        <f>D3*(D4^2)</f>
        <v>1.2500000000000001E-2</v>
      </c>
      <c r="AU9" s="40">
        <f>D3*(D4^2)</f>
        <v>1.2500000000000001E-2</v>
      </c>
      <c r="AV9" s="40">
        <f>D3*(D4^2)</f>
        <v>1.2500000000000001E-2</v>
      </c>
      <c r="AW9" s="40">
        <f>D3*(D4^2)</f>
        <v>1.2500000000000001E-2</v>
      </c>
      <c r="AX9" s="40">
        <f>D3*(D4^2)</f>
        <v>1.2500000000000001E-2</v>
      </c>
      <c r="AY9" s="40">
        <f>D3*(D4^2)</f>
        <v>1.2500000000000001E-2</v>
      </c>
      <c r="AZ9" s="40">
        <f>D3*(D4^2)</f>
        <v>1.2500000000000001E-2</v>
      </c>
      <c r="BA9" s="40">
        <f>D3*(D4^2)</f>
        <v>1.2500000000000001E-2</v>
      </c>
      <c r="BB9" s="40">
        <f>D3*(D4^2)</f>
        <v>1.2500000000000001E-2</v>
      </c>
      <c r="BC9" s="40">
        <f>D3*(D4^2)</f>
        <v>1.2500000000000001E-2</v>
      </c>
      <c r="BD9" s="40">
        <f>D3*(D4^2)</f>
        <v>1.2500000000000001E-2</v>
      </c>
      <c r="BE9" s="40">
        <f>D3*(D4^2)</f>
        <v>1.2500000000000001E-2</v>
      </c>
    </row>
    <row r="10" spans="3:57" x14ac:dyDescent="0.25">
      <c r="M10" s="1"/>
      <c r="N10" s="1"/>
      <c r="O10" s="1"/>
      <c r="P10" s="1"/>
      <c r="Q10" s="1"/>
      <c r="R10" s="1"/>
      <c r="S10" s="1"/>
      <c r="T10" s="1"/>
      <c r="U10" s="1"/>
      <c r="V10" s="1"/>
      <c r="W10" s="1"/>
      <c r="X10" s="1"/>
      <c r="Y10" s="2">
        <v>9</v>
      </c>
      <c r="Z10" s="42">
        <f t="array" ref="Z10">MMULT(MMULT(TRANSPOSE(AO29:AO37),AG2:AO10),AO29:AO37)</f>
        <v>3.888888888888889E-2</v>
      </c>
      <c r="AA10" s="1">
        <f t="shared" si="0"/>
        <v>0.19720265943665388</v>
      </c>
      <c r="AB10" s="1">
        <v>0.20069324297987159</v>
      </c>
      <c r="AC10" s="1">
        <v>0.2502221235444842</v>
      </c>
      <c r="AD10" s="1">
        <v>0.18811934746029949</v>
      </c>
      <c r="AF10" s="2">
        <v>9</v>
      </c>
      <c r="AG10" s="40">
        <f>D3*(D4^2)</f>
        <v>1.2500000000000001E-2</v>
      </c>
      <c r="AH10" s="40">
        <f>D3*(D4^2)</f>
        <v>1.2500000000000001E-2</v>
      </c>
      <c r="AI10" s="40">
        <f>D3*(D4^2)</f>
        <v>1.2500000000000001E-2</v>
      </c>
      <c r="AJ10" s="40">
        <f>D3*(D4^2)</f>
        <v>1.2500000000000001E-2</v>
      </c>
      <c r="AK10" s="40">
        <f>D3*(D4^2)</f>
        <v>1.2500000000000001E-2</v>
      </c>
      <c r="AL10" s="40">
        <f>D3*(D4^2)</f>
        <v>1.2500000000000001E-2</v>
      </c>
      <c r="AM10" s="40">
        <f>D3*(D4^2)</f>
        <v>1.2500000000000001E-2</v>
      </c>
      <c r="AN10" s="40">
        <f>D3*(D4^2)</f>
        <v>1.2500000000000001E-2</v>
      </c>
      <c r="AO10" s="39">
        <f>D4^2</f>
        <v>0.25</v>
      </c>
      <c r="AP10" s="40">
        <f>D3*(D4^2)</f>
        <v>1.2500000000000001E-2</v>
      </c>
      <c r="AQ10" s="40">
        <f>D3*(D4^2)</f>
        <v>1.2500000000000001E-2</v>
      </c>
      <c r="AR10" s="40">
        <f>D3*(D4^2)</f>
        <v>1.2500000000000001E-2</v>
      </c>
      <c r="AS10" s="40">
        <f>D3*(D4^2)</f>
        <v>1.2500000000000001E-2</v>
      </c>
      <c r="AT10" s="40">
        <f>D3*(D4^2)</f>
        <v>1.2500000000000001E-2</v>
      </c>
      <c r="AU10" s="40">
        <f>D3*(D4^2)</f>
        <v>1.2500000000000001E-2</v>
      </c>
      <c r="AV10" s="40">
        <f>D3*(D4^2)</f>
        <v>1.2500000000000001E-2</v>
      </c>
      <c r="AW10" s="40">
        <f>D3*(D4^2)</f>
        <v>1.2500000000000001E-2</v>
      </c>
      <c r="AX10" s="40">
        <f>D3*(D4^2)</f>
        <v>1.2500000000000001E-2</v>
      </c>
      <c r="AY10" s="40">
        <f>D3*(D4^2)</f>
        <v>1.2500000000000001E-2</v>
      </c>
      <c r="AZ10" s="40">
        <f>D3*(D4^2)</f>
        <v>1.2500000000000001E-2</v>
      </c>
      <c r="BA10" s="40">
        <f>D3*(D4^2)</f>
        <v>1.2500000000000001E-2</v>
      </c>
      <c r="BB10" s="40">
        <f>D3*(D4^2)</f>
        <v>1.2500000000000001E-2</v>
      </c>
      <c r="BC10" s="40">
        <f>D3*(D4^2)</f>
        <v>1.2500000000000001E-2</v>
      </c>
      <c r="BD10" s="40">
        <f>D3*(D4^2)</f>
        <v>1.2500000000000001E-2</v>
      </c>
      <c r="BE10" s="40">
        <f>D3*(D4^2)</f>
        <v>1.2500000000000001E-2</v>
      </c>
    </row>
    <row r="11" spans="3:57" x14ac:dyDescent="0.25">
      <c r="M11" s="1"/>
      <c r="N11" s="1"/>
      <c r="O11" s="1"/>
      <c r="P11" s="1"/>
      <c r="Q11" s="1"/>
      <c r="R11" s="1"/>
      <c r="S11" s="1"/>
      <c r="T11" s="1"/>
      <c r="U11" s="1"/>
      <c r="V11" s="1"/>
      <c r="W11" s="1"/>
      <c r="X11" s="1"/>
      <c r="Y11" s="2">
        <v>10</v>
      </c>
      <c r="Z11" s="42">
        <f t="array" ref="Z11">MMULT(MMULT(TRANSPOSE(AP29:AP38),AG2:AP11),AP29:AP38)</f>
        <v>3.6250000000000011E-2</v>
      </c>
      <c r="AA11" s="1">
        <f t="shared" si="0"/>
        <v>0.19039432764659775</v>
      </c>
      <c r="AB11" s="1">
        <v>0.2</v>
      </c>
      <c r="AC11" s="1">
        <v>0.24872173206215822</v>
      </c>
      <c r="AD11" s="1">
        <v>0.18520259177452139</v>
      </c>
      <c r="AF11" s="2">
        <v>10</v>
      </c>
      <c r="AG11" s="40">
        <f>D3*(D4^2)</f>
        <v>1.2500000000000001E-2</v>
      </c>
      <c r="AH11" s="40">
        <f>D3*(D4^2)</f>
        <v>1.2500000000000001E-2</v>
      </c>
      <c r="AI11" s="40">
        <f>D3*(D4^2)</f>
        <v>1.2500000000000001E-2</v>
      </c>
      <c r="AJ11" s="40">
        <f>D3*(D4^2)</f>
        <v>1.2500000000000001E-2</v>
      </c>
      <c r="AK11" s="40">
        <f>D3*(D4^2)</f>
        <v>1.2500000000000001E-2</v>
      </c>
      <c r="AL11" s="40">
        <f>D3*(D4^2)</f>
        <v>1.2500000000000001E-2</v>
      </c>
      <c r="AM11" s="40">
        <f>D3*(D4^2)</f>
        <v>1.2500000000000001E-2</v>
      </c>
      <c r="AN11" s="40">
        <f>D3*(D4^2)</f>
        <v>1.2500000000000001E-2</v>
      </c>
      <c r="AO11" s="40">
        <f>D3*(D4^2)</f>
        <v>1.2500000000000001E-2</v>
      </c>
      <c r="AP11" s="39">
        <f>D4^2</f>
        <v>0.25</v>
      </c>
      <c r="AQ11" s="40">
        <f>D3*(D4^2)</f>
        <v>1.2500000000000001E-2</v>
      </c>
      <c r="AR11" s="40">
        <f>D3*(D4^2)</f>
        <v>1.2500000000000001E-2</v>
      </c>
      <c r="AS11" s="40">
        <f>D3*(D4^2)</f>
        <v>1.2500000000000001E-2</v>
      </c>
      <c r="AT11" s="40">
        <f>D3*(D4^2)</f>
        <v>1.2500000000000001E-2</v>
      </c>
      <c r="AU11" s="40">
        <f>D3*(D4^2)</f>
        <v>1.2500000000000001E-2</v>
      </c>
      <c r="AV11" s="40">
        <f>D3*(D4^2)</f>
        <v>1.2500000000000001E-2</v>
      </c>
      <c r="AW11" s="40">
        <f>D3*(D4^2)</f>
        <v>1.2500000000000001E-2</v>
      </c>
      <c r="AX11" s="40">
        <f>D3*(D4^2)</f>
        <v>1.2500000000000001E-2</v>
      </c>
      <c r="AY11" s="40">
        <f>D3*(D4^2)</f>
        <v>1.2500000000000001E-2</v>
      </c>
      <c r="AZ11" s="40">
        <f>D3*(D4^2)</f>
        <v>1.2500000000000001E-2</v>
      </c>
      <c r="BA11" s="40">
        <f>D3*(D4^2)</f>
        <v>1.2500000000000001E-2</v>
      </c>
      <c r="BB11" s="40">
        <f>D3*(D4^2)</f>
        <v>1.2500000000000001E-2</v>
      </c>
      <c r="BC11" s="40">
        <f>D3*(D4^2)</f>
        <v>1.2500000000000001E-2</v>
      </c>
      <c r="BD11" s="40">
        <f>D3*(D4^2)</f>
        <v>1.2500000000000001E-2</v>
      </c>
      <c r="BE11" s="40">
        <f>D3*(D4^2)</f>
        <v>1.2500000000000001E-2</v>
      </c>
    </row>
    <row r="12" spans="3:57" x14ac:dyDescent="0.25">
      <c r="M12" s="1"/>
      <c r="N12" s="1"/>
      <c r="O12" s="1"/>
      <c r="P12" s="1"/>
      <c r="Q12" s="1"/>
      <c r="R12" s="1"/>
      <c r="S12" s="1"/>
      <c r="T12" s="1"/>
      <c r="U12" s="1"/>
      <c r="V12" s="1"/>
      <c r="W12" s="1"/>
      <c r="X12" s="1"/>
      <c r="Y12" s="41">
        <v>11</v>
      </c>
      <c r="Z12" s="42">
        <f t="array" ref="Z12">MMULT(MMULT(TRANSPOSE(AQ29:AQ39),AG2:AQ12),AQ29:AQ39)</f>
        <v>3.4090909090909095E-2</v>
      </c>
      <c r="AA12" s="1">
        <f t="shared" si="0"/>
        <v>0.1846372364689991</v>
      </c>
      <c r="AB12" s="1">
        <v>0.19943100880436646</v>
      </c>
      <c r="AC12" s="1">
        <v>0.24748737341529164</v>
      </c>
      <c r="AD12" s="1">
        <v>0.18278153875348274</v>
      </c>
      <c r="AF12" s="2">
        <v>11</v>
      </c>
      <c r="AG12" s="40">
        <f>D3*(D4^2)</f>
        <v>1.2500000000000001E-2</v>
      </c>
      <c r="AH12" s="40">
        <f>D3*(D4^2)</f>
        <v>1.2500000000000001E-2</v>
      </c>
      <c r="AI12" s="40">
        <f>D3*(D4^2)</f>
        <v>1.2500000000000001E-2</v>
      </c>
      <c r="AJ12" s="40">
        <f>D3*(D4^2)</f>
        <v>1.2500000000000001E-2</v>
      </c>
      <c r="AK12" s="40">
        <f>D3*(D4^2)</f>
        <v>1.2500000000000001E-2</v>
      </c>
      <c r="AL12" s="40">
        <f>D3*(D4^2)</f>
        <v>1.2500000000000001E-2</v>
      </c>
      <c r="AM12" s="40">
        <f>D3*(D4^2)</f>
        <v>1.2500000000000001E-2</v>
      </c>
      <c r="AN12" s="40">
        <f>D3*(D4^2)</f>
        <v>1.2500000000000001E-2</v>
      </c>
      <c r="AO12" s="40">
        <f>D3*(D4^2)</f>
        <v>1.2500000000000001E-2</v>
      </c>
      <c r="AP12" s="40">
        <f>D3*(D4^2)</f>
        <v>1.2500000000000001E-2</v>
      </c>
      <c r="AQ12" s="39">
        <f>D4^2</f>
        <v>0.25</v>
      </c>
      <c r="AR12" s="40">
        <f>D3*(D4^2)</f>
        <v>1.2500000000000001E-2</v>
      </c>
      <c r="AS12" s="40">
        <f>D3*(D4^2)</f>
        <v>1.2500000000000001E-2</v>
      </c>
      <c r="AT12" s="40">
        <f>D3*(D4^2)</f>
        <v>1.2500000000000001E-2</v>
      </c>
      <c r="AU12" s="40">
        <f>D3*(D4^2)</f>
        <v>1.2500000000000001E-2</v>
      </c>
      <c r="AV12" s="40">
        <f>D3*(D4^2)</f>
        <v>1.2500000000000001E-2</v>
      </c>
      <c r="AW12" s="40">
        <f>D3*(D4^2)</f>
        <v>1.2500000000000001E-2</v>
      </c>
      <c r="AX12" s="40">
        <f>D3*(D4^2)</f>
        <v>1.2500000000000001E-2</v>
      </c>
      <c r="AY12" s="40">
        <f>D3*(D4^2)</f>
        <v>1.2500000000000001E-2</v>
      </c>
      <c r="AZ12" s="40">
        <f>D3*(D4^2)</f>
        <v>1.2500000000000001E-2</v>
      </c>
      <c r="BA12" s="40">
        <f>D3*(D4^2)</f>
        <v>1.2500000000000001E-2</v>
      </c>
      <c r="BB12" s="40">
        <f>D3*(D4^2)</f>
        <v>1.2500000000000001E-2</v>
      </c>
      <c r="BC12" s="40">
        <f>D3*(D4^2)</f>
        <v>1.2500000000000001E-2</v>
      </c>
      <c r="BD12" s="40">
        <f>D3*(D4^2)</f>
        <v>1.2500000000000001E-2</v>
      </c>
      <c r="BE12" s="40">
        <f>D3*(D4^2)</f>
        <v>1.2500000000000001E-2</v>
      </c>
    </row>
    <row r="13" spans="3:57" x14ac:dyDescent="0.25">
      <c r="M13" s="1"/>
      <c r="N13" s="1"/>
      <c r="O13" s="1"/>
      <c r="P13" s="1"/>
      <c r="Q13" s="1"/>
      <c r="R13" s="1"/>
      <c r="S13" s="1"/>
      <c r="T13" s="1"/>
      <c r="U13" s="1"/>
      <c r="V13" s="1"/>
      <c r="W13" s="1"/>
      <c r="X13" s="1"/>
      <c r="Y13" s="2">
        <v>12</v>
      </c>
      <c r="Z13" s="42">
        <f t="array" ref="Z13">MMULT(MMULT(TRANSPOSE(AR29:AR40),AG2:AR13),AR29:AR40)</f>
        <v>3.229166666666667E-2</v>
      </c>
      <c r="AA13" s="1">
        <f t="shared" si="0"/>
        <v>0.17969882210706523</v>
      </c>
      <c r="AB13" s="1">
        <v>0.19895560643855542</v>
      </c>
      <c r="AC13" s="1">
        <v>0.24645401869990541</v>
      </c>
      <c r="AD13" s="1">
        <v>0.1807392228230128</v>
      </c>
      <c r="AF13" s="2">
        <v>12</v>
      </c>
      <c r="AG13" s="40">
        <f>D3*(D4^2)</f>
        <v>1.2500000000000001E-2</v>
      </c>
      <c r="AH13" s="40">
        <f>D3*(D4^2)</f>
        <v>1.2500000000000001E-2</v>
      </c>
      <c r="AI13" s="40">
        <f>D3*(D4^2)</f>
        <v>1.2500000000000001E-2</v>
      </c>
      <c r="AJ13" s="40">
        <f>D3*(D4^2)</f>
        <v>1.2500000000000001E-2</v>
      </c>
      <c r="AK13" s="40">
        <f>D3*(D4^2)</f>
        <v>1.2500000000000001E-2</v>
      </c>
      <c r="AL13" s="40">
        <f>D3*(D4^2)</f>
        <v>1.2500000000000001E-2</v>
      </c>
      <c r="AM13" s="40">
        <f>D3*(D4^2)</f>
        <v>1.2500000000000001E-2</v>
      </c>
      <c r="AN13" s="40">
        <f>D3*(D4^2)</f>
        <v>1.2500000000000001E-2</v>
      </c>
      <c r="AO13" s="40">
        <f>D3*(D4^2)</f>
        <v>1.2500000000000001E-2</v>
      </c>
      <c r="AP13" s="40">
        <f>D3*(D4^2)</f>
        <v>1.2500000000000001E-2</v>
      </c>
      <c r="AQ13" s="40">
        <f>D3*(D4^2)</f>
        <v>1.2500000000000001E-2</v>
      </c>
      <c r="AR13" s="39">
        <f>D4^2</f>
        <v>0.25</v>
      </c>
      <c r="AS13" s="40">
        <f>D3*(D4^2)</f>
        <v>1.2500000000000001E-2</v>
      </c>
      <c r="AT13" s="40">
        <f>D3*(D4^2)</f>
        <v>1.2500000000000001E-2</v>
      </c>
      <c r="AU13" s="40">
        <f>D3*(D4^2)</f>
        <v>1.2500000000000001E-2</v>
      </c>
      <c r="AV13" s="40">
        <f>D3*(D4^2)</f>
        <v>1.2500000000000001E-2</v>
      </c>
      <c r="AW13" s="40">
        <f>D3*(D4^2)</f>
        <v>1.2500000000000001E-2</v>
      </c>
      <c r="AX13" s="40">
        <f>D3*(D4^2)</f>
        <v>1.2500000000000001E-2</v>
      </c>
      <c r="AY13" s="40">
        <f>D3*(D4^2)</f>
        <v>1.2500000000000001E-2</v>
      </c>
      <c r="AZ13" s="40">
        <f>D3*(D4^2)</f>
        <v>1.2500000000000001E-2</v>
      </c>
      <c r="BA13" s="40">
        <f>D3*(D4^2)</f>
        <v>1.2500000000000001E-2</v>
      </c>
      <c r="BB13" s="40">
        <f>D3*(D4^2)</f>
        <v>1.2500000000000001E-2</v>
      </c>
      <c r="BC13" s="40">
        <f>D3*(D4^2)</f>
        <v>1.2500000000000001E-2</v>
      </c>
      <c r="BD13" s="40">
        <f>D3*(D4^2)</f>
        <v>1.2500000000000001E-2</v>
      </c>
      <c r="BE13" s="40">
        <f>D3*(D4^2)</f>
        <v>1.2500000000000001E-2</v>
      </c>
    </row>
    <row r="14" spans="3:57" x14ac:dyDescent="0.25">
      <c r="M14" s="1"/>
      <c r="N14" s="1"/>
      <c r="O14" s="1"/>
      <c r="P14" s="1"/>
      <c r="Q14" s="1"/>
      <c r="R14" s="1"/>
      <c r="S14" s="1"/>
      <c r="T14" s="1"/>
      <c r="U14" s="1"/>
      <c r="V14" s="1"/>
      <c r="W14" s="1"/>
      <c r="X14" s="1"/>
      <c r="Y14" s="2">
        <v>13</v>
      </c>
      <c r="Z14" s="42">
        <f t="array" ref="Z14">MMULT(MMULT(TRANSPOSE(AS29:AS41),AG2:AS14),AS29:AS41)</f>
        <v>3.0769230769230767E-2</v>
      </c>
      <c r="AA14" s="1">
        <f t="shared" si="0"/>
        <v>0.17541160386140583</v>
      </c>
      <c r="AB14" s="1">
        <v>0.19855245383292783</v>
      </c>
      <c r="AC14" s="1">
        <v>0.2455762454059682</v>
      </c>
      <c r="AD14" s="1">
        <v>0.17899290918486557</v>
      </c>
      <c r="AF14" s="2">
        <v>13</v>
      </c>
      <c r="AG14" s="40">
        <f>D3*(D4^2)</f>
        <v>1.2500000000000001E-2</v>
      </c>
      <c r="AH14" s="40">
        <f>D3*(D4^2)</f>
        <v>1.2500000000000001E-2</v>
      </c>
      <c r="AI14" s="40">
        <f>D3*(D4^2)</f>
        <v>1.2500000000000001E-2</v>
      </c>
      <c r="AJ14" s="40">
        <f>D3*(D4^2)</f>
        <v>1.2500000000000001E-2</v>
      </c>
      <c r="AK14" s="40">
        <f>D3*(D4^2)</f>
        <v>1.2500000000000001E-2</v>
      </c>
      <c r="AL14" s="40">
        <f>D3*(D4^2)</f>
        <v>1.2500000000000001E-2</v>
      </c>
      <c r="AM14" s="40">
        <f>D3*(D4^2)</f>
        <v>1.2500000000000001E-2</v>
      </c>
      <c r="AN14" s="40">
        <f>D3*(D4^2)</f>
        <v>1.2500000000000001E-2</v>
      </c>
      <c r="AO14" s="40">
        <f>D3*(D4^2)</f>
        <v>1.2500000000000001E-2</v>
      </c>
      <c r="AP14" s="40">
        <f>D3*(D4^2)</f>
        <v>1.2500000000000001E-2</v>
      </c>
      <c r="AQ14" s="40">
        <f>D3*(D4^2)</f>
        <v>1.2500000000000001E-2</v>
      </c>
      <c r="AR14" s="40">
        <f>D3*(D4^2)</f>
        <v>1.2500000000000001E-2</v>
      </c>
      <c r="AS14" s="39">
        <f>D4^2</f>
        <v>0.25</v>
      </c>
      <c r="AT14" s="40">
        <f>D3*(D4^2)</f>
        <v>1.2500000000000001E-2</v>
      </c>
      <c r="AU14" s="40">
        <f>D3*(D4^2)</f>
        <v>1.2500000000000001E-2</v>
      </c>
      <c r="AV14" s="40">
        <f>D3*(D4^2)</f>
        <v>1.2500000000000001E-2</v>
      </c>
      <c r="AW14" s="40">
        <f>D3*(D4^2)</f>
        <v>1.2500000000000001E-2</v>
      </c>
      <c r="AX14" s="40">
        <f>D3*(D4^2)</f>
        <v>1.2500000000000001E-2</v>
      </c>
      <c r="AY14" s="40">
        <f>D3*(D4^2)</f>
        <v>1.2500000000000001E-2</v>
      </c>
      <c r="AZ14" s="40">
        <f>D3*(D4^2)</f>
        <v>1.2500000000000001E-2</v>
      </c>
      <c r="BA14" s="40">
        <f>D3*(D4^2)</f>
        <v>1.2500000000000001E-2</v>
      </c>
      <c r="BB14" s="40">
        <f>D3*(D4^2)</f>
        <v>1.2500000000000001E-2</v>
      </c>
      <c r="BC14" s="40">
        <f>D3*(D4^2)</f>
        <v>1.2500000000000001E-2</v>
      </c>
      <c r="BD14" s="40">
        <f>D3*(D4^2)</f>
        <v>1.2500000000000001E-2</v>
      </c>
      <c r="BE14" s="40">
        <f>D3*(D4^2)</f>
        <v>1.2500000000000001E-2</v>
      </c>
    </row>
    <row r="15" spans="3:57" x14ac:dyDescent="0.25">
      <c r="M15" s="1"/>
      <c r="N15" s="1"/>
      <c r="O15" s="1"/>
      <c r="P15" s="1"/>
      <c r="Q15" s="1"/>
      <c r="R15" s="1"/>
      <c r="S15" s="1"/>
      <c r="T15" s="1"/>
      <c r="U15" s="1"/>
      <c r="V15" s="1"/>
      <c r="W15" s="1"/>
      <c r="X15" s="1"/>
      <c r="Y15" s="41">
        <v>14</v>
      </c>
      <c r="Z15" s="42">
        <f t="array" ref="Z15">MMULT(MMULT(TRANSPOSE(AT29:AT42),AG2:AT15),AT29:AT42)</f>
        <v>2.9464285714285721E-2</v>
      </c>
      <c r="AA15" s="1">
        <f t="shared" si="0"/>
        <v>0.17165164058139881</v>
      </c>
      <c r="AB15" s="1">
        <v>0.19820624179302296</v>
      </c>
      <c r="AC15" s="1">
        <v>0.24482136344690181</v>
      </c>
      <c r="AD15" s="1">
        <v>0.17748239349298853</v>
      </c>
      <c r="AF15" s="2">
        <v>14</v>
      </c>
      <c r="AG15" s="40">
        <f>D3*(D4^2)</f>
        <v>1.2500000000000001E-2</v>
      </c>
      <c r="AH15" s="40">
        <f>D3*(D4^2)</f>
        <v>1.2500000000000001E-2</v>
      </c>
      <c r="AI15" s="40">
        <f>D3*(D4^2)</f>
        <v>1.2500000000000001E-2</v>
      </c>
      <c r="AJ15" s="40">
        <f>D3*(D4^2)</f>
        <v>1.2500000000000001E-2</v>
      </c>
      <c r="AK15" s="40">
        <f>D3*(D4^2)</f>
        <v>1.2500000000000001E-2</v>
      </c>
      <c r="AL15" s="40">
        <f>D3*(D4^2)</f>
        <v>1.2500000000000001E-2</v>
      </c>
      <c r="AM15" s="40">
        <f>D3*(D4^2)</f>
        <v>1.2500000000000001E-2</v>
      </c>
      <c r="AN15" s="40">
        <f>D3*(D4^2)</f>
        <v>1.2500000000000001E-2</v>
      </c>
      <c r="AO15" s="40">
        <f>D3*(D4^2)</f>
        <v>1.2500000000000001E-2</v>
      </c>
      <c r="AP15" s="40">
        <f>D3*(D4^2)</f>
        <v>1.2500000000000001E-2</v>
      </c>
      <c r="AQ15" s="40">
        <f>D3*(D4^2)</f>
        <v>1.2500000000000001E-2</v>
      </c>
      <c r="AR15" s="40">
        <f>D3*(D4^2)</f>
        <v>1.2500000000000001E-2</v>
      </c>
      <c r="AS15" s="40">
        <f>D3*(D4^2)</f>
        <v>1.2500000000000001E-2</v>
      </c>
      <c r="AT15" s="39">
        <f>D4^2</f>
        <v>0.25</v>
      </c>
      <c r="AU15" s="40">
        <f>D3*(D4^2)</f>
        <v>1.2500000000000001E-2</v>
      </c>
      <c r="AV15" s="40">
        <f>D3*(D4^2)</f>
        <v>1.2500000000000001E-2</v>
      </c>
      <c r="AW15" s="40">
        <f>D3*(D4^2)</f>
        <v>1.2500000000000001E-2</v>
      </c>
      <c r="AX15" s="40">
        <f>D3*(D4^2)</f>
        <v>1.2500000000000001E-2</v>
      </c>
      <c r="AY15" s="40">
        <f>D3*(D4^2)</f>
        <v>1.2500000000000001E-2</v>
      </c>
      <c r="AZ15" s="40">
        <f>D3*(D4^2)</f>
        <v>1.2500000000000001E-2</v>
      </c>
      <c r="BA15" s="40">
        <f>D3*(D4^2)</f>
        <v>1.2500000000000001E-2</v>
      </c>
      <c r="BB15" s="40">
        <f>D3*(D4^2)</f>
        <v>1.2500000000000001E-2</v>
      </c>
      <c r="BC15" s="40">
        <f>D3*(D4^2)</f>
        <v>1.2500000000000001E-2</v>
      </c>
      <c r="BD15" s="40">
        <f>D3*(D4^2)</f>
        <v>1.2500000000000001E-2</v>
      </c>
      <c r="BE15" s="40">
        <f>D3*(D4^2)</f>
        <v>1.2500000000000001E-2</v>
      </c>
    </row>
    <row r="16" spans="3:57" x14ac:dyDescent="0.25">
      <c r="M16" s="1"/>
      <c r="N16" s="1"/>
      <c r="O16" s="1"/>
      <c r="P16" s="1"/>
      <c r="Q16" s="1"/>
      <c r="R16" s="1"/>
      <c r="S16" s="1"/>
      <c r="T16" s="1"/>
      <c r="U16" s="1"/>
      <c r="V16" s="1"/>
      <c r="W16" s="1"/>
      <c r="X16" s="1"/>
      <c r="Y16" s="2">
        <v>15</v>
      </c>
      <c r="Z16" s="42">
        <f t="array" ref="Z16">MMULT(MMULT(TRANSPOSE(AU29:AU43),AG2:AU16),AU29:AU43)</f>
        <v>2.8333333333333318E-2</v>
      </c>
      <c r="AA16" s="1">
        <f t="shared" si="0"/>
        <v>0.16832508230603457</v>
      </c>
      <c r="AB16" s="1">
        <v>0.19790570145063199</v>
      </c>
      <c r="AC16" s="1">
        <v>0.24416524459199065</v>
      </c>
      <c r="AD16" s="1">
        <v>0.17616280348965088</v>
      </c>
      <c r="AF16" s="2">
        <v>15</v>
      </c>
      <c r="AG16" s="40">
        <f>D3*(D4^2)</f>
        <v>1.2500000000000001E-2</v>
      </c>
      <c r="AH16" s="40">
        <f>D3*(D4^2)</f>
        <v>1.2500000000000001E-2</v>
      </c>
      <c r="AI16" s="40">
        <f>D3*(D4^2)</f>
        <v>1.2500000000000001E-2</v>
      </c>
      <c r="AJ16" s="40">
        <f>D3*(D4^2)</f>
        <v>1.2500000000000001E-2</v>
      </c>
      <c r="AK16" s="40">
        <f>D3*(D4^2)</f>
        <v>1.2500000000000001E-2</v>
      </c>
      <c r="AL16" s="40">
        <f>D3*(D4^2)</f>
        <v>1.2500000000000001E-2</v>
      </c>
      <c r="AM16" s="40">
        <f>D3*(D4^2)</f>
        <v>1.2500000000000001E-2</v>
      </c>
      <c r="AN16" s="40">
        <f>D3*(D4^2)</f>
        <v>1.2500000000000001E-2</v>
      </c>
      <c r="AO16" s="40">
        <f>D3*(D4^2)</f>
        <v>1.2500000000000001E-2</v>
      </c>
      <c r="AP16" s="40">
        <f>D3*(D4^2)</f>
        <v>1.2500000000000001E-2</v>
      </c>
      <c r="AQ16" s="40">
        <f>D3*(D4^2)</f>
        <v>1.2500000000000001E-2</v>
      </c>
      <c r="AR16" s="40">
        <f>D3*(D4^2)</f>
        <v>1.2500000000000001E-2</v>
      </c>
      <c r="AS16" s="40">
        <f>D3*(D4^2)</f>
        <v>1.2500000000000001E-2</v>
      </c>
      <c r="AT16" s="40">
        <f>D3*(D4^2)</f>
        <v>1.2500000000000001E-2</v>
      </c>
      <c r="AU16" s="39">
        <f>D4^2</f>
        <v>0.25</v>
      </c>
      <c r="AV16" s="40">
        <f>D3*(D4^2)</f>
        <v>1.2500000000000001E-2</v>
      </c>
      <c r="AW16" s="40">
        <f>D3*(D4^2)</f>
        <v>1.2500000000000001E-2</v>
      </c>
      <c r="AX16" s="40">
        <f>D3*(D4^2)</f>
        <v>1.2500000000000001E-2</v>
      </c>
      <c r="AY16" s="40">
        <f>D3*(D4^2)</f>
        <v>1.2500000000000001E-2</v>
      </c>
      <c r="AZ16" s="40">
        <f>D3*(D4^2)</f>
        <v>1.2500000000000001E-2</v>
      </c>
      <c r="BA16" s="40">
        <f>D3*(D4^2)</f>
        <v>1.2500000000000001E-2</v>
      </c>
      <c r="BB16" s="40">
        <f>D3*(D4^2)</f>
        <v>1.2500000000000001E-2</v>
      </c>
      <c r="BC16" s="40">
        <f>D3*(D4^2)</f>
        <v>1.2500000000000001E-2</v>
      </c>
      <c r="BD16" s="40">
        <f>D3*(D4^2)</f>
        <v>1.2500000000000001E-2</v>
      </c>
      <c r="BE16" s="40">
        <f>D3*(D4^2)</f>
        <v>1.2500000000000001E-2</v>
      </c>
    </row>
    <row r="17" spans="13:57" x14ac:dyDescent="0.25">
      <c r="M17" s="1"/>
      <c r="N17" s="1"/>
      <c r="O17" s="1"/>
      <c r="P17" s="1"/>
      <c r="Q17" s="1"/>
      <c r="R17" s="1"/>
      <c r="S17" s="1"/>
      <c r="T17" s="1"/>
      <c r="U17" s="1"/>
      <c r="V17" s="1"/>
      <c r="W17" s="1"/>
      <c r="X17" s="1"/>
      <c r="Y17" s="2">
        <v>16</v>
      </c>
      <c r="Z17" s="42">
        <f t="array" ref="Z17">MMULT(MMULT(TRANSPOSE(AV29:AV44),AG2:AV17),AV29:AV44)</f>
        <v>2.7343750000000003E-2</v>
      </c>
      <c r="AA17" s="1">
        <f t="shared" si="0"/>
        <v>0.16535945694153692</v>
      </c>
      <c r="AB17" s="1">
        <v>0.19764235376052369</v>
      </c>
      <c r="AC17" s="1">
        <v>0.24358969087381344</v>
      </c>
      <c r="AD17" s="1">
        <v>0.17500000000000002</v>
      </c>
      <c r="AF17" s="2">
        <v>16</v>
      </c>
      <c r="AG17" s="40">
        <f>D3*(D4^2)</f>
        <v>1.2500000000000001E-2</v>
      </c>
      <c r="AH17" s="40">
        <f>D3*(D4^2)</f>
        <v>1.2500000000000001E-2</v>
      </c>
      <c r="AI17" s="40">
        <f>D3*(D4^2)</f>
        <v>1.2500000000000001E-2</v>
      </c>
      <c r="AJ17" s="40">
        <f>D3*(D4^2)</f>
        <v>1.2500000000000001E-2</v>
      </c>
      <c r="AK17" s="40">
        <f>D3*(D4^2)</f>
        <v>1.2500000000000001E-2</v>
      </c>
      <c r="AL17" s="40">
        <f>D3*(D4^2)</f>
        <v>1.2500000000000001E-2</v>
      </c>
      <c r="AM17" s="40">
        <f>D3*(D4^2)</f>
        <v>1.2500000000000001E-2</v>
      </c>
      <c r="AN17" s="40">
        <f>D3*(D4^2)</f>
        <v>1.2500000000000001E-2</v>
      </c>
      <c r="AO17" s="40">
        <f>D3*(D4^2)</f>
        <v>1.2500000000000001E-2</v>
      </c>
      <c r="AP17" s="40">
        <f>D3*(D4^2)</f>
        <v>1.2500000000000001E-2</v>
      </c>
      <c r="AQ17" s="40">
        <f>D3*(D4^2)</f>
        <v>1.2500000000000001E-2</v>
      </c>
      <c r="AR17" s="40">
        <f>D3*(D4^2)</f>
        <v>1.2500000000000001E-2</v>
      </c>
      <c r="AS17" s="40">
        <f>D3*(D4^2)</f>
        <v>1.2500000000000001E-2</v>
      </c>
      <c r="AT17" s="40">
        <f>D3*(D4^2)</f>
        <v>1.2500000000000001E-2</v>
      </c>
      <c r="AU17" s="40">
        <f>D3*(D4^2)</f>
        <v>1.2500000000000001E-2</v>
      </c>
      <c r="AV17" s="39">
        <f>D4^2</f>
        <v>0.25</v>
      </c>
      <c r="AW17" s="40">
        <f>D3*(D4^2)</f>
        <v>1.2500000000000001E-2</v>
      </c>
      <c r="AX17" s="40">
        <f>D3*(D4^2)</f>
        <v>1.2500000000000001E-2</v>
      </c>
      <c r="AY17" s="40">
        <f>D3*(D4^2)</f>
        <v>1.2500000000000001E-2</v>
      </c>
      <c r="AZ17" s="40">
        <f>D3*(D4^2)</f>
        <v>1.2500000000000001E-2</v>
      </c>
      <c r="BA17" s="40">
        <f>D3*(D4^2)</f>
        <v>1.2500000000000001E-2</v>
      </c>
      <c r="BB17" s="40">
        <f>D3*(D4^2)</f>
        <v>1.2500000000000001E-2</v>
      </c>
      <c r="BC17" s="40">
        <f>D3*(D4^2)</f>
        <v>1.2500000000000001E-2</v>
      </c>
      <c r="BD17" s="40">
        <f>D3*(D4^2)</f>
        <v>1.2500000000000001E-2</v>
      </c>
      <c r="BE17" s="40">
        <f>D3*(D4^2)</f>
        <v>1.2500000000000001E-2</v>
      </c>
    </row>
    <row r="18" spans="13:57" x14ac:dyDescent="0.25">
      <c r="M18" s="1"/>
      <c r="N18" s="1"/>
      <c r="O18" s="1"/>
      <c r="P18" s="1"/>
      <c r="Q18" s="1"/>
      <c r="R18" s="1"/>
      <c r="S18" s="1"/>
      <c r="T18" s="1"/>
      <c r="U18" s="1"/>
      <c r="V18" s="1"/>
      <c r="W18" s="1"/>
      <c r="X18" s="1"/>
      <c r="Y18" s="41">
        <v>17</v>
      </c>
      <c r="Z18" s="42">
        <f t="array" ref="Z18">MMULT(MMULT(TRANSPOSE(AW29:AW45),AG2:AW18),AW29:AW45)</f>
        <v>2.6470588235294121E-2</v>
      </c>
      <c r="AA18" s="1">
        <f t="shared" si="0"/>
        <v>0.16269784336399215</v>
      </c>
      <c r="AB18" s="1">
        <v>0.19740969640646863</v>
      </c>
      <c r="AC18" s="1">
        <v>0.24308071765180733</v>
      </c>
      <c r="AD18" s="1">
        <v>0.17396754261169795</v>
      </c>
      <c r="AF18" s="2">
        <v>17</v>
      </c>
      <c r="AG18" s="40">
        <f>D3*(D4^2)</f>
        <v>1.2500000000000001E-2</v>
      </c>
      <c r="AH18" s="40">
        <f>D3*(D4^2)</f>
        <v>1.2500000000000001E-2</v>
      </c>
      <c r="AI18" s="40">
        <f>D3*(D4^2)</f>
        <v>1.2500000000000001E-2</v>
      </c>
      <c r="AJ18" s="40">
        <f>D3*(D4^2)</f>
        <v>1.2500000000000001E-2</v>
      </c>
      <c r="AK18" s="40">
        <f>D3*(D4^2)</f>
        <v>1.2500000000000001E-2</v>
      </c>
      <c r="AL18" s="40">
        <f>D3*(D4^2)</f>
        <v>1.2500000000000001E-2</v>
      </c>
      <c r="AM18" s="40">
        <f>D3*(D4^2)</f>
        <v>1.2500000000000001E-2</v>
      </c>
      <c r="AN18" s="40">
        <f>D3*(D4^2)</f>
        <v>1.2500000000000001E-2</v>
      </c>
      <c r="AO18" s="40">
        <f>D3*(D4^2)</f>
        <v>1.2500000000000001E-2</v>
      </c>
      <c r="AP18" s="40">
        <f>D3*(D4^2)</f>
        <v>1.2500000000000001E-2</v>
      </c>
      <c r="AQ18" s="40">
        <f>D3*(D4^2)</f>
        <v>1.2500000000000001E-2</v>
      </c>
      <c r="AR18" s="40">
        <f>D3*(D4^2)</f>
        <v>1.2500000000000001E-2</v>
      </c>
      <c r="AS18" s="40">
        <f>D3*(D4^2)</f>
        <v>1.2500000000000001E-2</v>
      </c>
      <c r="AT18" s="40">
        <f>D3*(D4^2)</f>
        <v>1.2500000000000001E-2</v>
      </c>
      <c r="AU18" s="40">
        <f>D3*(D4^2)</f>
        <v>1.2500000000000001E-2</v>
      </c>
      <c r="AV18" s="40">
        <f>D3*(D4^2)</f>
        <v>1.2500000000000001E-2</v>
      </c>
      <c r="AW18" s="39">
        <f>D4^2</f>
        <v>0.25</v>
      </c>
      <c r="AX18" s="40">
        <f>D3*(D4^2)</f>
        <v>1.2500000000000001E-2</v>
      </c>
      <c r="AY18" s="40">
        <f>D3*(D4^2)</f>
        <v>1.2500000000000001E-2</v>
      </c>
      <c r="AZ18" s="40">
        <f>D3*(D4^2)</f>
        <v>1.2500000000000001E-2</v>
      </c>
      <c r="BA18" s="40">
        <f>D3*(D4^2)</f>
        <v>1.2500000000000001E-2</v>
      </c>
      <c r="BB18" s="40">
        <f>D3*(D4^2)</f>
        <v>1.2500000000000001E-2</v>
      </c>
      <c r="BC18" s="40">
        <f>D3*(D4^2)</f>
        <v>1.2500000000000001E-2</v>
      </c>
      <c r="BD18" s="40">
        <f>D3*(D4^2)</f>
        <v>1.2500000000000001E-2</v>
      </c>
      <c r="BE18" s="40">
        <f>D3*(D4^2)</f>
        <v>1.2500000000000001E-2</v>
      </c>
    </row>
    <row r="19" spans="13:57" x14ac:dyDescent="0.25">
      <c r="M19" s="1"/>
      <c r="N19" s="1"/>
      <c r="O19" s="1"/>
      <c r="P19" s="1"/>
      <c r="Q19" s="1"/>
      <c r="R19" s="1"/>
      <c r="S19" s="1"/>
      <c r="T19" s="1"/>
      <c r="U19" s="1"/>
      <c r="V19" s="1"/>
      <c r="W19" s="1"/>
      <c r="X19" s="1"/>
      <c r="Y19" s="2">
        <v>18</v>
      </c>
      <c r="Z19" s="42">
        <f t="array" ref="Z19">MMULT(MMULT(TRANSPOSE(AX29:AX46),AG2:AX19),AX29:AX46)</f>
        <v>2.569444444444445E-2</v>
      </c>
      <c r="AA19" s="1">
        <f t="shared" si="0"/>
        <v>0.16029486718059455</v>
      </c>
      <c r="AB19" s="1">
        <v>0.19720265943665383</v>
      </c>
      <c r="AC19" s="1">
        <v>0.24262740066932983</v>
      </c>
      <c r="AD19" s="1">
        <v>0.1730446313655655</v>
      </c>
      <c r="AF19" s="2">
        <v>18</v>
      </c>
      <c r="AG19" s="40">
        <f>D3*(D4^2)</f>
        <v>1.2500000000000001E-2</v>
      </c>
      <c r="AH19" s="40">
        <f>D3*(D4^2)</f>
        <v>1.2500000000000001E-2</v>
      </c>
      <c r="AI19" s="40">
        <f>D3*(D4^2)</f>
        <v>1.2500000000000001E-2</v>
      </c>
      <c r="AJ19" s="40">
        <f>D3*(D4^2)</f>
        <v>1.2500000000000001E-2</v>
      </c>
      <c r="AK19" s="40">
        <f>D3*(D4^2)</f>
        <v>1.2500000000000001E-2</v>
      </c>
      <c r="AL19" s="40">
        <f>D3*(D4^2)</f>
        <v>1.2500000000000001E-2</v>
      </c>
      <c r="AM19" s="40">
        <f>D3*(D4^2)</f>
        <v>1.2500000000000001E-2</v>
      </c>
      <c r="AN19" s="40">
        <f>D3*(D4^2)</f>
        <v>1.2500000000000001E-2</v>
      </c>
      <c r="AO19" s="40">
        <f>D3*(D4^2)</f>
        <v>1.2500000000000001E-2</v>
      </c>
      <c r="AP19" s="40">
        <f>D3*(D4^2)</f>
        <v>1.2500000000000001E-2</v>
      </c>
      <c r="AQ19" s="40">
        <f>D3*(D4^2)</f>
        <v>1.2500000000000001E-2</v>
      </c>
      <c r="AR19" s="40">
        <f>D3*(D4^2)</f>
        <v>1.2500000000000001E-2</v>
      </c>
      <c r="AS19" s="40">
        <f>D3*(D4^2)</f>
        <v>1.2500000000000001E-2</v>
      </c>
      <c r="AT19" s="40">
        <f>D3*(D4^2)</f>
        <v>1.2500000000000001E-2</v>
      </c>
      <c r="AU19" s="40">
        <f>D3*(D4^2)</f>
        <v>1.2500000000000001E-2</v>
      </c>
      <c r="AV19" s="40">
        <f>D3*(D4^2)</f>
        <v>1.2500000000000001E-2</v>
      </c>
      <c r="AW19" s="40">
        <f>D3*(D4^2)</f>
        <v>1.2500000000000001E-2</v>
      </c>
      <c r="AX19" s="39">
        <f>D4^2</f>
        <v>0.25</v>
      </c>
      <c r="AY19" s="40">
        <f>D3*(D4^2)</f>
        <v>1.2500000000000001E-2</v>
      </c>
      <c r="AZ19" s="40">
        <f>D3*(D4^2)</f>
        <v>1.2500000000000001E-2</v>
      </c>
      <c r="BA19" s="40">
        <f>D3*(D4^2)</f>
        <v>1.2500000000000001E-2</v>
      </c>
      <c r="BB19" s="40">
        <f>D3*(D4^2)</f>
        <v>1.2500000000000001E-2</v>
      </c>
      <c r="BC19" s="40">
        <f>D3*(D4^2)</f>
        <v>1.2500000000000001E-2</v>
      </c>
      <c r="BD19" s="40">
        <f>D3*(D4^2)</f>
        <v>1.2500000000000001E-2</v>
      </c>
      <c r="BE19" s="40">
        <f>D3*(D4^2)</f>
        <v>1.2500000000000001E-2</v>
      </c>
    </row>
    <row r="20" spans="13:57" x14ac:dyDescent="0.25">
      <c r="M20" s="1"/>
      <c r="N20" s="1"/>
      <c r="O20" s="1"/>
      <c r="P20" s="1"/>
      <c r="Q20" s="1"/>
      <c r="R20" s="1"/>
      <c r="S20" s="1"/>
      <c r="T20" s="1"/>
      <c r="U20" s="1"/>
      <c r="V20" s="1"/>
      <c r="W20" s="1"/>
      <c r="X20" s="1"/>
      <c r="Y20" s="2">
        <v>19</v>
      </c>
      <c r="Z20" s="42">
        <f t="array" ref="Z20">MMULT(MMULT(TRANSPOSE(AY29:AY47),AG2:AY20),AY29:AY47)</f>
        <v>2.4999999999999991E-2</v>
      </c>
      <c r="AA20" s="1">
        <f t="shared" si="0"/>
        <v>0.15811388300841894</v>
      </c>
      <c r="AB20" s="1">
        <v>0.19701723141310307</v>
      </c>
      <c r="AC20" s="1">
        <v>0.24222108213691662</v>
      </c>
      <c r="AD20" s="1">
        <v>0.17221467631082463</v>
      </c>
      <c r="AF20" s="2">
        <v>19</v>
      </c>
      <c r="AG20" s="40">
        <f>D3*(D4^2)</f>
        <v>1.2500000000000001E-2</v>
      </c>
      <c r="AH20" s="40">
        <f>D3*(D4^2)</f>
        <v>1.2500000000000001E-2</v>
      </c>
      <c r="AI20" s="40">
        <f>D3*(D4^2)</f>
        <v>1.2500000000000001E-2</v>
      </c>
      <c r="AJ20" s="40">
        <f>D3*(D4^2)</f>
        <v>1.2500000000000001E-2</v>
      </c>
      <c r="AK20" s="40">
        <f>D3*(D4^2)</f>
        <v>1.2500000000000001E-2</v>
      </c>
      <c r="AL20" s="40">
        <f>D3*(D4^2)</f>
        <v>1.2500000000000001E-2</v>
      </c>
      <c r="AM20" s="40">
        <f>D3*(D4^2)</f>
        <v>1.2500000000000001E-2</v>
      </c>
      <c r="AN20" s="40">
        <f>D3*(D4^2)</f>
        <v>1.2500000000000001E-2</v>
      </c>
      <c r="AO20" s="40">
        <f>D3*(D4^2)</f>
        <v>1.2500000000000001E-2</v>
      </c>
      <c r="AP20" s="40">
        <f>D3*(D4^2)</f>
        <v>1.2500000000000001E-2</v>
      </c>
      <c r="AQ20" s="40">
        <f>D3*(D4^2)</f>
        <v>1.2500000000000001E-2</v>
      </c>
      <c r="AR20" s="40">
        <f>D3*(D4^2)</f>
        <v>1.2500000000000001E-2</v>
      </c>
      <c r="AS20" s="40">
        <f>D3*(D4^2)</f>
        <v>1.2500000000000001E-2</v>
      </c>
      <c r="AT20" s="40">
        <f>D3*(D4^2)</f>
        <v>1.2500000000000001E-2</v>
      </c>
      <c r="AU20" s="40">
        <f>D3*(D4^2)</f>
        <v>1.2500000000000001E-2</v>
      </c>
      <c r="AV20" s="40">
        <f>D3*(D4^2)</f>
        <v>1.2500000000000001E-2</v>
      </c>
      <c r="AW20" s="40">
        <f>D3*(D4^2)</f>
        <v>1.2500000000000001E-2</v>
      </c>
      <c r="AX20" s="40">
        <f>D3*(D4^2)</f>
        <v>1.2500000000000001E-2</v>
      </c>
      <c r="AY20" s="39">
        <f>D4^2</f>
        <v>0.25</v>
      </c>
      <c r="AZ20" s="40">
        <f>D3*(D4^2)</f>
        <v>1.2500000000000001E-2</v>
      </c>
      <c r="BA20" s="40">
        <f>D3*(D4^2)</f>
        <v>1.2500000000000001E-2</v>
      </c>
      <c r="BB20" s="40">
        <f>D3*(D4^2)</f>
        <v>1.2500000000000001E-2</v>
      </c>
      <c r="BC20" s="40">
        <f>D3*(D4^2)</f>
        <v>1.2500000000000001E-2</v>
      </c>
      <c r="BD20" s="40">
        <f>D3*(D4^2)</f>
        <v>1.2500000000000001E-2</v>
      </c>
      <c r="BE20" s="40">
        <f>D3*(D4^2)</f>
        <v>1.2500000000000001E-2</v>
      </c>
    </row>
    <row r="21" spans="13:57" x14ac:dyDescent="0.25">
      <c r="M21" s="1"/>
      <c r="N21" s="1"/>
      <c r="O21" s="1"/>
      <c r="P21" s="1"/>
      <c r="Q21" s="1"/>
      <c r="R21" s="1"/>
      <c r="S21" s="1"/>
      <c r="T21" s="1"/>
      <c r="U21" s="1"/>
      <c r="V21" s="1"/>
      <c r="W21" s="1"/>
      <c r="X21" s="1"/>
      <c r="Y21" s="41">
        <v>20</v>
      </c>
      <c r="Z21" s="42">
        <f t="array" ref="Z21">MMULT(MMULT(TRANSPOSE(AZ29:AZ48),AG2:AZ21),AZ29:AZ48)</f>
        <v>2.4375000000000018E-2</v>
      </c>
      <c r="AA21" s="1">
        <f t="shared" si="0"/>
        <v>0.15612494995996001</v>
      </c>
      <c r="AB21" s="1">
        <v>0.19685019685029534</v>
      </c>
      <c r="AC21" s="1">
        <v>0.24185481181899199</v>
      </c>
      <c r="AD21" s="1">
        <v>0.17146428199482247</v>
      </c>
      <c r="AF21" s="2">
        <v>20</v>
      </c>
      <c r="AG21" s="40">
        <f>D3*(D4^2)</f>
        <v>1.2500000000000001E-2</v>
      </c>
      <c r="AH21" s="40">
        <f>D3*(D4^2)</f>
        <v>1.2500000000000001E-2</v>
      </c>
      <c r="AI21" s="40">
        <f>D3*(D4^2)</f>
        <v>1.2500000000000001E-2</v>
      </c>
      <c r="AJ21" s="40">
        <f>D3*(D4^2)</f>
        <v>1.2500000000000001E-2</v>
      </c>
      <c r="AK21" s="40">
        <f>D3*(D4^2)</f>
        <v>1.2500000000000001E-2</v>
      </c>
      <c r="AL21" s="40">
        <f>D3*(D4^2)</f>
        <v>1.2500000000000001E-2</v>
      </c>
      <c r="AM21" s="40">
        <f>D3*(D4^2)</f>
        <v>1.2500000000000001E-2</v>
      </c>
      <c r="AN21" s="40">
        <f>D3*(D4^2)</f>
        <v>1.2500000000000001E-2</v>
      </c>
      <c r="AO21" s="40">
        <f>D3*(D4^2)</f>
        <v>1.2500000000000001E-2</v>
      </c>
      <c r="AP21" s="40">
        <f>D3*(D4^2)</f>
        <v>1.2500000000000001E-2</v>
      </c>
      <c r="AQ21" s="40">
        <f>D3*(D4^2)</f>
        <v>1.2500000000000001E-2</v>
      </c>
      <c r="AR21" s="40">
        <f>D3*(D4^2)</f>
        <v>1.2500000000000001E-2</v>
      </c>
      <c r="AS21" s="40">
        <f>D3*(D4^2)</f>
        <v>1.2500000000000001E-2</v>
      </c>
      <c r="AT21" s="40">
        <f>D3*(D4^2)</f>
        <v>1.2500000000000001E-2</v>
      </c>
      <c r="AU21" s="40">
        <f>D3*(D4^2)</f>
        <v>1.2500000000000001E-2</v>
      </c>
      <c r="AV21" s="40">
        <f>D3*(D4^2)</f>
        <v>1.2500000000000001E-2</v>
      </c>
      <c r="AW21" s="40">
        <f>D3*(D4^2)</f>
        <v>1.2500000000000001E-2</v>
      </c>
      <c r="AX21" s="40">
        <f>D3*(D4^2)</f>
        <v>1.2500000000000001E-2</v>
      </c>
      <c r="AY21" s="40">
        <f>D3*(D4^2)</f>
        <v>1.2500000000000001E-2</v>
      </c>
      <c r="AZ21" s="39">
        <f>D4^2</f>
        <v>0.25</v>
      </c>
      <c r="BA21" s="40">
        <f>D3*(D4^2)</f>
        <v>1.2500000000000001E-2</v>
      </c>
      <c r="BB21" s="40">
        <f>D3*(D4^2)</f>
        <v>1.2500000000000001E-2</v>
      </c>
      <c r="BC21" s="40">
        <f>D3*(D4^2)</f>
        <v>1.2500000000000001E-2</v>
      </c>
      <c r="BD21" s="40">
        <f>D3*(D4^2)</f>
        <v>1.2500000000000001E-2</v>
      </c>
      <c r="BE21" s="40">
        <f>D3*(D4^2)</f>
        <v>1.2500000000000001E-2</v>
      </c>
    </row>
    <row r="22" spans="13:57" x14ac:dyDescent="0.25">
      <c r="M22" s="1"/>
      <c r="N22" s="1"/>
      <c r="O22" s="1"/>
      <c r="P22" s="1"/>
      <c r="Q22" s="1"/>
      <c r="R22" s="1"/>
      <c r="S22" s="1"/>
      <c r="T22" s="1"/>
      <c r="U22" s="1"/>
      <c r="V22" s="1"/>
      <c r="W22" s="1"/>
      <c r="X22" s="1"/>
      <c r="Y22" s="2">
        <v>21</v>
      </c>
      <c r="Z22" s="42">
        <f t="array" ref="Z22">MMULT(MMULT(TRANSPOSE(BA29:BA49),AG2:BA22),BA29:BA49)</f>
        <v>2.3809523809523812E-2</v>
      </c>
      <c r="AA22" s="1">
        <f t="shared" si="0"/>
        <v>0.15430334996209191</v>
      </c>
      <c r="AB22" s="1">
        <v>0.1966989481173608</v>
      </c>
      <c r="AC22" s="1">
        <v>0.24152294576982394</v>
      </c>
      <c r="AD22" s="1">
        <v>0.17078251276599327</v>
      </c>
      <c r="AF22" s="2">
        <v>21</v>
      </c>
      <c r="AG22" s="40">
        <f>D3*(D4^2)</f>
        <v>1.2500000000000001E-2</v>
      </c>
      <c r="AH22" s="40">
        <f>D3*(D4^2)</f>
        <v>1.2500000000000001E-2</v>
      </c>
      <c r="AI22" s="40">
        <f>D3*(D4^2)</f>
        <v>1.2500000000000001E-2</v>
      </c>
      <c r="AJ22" s="40">
        <f>D3*(D4^2)</f>
        <v>1.2500000000000001E-2</v>
      </c>
      <c r="AK22" s="40">
        <f>D3*(D4^2)</f>
        <v>1.2500000000000001E-2</v>
      </c>
      <c r="AL22" s="40">
        <f>D3*(D4^2)</f>
        <v>1.2500000000000001E-2</v>
      </c>
      <c r="AM22" s="40">
        <f>D3*(D4^2)</f>
        <v>1.2500000000000001E-2</v>
      </c>
      <c r="AN22" s="40">
        <f>D3*(D4^2)</f>
        <v>1.2500000000000001E-2</v>
      </c>
      <c r="AO22" s="40">
        <f>D3*(D4^2)</f>
        <v>1.2500000000000001E-2</v>
      </c>
      <c r="AP22" s="40">
        <f>D3*(D4^2)</f>
        <v>1.2500000000000001E-2</v>
      </c>
      <c r="AQ22" s="40">
        <f>D3*(D4^2)</f>
        <v>1.2500000000000001E-2</v>
      </c>
      <c r="AR22" s="40">
        <f>D3*(D4^2)</f>
        <v>1.2500000000000001E-2</v>
      </c>
      <c r="AS22" s="40">
        <f>D3*(D4^2)</f>
        <v>1.2500000000000001E-2</v>
      </c>
      <c r="AT22" s="40">
        <f>D3*(D4^2)</f>
        <v>1.2500000000000001E-2</v>
      </c>
      <c r="AU22" s="40">
        <f>D3*(D4^2)</f>
        <v>1.2500000000000001E-2</v>
      </c>
      <c r="AV22" s="40">
        <f>D3*(D4^2)</f>
        <v>1.2500000000000001E-2</v>
      </c>
      <c r="AW22" s="40">
        <f>D3*(D4^2)</f>
        <v>1.2500000000000001E-2</v>
      </c>
      <c r="AX22" s="40">
        <f>D3*(D4^2)</f>
        <v>1.2500000000000001E-2</v>
      </c>
      <c r="AY22" s="40">
        <f>D3*(D4^2)</f>
        <v>1.2500000000000001E-2</v>
      </c>
      <c r="AZ22" s="40">
        <f>D3*(D4^2)</f>
        <v>1.2500000000000001E-2</v>
      </c>
      <c r="BA22" s="39">
        <f>D4^2</f>
        <v>0.25</v>
      </c>
      <c r="BB22" s="40">
        <f>D3*(D4^2)</f>
        <v>1.2500000000000001E-2</v>
      </c>
      <c r="BC22" s="40">
        <f>D3*(D4^2)</f>
        <v>1.2500000000000001E-2</v>
      </c>
      <c r="BD22" s="40">
        <f>D3*(D4^2)</f>
        <v>1.2500000000000001E-2</v>
      </c>
      <c r="BE22" s="40">
        <f>D3*(D4^2)</f>
        <v>1.2500000000000001E-2</v>
      </c>
    </row>
    <row r="23" spans="13:57" x14ac:dyDescent="0.25">
      <c r="M23" s="1"/>
      <c r="N23" s="1"/>
      <c r="O23" s="1"/>
      <c r="P23" s="1"/>
      <c r="Q23" s="1"/>
      <c r="R23" s="1"/>
      <c r="S23" s="1"/>
      <c r="T23" s="1"/>
      <c r="U23" s="1"/>
      <c r="V23" s="1"/>
      <c r="W23" s="1"/>
      <c r="X23" s="1"/>
      <c r="Y23" s="2">
        <v>22</v>
      </c>
      <c r="Z23" s="42">
        <f t="array" ref="Z23">MMULT(MMULT(TRANSPOSE(BB29:BB50),AG2:BB23),BB29:BB50)</f>
        <v>2.3295454545454536E-2</v>
      </c>
      <c r="AA23" s="1">
        <f t="shared" si="0"/>
        <v>0.15262848536709828</v>
      </c>
      <c r="AB23" s="1">
        <v>0.19656134827672411</v>
      </c>
      <c r="AC23" s="1">
        <v>0.24122085316157885</v>
      </c>
      <c r="AD23" s="1">
        <v>0.17016035218153922</v>
      </c>
      <c r="AF23" s="2">
        <v>22</v>
      </c>
      <c r="AG23" s="40">
        <f>D3*(D4^2)</f>
        <v>1.2500000000000001E-2</v>
      </c>
      <c r="AH23" s="40">
        <f>D3*(D4^2)</f>
        <v>1.2500000000000001E-2</v>
      </c>
      <c r="AI23" s="40">
        <f>D3*(D4^2)</f>
        <v>1.2500000000000001E-2</v>
      </c>
      <c r="AJ23" s="40">
        <f>D3*(D4^2)</f>
        <v>1.2500000000000001E-2</v>
      </c>
      <c r="AK23" s="40">
        <f>D3*(D4^2)</f>
        <v>1.2500000000000001E-2</v>
      </c>
      <c r="AL23" s="40">
        <f>D3*(D4^2)</f>
        <v>1.2500000000000001E-2</v>
      </c>
      <c r="AM23" s="40">
        <f>D3*(D4^2)</f>
        <v>1.2500000000000001E-2</v>
      </c>
      <c r="AN23" s="40">
        <f>D3*(D4^2)</f>
        <v>1.2500000000000001E-2</v>
      </c>
      <c r="AO23" s="40">
        <f>D3*(D4^2)</f>
        <v>1.2500000000000001E-2</v>
      </c>
      <c r="AP23" s="40">
        <f>D3*(D4^2)</f>
        <v>1.2500000000000001E-2</v>
      </c>
      <c r="AQ23" s="40">
        <f>D3*(D4^2)</f>
        <v>1.2500000000000001E-2</v>
      </c>
      <c r="AR23" s="40">
        <f>D3*(D4^2)</f>
        <v>1.2500000000000001E-2</v>
      </c>
      <c r="AS23" s="40">
        <f>D3*(D4^2)</f>
        <v>1.2500000000000001E-2</v>
      </c>
      <c r="AT23" s="40">
        <f>D3*(D4^2)</f>
        <v>1.2500000000000001E-2</v>
      </c>
      <c r="AU23" s="40">
        <f>D3*(D4^2)</f>
        <v>1.2500000000000001E-2</v>
      </c>
      <c r="AV23" s="40">
        <f>D3*(D4^2)</f>
        <v>1.2500000000000001E-2</v>
      </c>
      <c r="AW23" s="40">
        <f>D3*(D4^2)</f>
        <v>1.2500000000000001E-2</v>
      </c>
      <c r="AX23" s="40">
        <f>D3*(D4^2)</f>
        <v>1.2500000000000001E-2</v>
      </c>
      <c r="AY23" s="40">
        <f>D3*(D4^2)</f>
        <v>1.2500000000000001E-2</v>
      </c>
      <c r="AZ23" s="40">
        <f>D3*(D4^2)</f>
        <v>1.2500000000000001E-2</v>
      </c>
      <c r="BA23" s="40">
        <f>D3*(D4^2)</f>
        <v>1.2500000000000001E-2</v>
      </c>
      <c r="BB23" s="39">
        <f>D4^2</f>
        <v>0.25</v>
      </c>
      <c r="BC23" s="40">
        <f>D3*(D4^2)</f>
        <v>1.2500000000000001E-2</v>
      </c>
      <c r="BD23" s="40">
        <f>D3*(D4^2)</f>
        <v>1.2500000000000001E-2</v>
      </c>
      <c r="BE23" s="40">
        <f>D3*(D4^2)</f>
        <v>1.2500000000000001E-2</v>
      </c>
    </row>
    <row r="24" spans="13:57" x14ac:dyDescent="0.25">
      <c r="M24" s="1"/>
      <c r="N24" s="1"/>
      <c r="O24" s="1"/>
      <c r="P24" s="1"/>
      <c r="Q24" s="1"/>
      <c r="R24" s="1"/>
      <c r="S24" s="1"/>
      <c r="T24" s="1"/>
      <c r="U24" s="1"/>
      <c r="V24" s="1"/>
      <c r="W24" s="1"/>
      <c r="X24" s="1"/>
      <c r="Y24" s="41">
        <v>23</v>
      </c>
      <c r="Z24" s="42">
        <f t="array" ref="Z24">MMULT(MMULT(TRANSPOSE(BC29:BC51),AG2:BC24),BC29:BC51)</f>
        <v>2.2826086956521746E-2</v>
      </c>
      <c r="AA24" s="1">
        <f t="shared" si="0"/>
        <v>0.15108304655560048</v>
      </c>
      <c r="AB24" s="1">
        <v>0.19643562946099957</v>
      </c>
      <c r="AC24" s="1">
        <v>0.24094469868848947</v>
      </c>
      <c r="AD24" s="1">
        <v>0.16959029914832202</v>
      </c>
      <c r="AF24" s="2">
        <v>23</v>
      </c>
      <c r="AG24" s="40">
        <f>D3*(D4^2)</f>
        <v>1.2500000000000001E-2</v>
      </c>
      <c r="AH24" s="40">
        <f>D3*(D4^2)</f>
        <v>1.2500000000000001E-2</v>
      </c>
      <c r="AI24" s="40">
        <f>D3*(D4^2)</f>
        <v>1.2500000000000001E-2</v>
      </c>
      <c r="AJ24" s="40">
        <f>D3*(D4^2)</f>
        <v>1.2500000000000001E-2</v>
      </c>
      <c r="AK24" s="40">
        <f>D3*(D4^2)</f>
        <v>1.2500000000000001E-2</v>
      </c>
      <c r="AL24" s="40">
        <f>D3*(D4^2)</f>
        <v>1.2500000000000001E-2</v>
      </c>
      <c r="AM24" s="40">
        <f>D3*(D4^2)</f>
        <v>1.2500000000000001E-2</v>
      </c>
      <c r="AN24" s="40">
        <f>D3*(D4^2)</f>
        <v>1.2500000000000001E-2</v>
      </c>
      <c r="AO24" s="40">
        <f>D3*(D4^2)</f>
        <v>1.2500000000000001E-2</v>
      </c>
      <c r="AP24" s="40">
        <f>D3*(D4^2)</f>
        <v>1.2500000000000001E-2</v>
      </c>
      <c r="AQ24" s="40">
        <f>D3*(D4^2)</f>
        <v>1.2500000000000001E-2</v>
      </c>
      <c r="AR24" s="40">
        <f>D3*(D4^2)</f>
        <v>1.2500000000000001E-2</v>
      </c>
      <c r="AS24" s="40">
        <f>D3*(D4^2)</f>
        <v>1.2500000000000001E-2</v>
      </c>
      <c r="AT24" s="40">
        <f>D3*(D4^2)</f>
        <v>1.2500000000000001E-2</v>
      </c>
      <c r="AU24" s="40">
        <f>D3*(D4^2)</f>
        <v>1.2500000000000001E-2</v>
      </c>
      <c r="AV24" s="40">
        <f>D3*(D4^2)</f>
        <v>1.2500000000000001E-2</v>
      </c>
      <c r="AW24" s="40">
        <f>D3*(D4^2)</f>
        <v>1.2500000000000001E-2</v>
      </c>
      <c r="AX24" s="40">
        <f>D3*(D4^2)</f>
        <v>1.2500000000000001E-2</v>
      </c>
      <c r="AY24" s="40">
        <f>D3*(D4^2)</f>
        <v>1.2500000000000001E-2</v>
      </c>
      <c r="AZ24" s="40">
        <f>D3*(D4^2)</f>
        <v>1.2500000000000001E-2</v>
      </c>
      <c r="BA24" s="40">
        <f>D3*(D4^2)</f>
        <v>1.2500000000000001E-2</v>
      </c>
      <c r="BB24" s="40">
        <f>D3*(D4^2)</f>
        <v>1.2500000000000001E-2</v>
      </c>
      <c r="BC24" s="39">
        <f>D4^2</f>
        <v>0.25</v>
      </c>
      <c r="BD24" s="40">
        <f>D3*(D4^2)</f>
        <v>1.2500000000000001E-2</v>
      </c>
      <c r="BE24" s="40">
        <f>D3*(D4^2)</f>
        <v>1.2500000000000001E-2</v>
      </c>
    </row>
    <row r="25" spans="13:57" x14ac:dyDescent="0.25">
      <c r="M25" s="1"/>
      <c r="N25" s="1"/>
      <c r="O25" s="1"/>
      <c r="P25" s="1"/>
      <c r="Q25" s="1"/>
      <c r="R25" s="1"/>
      <c r="S25" s="1"/>
      <c r="T25" s="1"/>
      <c r="U25" s="1"/>
      <c r="V25" s="1"/>
      <c r="W25" s="1"/>
      <c r="X25" s="1"/>
      <c r="Y25" s="2">
        <v>24</v>
      </c>
      <c r="Z25" s="42">
        <f t="array" ref="Z25">MMULT(MMULT(TRANSPOSE(BD29:BD52),AG2:BD25),BD29:BD52)</f>
        <v>2.2395833333333344E-2</v>
      </c>
      <c r="AA25" s="1">
        <f t="shared" si="0"/>
        <v>0.14965237496723313</v>
      </c>
      <c r="AB25" s="1">
        <v>0.19632031648982917</v>
      </c>
      <c r="AC25" s="1">
        <v>0.24069127875074034</v>
      </c>
      <c r="AD25" s="1">
        <v>0.16906606203887675</v>
      </c>
      <c r="AF25" s="2">
        <v>24</v>
      </c>
      <c r="AG25" s="40">
        <f>D3*(D4^2)</f>
        <v>1.2500000000000001E-2</v>
      </c>
      <c r="AH25" s="40">
        <f>D3*(D4^2)</f>
        <v>1.2500000000000001E-2</v>
      </c>
      <c r="AI25" s="40">
        <f>D3*(D4^2)</f>
        <v>1.2500000000000001E-2</v>
      </c>
      <c r="AJ25" s="40">
        <f>D3*(D4^2)</f>
        <v>1.2500000000000001E-2</v>
      </c>
      <c r="AK25" s="40">
        <f>D3*(D4^2)</f>
        <v>1.2500000000000001E-2</v>
      </c>
      <c r="AL25" s="40">
        <f>D3*(D4^2)</f>
        <v>1.2500000000000001E-2</v>
      </c>
      <c r="AM25" s="40">
        <f>D3*(D4^2)</f>
        <v>1.2500000000000001E-2</v>
      </c>
      <c r="AN25" s="40">
        <f>D3*(D4^2)</f>
        <v>1.2500000000000001E-2</v>
      </c>
      <c r="AO25" s="40">
        <f>D3*(D4^2)</f>
        <v>1.2500000000000001E-2</v>
      </c>
      <c r="AP25" s="40">
        <f>D3*(D4^2)</f>
        <v>1.2500000000000001E-2</v>
      </c>
      <c r="AQ25" s="40">
        <f>D3*(D4^2)</f>
        <v>1.2500000000000001E-2</v>
      </c>
      <c r="AR25" s="40">
        <f>D3*(D4^2)</f>
        <v>1.2500000000000001E-2</v>
      </c>
      <c r="AS25" s="40">
        <f>D3*(D4^2)</f>
        <v>1.2500000000000001E-2</v>
      </c>
      <c r="AT25" s="40">
        <f>D3*(D4^2)</f>
        <v>1.2500000000000001E-2</v>
      </c>
      <c r="AU25" s="40">
        <f>D3*(D4^2)</f>
        <v>1.2500000000000001E-2</v>
      </c>
      <c r="AV25" s="40">
        <f>D3*(D4^2)</f>
        <v>1.2500000000000001E-2</v>
      </c>
      <c r="AW25" s="40">
        <f>D3*(D4^2)</f>
        <v>1.2500000000000001E-2</v>
      </c>
      <c r="AX25" s="40">
        <f>D3*(D4^2)</f>
        <v>1.2500000000000001E-2</v>
      </c>
      <c r="AY25" s="40">
        <f>D3*(D4^2)</f>
        <v>1.2500000000000001E-2</v>
      </c>
      <c r="AZ25" s="40">
        <f>D3*(D4^2)</f>
        <v>1.2500000000000001E-2</v>
      </c>
      <c r="BA25" s="40">
        <f>D3*(D4^2)</f>
        <v>1.2500000000000001E-2</v>
      </c>
      <c r="BB25" s="40">
        <f>D3*(D4^2)</f>
        <v>1.2500000000000001E-2</v>
      </c>
      <c r="BC25" s="40">
        <f>D3*(D4^2)</f>
        <v>1.2500000000000001E-2</v>
      </c>
      <c r="BD25" s="39">
        <f>D4^2</f>
        <v>0.25</v>
      </c>
      <c r="BE25" s="40">
        <f>D3*(D4^2)</f>
        <v>1.2500000000000001E-2</v>
      </c>
    </row>
    <row r="26" spans="13:57" x14ac:dyDescent="0.25">
      <c r="M26" s="1"/>
      <c r="N26" s="1"/>
      <c r="O26" s="1"/>
      <c r="P26" s="1"/>
      <c r="Q26" s="1"/>
      <c r="R26" s="1"/>
      <c r="S26" s="1"/>
      <c r="T26" s="1"/>
      <c r="U26" s="1"/>
      <c r="V26" s="1"/>
      <c r="W26" s="1"/>
      <c r="X26" s="1"/>
      <c r="Y26" s="2">
        <v>25</v>
      </c>
      <c r="Z26" s="42">
        <f t="array" ref="Z26">MMULT(MMULT(TRANSPOSE(BE29:BE53),AG2:BE26),BE29:BE53)</f>
        <v>2.1999999999999999E-2</v>
      </c>
      <c r="AA26" s="1">
        <f t="shared" si="0"/>
        <v>0.14832396974191325</v>
      </c>
      <c r="AB26" s="1">
        <v>0.19621416870348585</v>
      </c>
      <c r="AC26" s="1">
        <v>0.24045789652244726</v>
      </c>
      <c r="AD26" s="1">
        <v>0.16858232410309218</v>
      </c>
      <c r="AF26" s="2">
        <v>25</v>
      </c>
      <c r="AG26" s="40">
        <f>D3*(D4^2)</f>
        <v>1.2500000000000001E-2</v>
      </c>
      <c r="AH26" s="40">
        <f>D3*(D4^2)</f>
        <v>1.2500000000000001E-2</v>
      </c>
      <c r="AI26" s="40">
        <f>D3*(D4^2)</f>
        <v>1.2500000000000001E-2</v>
      </c>
      <c r="AJ26" s="40">
        <f>D3*(D4^2)</f>
        <v>1.2500000000000001E-2</v>
      </c>
      <c r="AK26" s="40">
        <f>D3*(D4^2)</f>
        <v>1.2500000000000001E-2</v>
      </c>
      <c r="AL26" s="40">
        <f>D3*(D4^2)</f>
        <v>1.2500000000000001E-2</v>
      </c>
      <c r="AM26" s="40">
        <f>D3*(D4^2)</f>
        <v>1.2500000000000001E-2</v>
      </c>
      <c r="AN26" s="40">
        <f>D3*(D4^2)</f>
        <v>1.2500000000000001E-2</v>
      </c>
      <c r="AO26" s="40">
        <f>D3*(D4^2)</f>
        <v>1.2500000000000001E-2</v>
      </c>
      <c r="AP26" s="40">
        <f>D3*(D4^2)</f>
        <v>1.2500000000000001E-2</v>
      </c>
      <c r="AQ26" s="40">
        <f>D3*(D4^2)</f>
        <v>1.2500000000000001E-2</v>
      </c>
      <c r="AR26" s="40">
        <f>D3*(D4^2)</f>
        <v>1.2500000000000001E-2</v>
      </c>
      <c r="AS26" s="40">
        <f>D3*(D4^2)</f>
        <v>1.2500000000000001E-2</v>
      </c>
      <c r="AT26" s="40">
        <f>D3*(D4^2)</f>
        <v>1.2500000000000001E-2</v>
      </c>
      <c r="AU26" s="40">
        <f>D3*(D4^2)</f>
        <v>1.2500000000000001E-2</v>
      </c>
      <c r="AV26" s="40">
        <f>D3*(D4^2)</f>
        <v>1.2500000000000001E-2</v>
      </c>
      <c r="AW26" s="40">
        <f>D3*(D4^2)</f>
        <v>1.2500000000000001E-2</v>
      </c>
      <c r="AX26" s="40">
        <f>D3*(D4^2)</f>
        <v>1.2500000000000001E-2</v>
      </c>
      <c r="AY26" s="40">
        <f>D3*(D4^2)</f>
        <v>1.2500000000000001E-2</v>
      </c>
      <c r="AZ26" s="40">
        <f>D3*(D4^2)</f>
        <v>1.2500000000000001E-2</v>
      </c>
      <c r="BA26" s="40">
        <f>D3*(D4^2)</f>
        <v>1.2500000000000001E-2</v>
      </c>
      <c r="BB26" s="40">
        <f>D3*(D4^2)</f>
        <v>1.2500000000000001E-2</v>
      </c>
      <c r="BC26" s="40">
        <f>D3*(D4^2)</f>
        <v>1.2500000000000001E-2</v>
      </c>
      <c r="BD26" s="40">
        <f>D3*(D4^2)</f>
        <v>1.2500000000000001E-2</v>
      </c>
      <c r="BE26" s="39">
        <f>D4^2</f>
        <v>0.25</v>
      </c>
    </row>
    <row r="28" spans="13:57" x14ac:dyDescent="0.25">
      <c r="AF28" s="2" t="s">
        <v>38</v>
      </c>
      <c r="AG28" s="2">
        <v>1</v>
      </c>
      <c r="AH28" s="2">
        <v>2</v>
      </c>
      <c r="AI28" s="2">
        <v>3</v>
      </c>
      <c r="AJ28" s="2">
        <v>4</v>
      </c>
      <c r="AK28" s="2">
        <v>5</v>
      </c>
      <c r="AL28" s="2">
        <v>6</v>
      </c>
      <c r="AM28" s="2">
        <v>7</v>
      </c>
      <c r="AN28" s="2">
        <v>8</v>
      </c>
      <c r="AO28" s="2">
        <v>9</v>
      </c>
      <c r="AP28" s="2">
        <v>10</v>
      </c>
      <c r="AQ28" s="2">
        <v>11</v>
      </c>
      <c r="AR28" s="2">
        <v>12</v>
      </c>
      <c r="AS28" s="2">
        <v>13</v>
      </c>
      <c r="AT28" s="2">
        <v>14</v>
      </c>
      <c r="AU28" s="2">
        <v>15</v>
      </c>
      <c r="AV28" s="2">
        <v>16</v>
      </c>
      <c r="AW28" s="2">
        <v>17</v>
      </c>
      <c r="AX28" s="2">
        <v>18</v>
      </c>
      <c r="AY28" s="2">
        <v>19</v>
      </c>
      <c r="AZ28" s="2">
        <v>20</v>
      </c>
      <c r="BA28" s="2">
        <v>21</v>
      </c>
      <c r="BB28" s="2">
        <v>22</v>
      </c>
      <c r="BC28" s="2">
        <v>23</v>
      </c>
      <c r="BD28" s="2">
        <v>24</v>
      </c>
      <c r="BE28" s="2">
        <v>25</v>
      </c>
    </row>
    <row r="29" spans="13:57" x14ac:dyDescent="0.25">
      <c r="AF29" s="2">
        <v>1</v>
      </c>
      <c r="AG29" s="40">
        <v>1</v>
      </c>
      <c r="AH29">
        <f>1/AH28</f>
        <v>0.5</v>
      </c>
      <c r="AI29">
        <f>1/AI$28</f>
        <v>0.33333333333333331</v>
      </c>
      <c r="AJ29">
        <f t="shared" ref="AJ29:BE43" si="1">1/AJ$28</f>
        <v>0.25</v>
      </c>
      <c r="AK29">
        <f t="shared" si="1"/>
        <v>0.2</v>
      </c>
      <c r="AL29">
        <f t="shared" si="1"/>
        <v>0.16666666666666666</v>
      </c>
      <c r="AM29">
        <f t="shared" si="1"/>
        <v>0.14285714285714285</v>
      </c>
      <c r="AN29">
        <f t="shared" si="1"/>
        <v>0.125</v>
      </c>
      <c r="AO29">
        <f t="shared" si="1"/>
        <v>0.1111111111111111</v>
      </c>
      <c r="AP29">
        <f t="shared" si="1"/>
        <v>0.1</v>
      </c>
      <c r="AQ29">
        <f t="shared" si="1"/>
        <v>9.0909090909090912E-2</v>
      </c>
      <c r="AR29">
        <f t="shared" si="1"/>
        <v>8.3333333333333329E-2</v>
      </c>
      <c r="AS29">
        <f t="shared" si="1"/>
        <v>7.6923076923076927E-2</v>
      </c>
      <c r="AT29">
        <f t="shared" si="1"/>
        <v>7.1428571428571425E-2</v>
      </c>
      <c r="AU29">
        <f t="shared" si="1"/>
        <v>6.6666666666666666E-2</v>
      </c>
      <c r="AV29">
        <f t="shared" si="1"/>
        <v>6.25E-2</v>
      </c>
      <c r="AW29">
        <f t="shared" si="1"/>
        <v>5.8823529411764705E-2</v>
      </c>
      <c r="AX29">
        <f t="shared" si="1"/>
        <v>5.5555555555555552E-2</v>
      </c>
      <c r="AY29">
        <f t="shared" si="1"/>
        <v>5.2631578947368418E-2</v>
      </c>
      <c r="AZ29">
        <f t="shared" si="1"/>
        <v>0.05</v>
      </c>
      <c r="BA29">
        <f t="shared" si="1"/>
        <v>4.7619047619047616E-2</v>
      </c>
      <c r="BB29">
        <f t="shared" si="1"/>
        <v>4.5454545454545456E-2</v>
      </c>
      <c r="BC29">
        <f t="shared" si="1"/>
        <v>4.3478260869565216E-2</v>
      </c>
      <c r="BD29">
        <f t="shared" si="1"/>
        <v>4.1666666666666664E-2</v>
      </c>
      <c r="BE29">
        <f t="shared" si="1"/>
        <v>0.04</v>
      </c>
    </row>
    <row r="30" spans="13:57" x14ac:dyDescent="0.25">
      <c r="AF30" s="2">
        <v>2</v>
      </c>
      <c r="AH30">
        <f>1/AH28</f>
        <v>0.5</v>
      </c>
      <c r="AI30">
        <f t="shared" ref="AI30:AI31" si="2">1/AI$28</f>
        <v>0.33333333333333331</v>
      </c>
      <c r="AJ30">
        <f t="shared" si="1"/>
        <v>0.25</v>
      </c>
      <c r="AK30">
        <f t="shared" si="1"/>
        <v>0.2</v>
      </c>
      <c r="AL30">
        <f t="shared" si="1"/>
        <v>0.16666666666666666</v>
      </c>
      <c r="AM30">
        <f t="shared" si="1"/>
        <v>0.14285714285714285</v>
      </c>
      <c r="AN30">
        <f t="shared" si="1"/>
        <v>0.125</v>
      </c>
      <c r="AO30">
        <f t="shared" si="1"/>
        <v>0.1111111111111111</v>
      </c>
      <c r="AP30">
        <f t="shared" si="1"/>
        <v>0.1</v>
      </c>
      <c r="AQ30">
        <f t="shared" si="1"/>
        <v>9.0909090909090912E-2</v>
      </c>
      <c r="AR30">
        <f t="shared" si="1"/>
        <v>8.3333333333333329E-2</v>
      </c>
      <c r="AS30">
        <f t="shared" si="1"/>
        <v>7.6923076923076927E-2</v>
      </c>
      <c r="AT30">
        <f t="shared" si="1"/>
        <v>7.1428571428571425E-2</v>
      </c>
      <c r="AU30">
        <f t="shared" si="1"/>
        <v>6.6666666666666666E-2</v>
      </c>
      <c r="AV30">
        <f t="shared" si="1"/>
        <v>6.25E-2</v>
      </c>
      <c r="AW30">
        <f t="shared" si="1"/>
        <v>5.8823529411764705E-2</v>
      </c>
      <c r="AX30">
        <f t="shared" si="1"/>
        <v>5.5555555555555552E-2</v>
      </c>
      <c r="AY30">
        <f t="shared" si="1"/>
        <v>5.2631578947368418E-2</v>
      </c>
      <c r="AZ30">
        <f t="shared" si="1"/>
        <v>0.05</v>
      </c>
      <c r="BA30">
        <f t="shared" si="1"/>
        <v>4.7619047619047616E-2</v>
      </c>
      <c r="BB30">
        <f t="shared" si="1"/>
        <v>4.5454545454545456E-2</v>
      </c>
      <c r="BC30">
        <f t="shared" si="1"/>
        <v>4.3478260869565216E-2</v>
      </c>
      <c r="BD30">
        <f t="shared" si="1"/>
        <v>4.1666666666666664E-2</v>
      </c>
      <c r="BE30">
        <f t="shared" si="1"/>
        <v>0.04</v>
      </c>
    </row>
    <row r="31" spans="13:57" x14ac:dyDescent="0.25">
      <c r="AF31" s="2">
        <v>3</v>
      </c>
      <c r="AI31">
        <f t="shared" si="2"/>
        <v>0.33333333333333331</v>
      </c>
      <c r="AJ31">
        <f t="shared" si="1"/>
        <v>0.25</v>
      </c>
      <c r="AK31">
        <f t="shared" si="1"/>
        <v>0.2</v>
      </c>
      <c r="AL31">
        <f t="shared" si="1"/>
        <v>0.16666666666666666</v>
      </c>
      <c r="AM31">
        <f t="shared" si="1"/>
        <v>0.14285714285714285</v>
      </c>
      <c r="AN31">
        <f t="shared" si="1"/>
        <v>0.125</v>
      </c>
      <c r="AO31">
        <f t="shared" si="1"/>
        <v>0.1111111111111111</v>
      </c>
      <c r="AP31">
        <f t="shared" si="1"/>
        <v>0.1</v>
      </c>
      <c r="AQ31">
        <f t="shared" si="1"/>
        <v>9.0909090909090912E-2</v>
      </c>
      <c r="AR31">
        <f t="shared" si="1"/>
        <v>8.3333333333333329E-2</v>
      </c>
      <c r="AS31">
        <f t="shared" si="1"/>
        <v>7.6923076923076927E-2</v>
      </c>
      <c r="AT31">
        <f t="shared" si="1"/>
        <v>7.1428571428571425E-2</v>
      </c>
      <c r="AU31">
        <f t="shared" si="1"/>
        <v>6.6666666666666666E-2</v>
      </c>
      <c r="AV31">
        <f t="shared" si="1"/>
        <v>6.25E-2</v>
      </c>
      <c r="AW31">
        <f t="shared" si="1"/>
        <v>5.8823529411764705E-2</v>
      </c>
      <c r="AX31">
        <f t="shared" si="1"/>
        <v>5.5555555555555552E-2</v>
      </c>
      <c r="AY31">
        <f t="shared" si="1"/>
        <v>5.2631578947368418E-2</v>
      </c>
      <c r="AZ31">
        <f t="shared" si="1"/>
        <v>0.05</v>
      </c>
      <c r="BA31">
        <f t="shared" si="1"/>
        <v>4.7619047619047616E-2</v>
      </c>
      <c r="BB31">
        <f t="shared" si="1"/>
        <v>4.5454545454545456E-2</v>
      </c>
      <c r="BC31">
        <f t="shared" si="1"/>
        <v>4.3478260869565216E-2</v>
      </c>
      <c r="BD31">
        <f t="shared" si="1"/>
        <v>4.1666666666666664E-2</v>
      </c>
      <c r="BE31">
        <f t="shared" si="1"/>
        <v>0.04</v>
      </c>
    </row>
    <row r="32" spans="13:57" x14ac:dyDescent="0.25">
      <c r="AF32" s="2">
        <v>4</v>
      </c>
      <c r="AJ32">
        <f t="shared" si="1"/>
        <v>0.25</v>
      </c>
      <c r="AK32">
        <f t="shared" si="1"/>
        <v>0.2</v>
      </c>
      <c r="AL32">
        <f t="shared" si="1"/>
        <v>0.16666666666666666</v>
      </c>
      <c r="AM32">
        <f t="shared" si="1"/>
        <v>0.14285714285714285</v>
      </c>
      <c r="AN32">
        <f t="shared" si="1"/>
        <v>0.125</v>
      </c>
      <c r="AO32">
        <f t="shared" si="1"/>
        <v>0.1111111111111111</v>
      </c>
      <c r="AP32">
        <f t="shared" si="1"/>
        <v>0.1</v>
      </c>
      <c r="AQ32">
        <f t="shared" si="1"/>
        <v>9.0909090909090912E-2</v>
      </c>
      <c r="AR32">
        <f t="shared" si="1"/>
        <v>8.3333333333333329E-2</v>
      </c>
      <c r="AS32">
        <f t="shared" si="1"/>
        <v>7.6923076923076927E-2</v>
      </c>
      <c r="AT32">
        <f t="shared" si="1"/>
        <v>7.1428571428571425E-2</v>
      </c>
      <c r="AU32">
        <f t="shared" si="1"/>
        <v>6.6666666666666666E-2</v>
      </c>
      <c r="AV32">
        <f t="shared" si="1"/>
        <v>6.25E-2</v>
      </c>
      <c r="AW32">
        <f t="shared" si="1"/>
        <v>5.8823529411764705E-2</v>
      </c>
      <c r="AX32">
        <f t="shared" si="1"/>
        <v>5.5555555555555552E-2</v>
      </c>
      <c r="AY32">
        <f t="shared" si="1"/>
        <v>5.2631578947368418E-2</v>
      </c>
      <c r="AZ32">
        <f t="shared" si="1"/>
        <v>0.05</v>
      </c>
      <c r="BA32">
        <f t="shared" si="1"/>
        <v>4.7619047619047616E-2</v>
      </c>
      <c r="BB32">
        <f t="shared" si="1"/>
        <v>4.5454545454545456E-2</v>
      </c>
      <c r="BC32">
        <f t="shared" si="1"/>
        <v>4.3478260869565216E-2</v>
      </c>
      <c r="BD32">
        <f t="shared" si="1"/>
        <v>4.1666666666666664E-2</v>
      </c>
      <c r="BE32">
        <f t="shared" si="1"/>
        <v>0.04</v>
      </c>
    </row>
    <row r="33" spans="3:57" x14ac:dyDescent="0.25">
      <c r="AF33" s="2">
        <v>5</v>
      </c>
      <c r="AK33">
        <f t="shared" si="1"/>
        <v>0.2</v>
      </c>
      <c r="AL33">
        <f t="shared" si="1"/>
        <v>0.16666666666666666</v>
      </c>
      <c r="AM33">
        <f t="shared" si="1"/>
        <v>0.14285714285714285</v>
      </c>
      <c r="AN33">
        <f t="shared" si="1"/>
        <v>0.125</v>
      </c>
      <c r="AO33">
        <f t="shared" si="1"/>
        <v>0.1111111111111111</v>
      </c>
      <c r="AP33">
        <f t="shared" si="1"/>
        <v>0.1</v>
      </c>
      <c r="AQ33">
        <f t="shared" si="1"/>
        <v>9.0909090909090912E-2</v>
      </c>
      <c r="AR33">
        <f t="shared" si="1"/>
        <v>8.3333333333333329E-2</v>
      </c>
      <c r="AS33">
        <f t="shared" si="1"/>
        <v>7.6923076923076927E-2</v>
      </c>
      <c r="AT33">
        <f t="shared" si="1"/>
        <v>7.1428571428571425E-2</v>
      </c>
      <c r="AU33">
        <f t="shared" si="1"/>
        <v>6.6666666666666666E-2</v>
      </c>
      <c r="AV33">
        <f t="shared" si="1"/>
        <v>6.25E-2</v>
      </c>
      <c r="AW33">
        <f t="shared" si="1"/>
        <v>5.8823529411764705E-2</v>
      </c>
      <c r="AX33">
        <f t="shared" si="1"/>
        <v>5.5555555555555552E-2</v>
      </c>
      <c r="AY33">
        <f t="shared" si="1"/>
        <v>5.2631578947368418E-2</v>
      </c>
      <c r="AZ33">
        <f t="shared" si="1"/>
        <v>0.05</v>
      </c>
      <c r="BA33">
        <f t="shared" si="1"/>
        <v>4.7619047619047616E-2</v>
      </c>
      <c r="BB33">
        <f t="shared" si="1"/>
        <v>4.5454545454545456E-2</v>
      </c>
      <c r="BC33">
        <f t="shared" si="1"/>
        <v>4.3478260869565216E-2</v>
      </c>
      <c r="BD33">
        <f t="shared" si="1"/>
        <v>4.1666666666666664E-2</v>
      </c>
      <c r="BE33">
        <f t="shared" si="1"/>
        <v>0.04</v>
      </c>
    </row>
    <row r="34" spans="3:57" x14ac:dyDescent="0.25">
      <c r="AF34" s="2">
        <v>6</v>
      </c>
      <c r="AL34">
        <f t="shared" si="1"/>
        <v>0.16666666666666666</v>
      </c>
      <c r="AM34">
        <f t="shared" si="1"/>
        <v>0.14285714285714285</v>
      </c>
      <c r="AN34">
        <f t="shared" si="1"/>
        <v>0.125</v>
      </c>
      <c r="AO34">
        <f t="shared" si="1"/>
        <v>0.1111111111111111</v>
      </c>
      <c r="AP34">
        <f t="shared" si="1"/>
        <v>0.1</v>
      </c>
      <c r="AQ34">
        <f t="shared" si="1"/>
        <v>9.0909090909090912E-2</v>
      </c>
      <c r="AR34">
        <f t="shared" si="1"/>
        <v>8.3333333333333329E-2</v>
      </c>
      <c r="AS34">
        <f t="shared" si="1"/>
        <v>7.6923076923076927E-2</v>
      </c>
      <c r="AT34">
        <f t="shared" si="1"/>
        <v>7.1428571428571425E-2</v>
      </c>
      <c r="AU34">
        <f t="shared" si="1"/>
        <v>6.6666666666666666E-2</v>
      </c>
      <c r="AV34">
        <f t="shared" si="1"/>
        <v>6.25E-2</v>
      </c>
      <c r="AW34">
        <f t="shared" si="1"/>
        <v>5.8823529411764705E-2</v>
      </c>
      <c r="AX34">
        <f t="shared" si="1"/>
        <v>5.5555555555555552E-2</v>
      </c>
      <c r="AY34">
        <f t="shared" si="1"/>
        <v>5.2631578947368418E-2</v>
      </c>
      <c r="AZ34">
        <f t="shared" si="1"/>
        <v>0.05</v>
      </c>
      <c r="BA34">
        <f t="shared" si="1"/>
        <v>4.7619047619047616E-2</v>
      </c>
      <c r="BB34">
        <f t="shared" si="1"/>
        <v>4.5454545454545456E-2</v>
      </c>
      <c r="BC34">
        <f t="shared" si="1"/>
        <v>4.3478260869565216E-2</v>
      </c>
      <c r="BD34">
        <f t="shared" si="1"/>
        <v>4.1666666666666664E-2</v>
      </c>
      <c r="BE34">
        <f t="shared" si="1"/>
        <v>0.04</v>
      </c>
    </row>
    <row r="35" spans="3:57" x14ac:dyDescent="0.25">
      <c r="AF35" s="2">
        <v>7</v>
      </c>
      <c r="AM35">
        <f t="shared" si="1"/>
        <v>0.14285714285714285</v>
      </c>
      <c r="AN35">
        <f t="shared" si="1"/>
        <v>0.125</v>
      </c>
      <c r="AO35">
        <f t="shared" si="1"/>
        <v>0.1111111111111111</v>
      </c>
      <c r="AP35">
        <f t="shared" si="1"/>
        <v>0.1</v>
      </c>
      <c r="AQ35">
        <f t="shared" si="1"/>
        <v>9.0909090909090912E-2</v>
      </c>
      <c r="AR35">
        <f t="shared" si="1"/>
        <v>8.3333333333333329E-2</v>
      </c>
      <c r="AS35">
        <f t="shared" si="1"/>
        <v>7.6923076923076927E-2</v>
      </c>
      <c r="AT35">
        <f t="shared" si="1"/>
        <v>7.1428571428571425E-2</v>
      </c>
      <c r="AU35">
        <f t="shared" si="1"/>
        <v>6.6666666666666666E-2</v>
      </c>
      <c r="AV35">
        <f t="shared" si="1"/>
        <v>6.25E-2</v>
      </c>
      <c r="AW35">
        <f t="shared" si="1"/>
        <v>5.8823529411764705E-2</v>
      </c>
      <c r="AX35">
        <f t="shared" si="1"/>
        <v>5.5555555555555552E-2</v>
      </c>
      <c r="AY35">
        <f t="shared" si="1"/>
        <v>5.2631578947368418E-2</v>
      </c>
      <c r="AZ35">
        <f t="shared" si="1"/>
        <v>0.05</v>
      </c>
      <c r="BA35">
        <f t="shared" si="1"/>
        <v>4.7619047619047616E-2</v>
      </c>
      <c r="BB35">
        <f t="shared" si="1"/>
        <v>4.5454545454545456E-2</v>
      </c>
      <c r="BC35">
        <f t="shared" si="1"/>
        <v>4.3478260869565216E-2</v>
      </c>
      <c r="BD35">
        <f t="shared" si="1"/>
        <v>4.1666666666666664E-2</v>
      </c>
      <c r="BE35">
        <f t="shared" si="1"/>
        <v>0.04</v>
      </c>
    </row>
    <row r="36" spans="3:57" x14ac:dyDescent="0.25">
      <c r="AF36" s="2">
        <v>8</v>
      </c>
      <c r="AN36">
        <f t="shared" si="1"/>
        <v>0.125</v>
      </c>
      <c r="AO36">
        <f t="shared" si="1"/>
        <v>0.1111111111111111</v>
      </c>
      <c r="AP36">
        <f t="shared" si="1"/>
        <v>0.1</v>
      </c>
      <c r="AQ36">
        <f t="shared" si="1"/>
        <v>9.0909090909090912E-2</v>
      </c>
      <c r="AR36">
        <f t="shared" si="1"/>
        <v>8.3333333333333329E-2</v>
      </c>
      <c r="AS36">
        <f t="shared" si="1"/>
        <v>7.6923076923076927E-2</v>
      </c>
      <c r="AT36">
        <f t="shared" si="1"/>
        <v>7.1428571428571425E-2</v>
      </c>
      <c r="AU36">
        <f t="shared" si="1"/>
        <v>6.6666666666666666E-2</v>
      </c>
      <c r="AV36">
        <f t="shared" si="1"/>
        <v>6.25E-2</v>
      </c>
      <c r="AW36">
        <f t="shared" si="1"/>
        <v>5.8823529411764705E-2</v>
      </c>
      <c r="AX36">
        <f t="shared" si="1"/>
        <v>5.5555555555555552E-2</v>
      </c>
      <c r="AY36">
        <f t="shared" si="1"/>
        <v>5.2631578947368418E-2</v>
      </c>
      <c r="AZ36">
        <f t="shared" si="1"/>
        <v>0.05</v>
      </c>
      <c r="BA36">
        <f t="shared" si="1"/>
        <v>4.7619047619047616E-2</v>
      </c>
      <c r="BB36">
        <f t="shared" si="1"/>
        <v>4.5454545454545456E-2</v>
      </c>
      <c r="BC36">
        <f t="shared" si="1"/>
        <v>4.3478260869565216E-2</v>
      </c>
      <c r="BD36">
        <f t="shared" si="1"/>
        <v>4.1666666666666664E-2</v>
      </c>
      <c r="BE36">
        <f t="shared" si="1"/>
        <v>0.04</v>
      </c>
    </row>
    <row r="37" spans="3:57" x14ac:dyDescent="0.25">
      <c r="AF37" s="2">
        <v>9</v>
      </c>
      <c r="AO37">
        <f t="shared" si="1"/>
        <v>0.1111111111111111</v>
      </c>
      <c r="AP37">
        <f t="shared" si="1"/>
        <v>0.1</v>
      </c>
      <c r="AQ37">
        <f t="shared" si="1"/>
        <v>9.0909090909090912E-2</v>
      </c>
      <c r="AR37">
        <f t="shared" si="1"/>
        <v>8.3333333333333329E-2</v>
      </c>
      <c r="AS37">
        <f t="shared" si="1"/>
        <v>7.6923076923076927E-2</v>
      </c>
      <c r="AT37">
        <f t="shared" si="1"/>
        <v>7.1428571428571425E-2</v>
      </c>
      <c r="AU37">
        <f t="shared" si="1"/>
        <v>6.6666666666666666E-2</v>
      </c>
      <c r="AV37">
        <f t="shared" si="1"/>
        <v>6.25E-2</v>
      </c>
      <c r="AW37">
        <f t="shared" si="1"/>
        <v>5.8823529411764705E-2</v>
      </c>
      <c r="AX37">
        <f t="shared" si="1"/>
        <v>5.5555555555555552E-2</v>
      </c>
      <c r="AY37">
        <f t="shared" si="1"/>
        <v>5.2631578947368418E-2</v>
      </c>
      <c r="AZ37">
        <f t="shared" si="1"/>
        <v>0.05</v>
      </c>
      <c r="BA37">
        <f t="shared" si="1"/>
        <v>4.7619047619047616E-2</v>
      </c>
      <c r="BB37">
        <f t="shared" si="1"/>
        <v>4.5454545454545456E-2</v>
      </c>
      <c r="BC37">
        <f t="shared" si="1"/>
        <v>4.3478260869565216E-2</v>
      </c>
      <c r="BD37">
        <f t="shared" si="1"/>
        <v>4.1666666666666664E-2</v>
      </c>
      <c r="BE37">
        <f t="shared" si="1"/>
        <v>0.04</v>
      </c>
    </row>
    <row r="38" spans="3:57" x14ac:dyDescent="0.25">
      <c r="AF38" s="2">
        <v>10</v>
      </c>
      <c r="AP38">
        <f t="shared" si="1"/>
        <v>0.1</v>
      </c>
      <c r="AQ38">
        <f t="shared" si="1"/>
        <v>9.0909090909090912E-2</v>
      </c>
      <c r="AR38">
        <f t="shared" si="1"/>
        <v>8.3333333333333329E-2</v>
      </c>
      <c r="AS38">
        <f t="shared" si="1"/>
        <v>7.6923076923076927E-2</v>
      </c>
      <c r="AT38">
        <f t="shared" si="1"/>
        <v>7.1428571428571425E-2</v>
      </c>
      <c r="AU38">
        <f t="shared" si="1"/>
        <v>6.6666666666666666E-2</v>
      </c>
      <c r="AV38">
        <f t="shared" si="1"/>
        <v>6.25E-2</v>
      </c>
      <c r="AW38">
        <f t="shared" si="1"/>
        <v>5.8823529411764705E-2</v>
      </c>
      <c r="AX38">
        <f t="shared" si="1"/>
        <v>5.5555555555555552E-2</v>
      </c>
      <c r="AY38">
        <f t="shared" si="1"/>
        <v>5.2631578947368418E-2</v>
      </c>
      <c r="AZ38">
        <f t="shared" si="1"/>
        <v>0.05</v>
      </c>
      <c r="BA38">
        <f t="shared" si="1"/>
        <v>4.7619047619047616E-2</v>
      </c>
      <c r="BB38">
        <f t="shared" si="1"/>
        <v>4.5454545454545456E-2</v>
      </c>
      <c r="BC38">
        <f t="shared" si="1"/>
        <v>4.3478260869565216E-2</v>
      </c>
      <c r="BD38">
        <f t="shared" si="1"/>
        <v>4.1666666666666664E-2</v>
      </c>
      <c r="BE38">
        <f t="shared" si="1"/>
        <v>0.04</v>
      </c>
    </row>
    <row r="39" spans="3:57" x14ac:dyDescent="0.25">
      <c r="AF39" s="2">
        <v>11</v>
      </c>
      <c r="AQ39">
        <f t="shared" si="1"/>
        <v>9.0909090909090912E-2</v>
      </c>
      <c r="AR39">
        <f t="shared" si="1"/>
        <v>8.3333333333333329E-2</v>
      </c>
      <c r="AS39">
        <f t="shared" si="1"/>
        <v>7.6923076923076927E-2</v>
      </c>
      <c r="AT39">
        <f t="shared" si="1"/>
        <v>7.1428571428571425E-2</v>
      </c>
      <c r="AU39">
        <f t="shared" si="1"/>
        <v>6.6666666666666666E-2</v>
      </c>
      <c r="AV39">
        <f t="shared" si="1"/>
        <v>6.25E-2</v>
      </c>
      <c r="AW39">
        <f t="shared" si="1"/>
        <v>5.8823529411764705E-2</v>
      </c>
      <c r="AX39">
        <f t="shared" si="1"/>
        <v>5.5555555555555552E-2</v>
      </c>
      <c r="AY39">
        <f t="shared" si="1"/>
        <v>5.2631578947368418E-2</v>
      </c>
      <c r="AZ39">
        <f t="shared" si="1"/>
        <v>0.05</v>
      </c>
      <c r="BA39">
        <f t="shared" si="1"/>
        <v>4.7619047619047616E-2</v>
      </c>
      <c r="BB39">
        <f t="shared" si="1"/>
        <v>4.5454545454545456E-2</v>
      </c>
      <c r="BC39">
        <f t="shared" si="1"/>
        <v>4.3478260869565216E-2</v>
      </c>
      <c r="BD39">
        <f t="shared" si="1"/>
        <v>4.1666666666666664E-2</v>
      </c>
      <c r="BE39">
        <f t="shared" si="1"/>
        <v>0.04</v>
      </c>
    </row>
    <row r="40" spans="3:57" x14ac:dyDescent="0.25">
      <c r="AF40" s="2">
        <v>12</v>
      </c>
      <c r="AR40">
        <f t="shared" si="1"/>
        <v>8.3333333333333329E-2</v>
      </c>
      <c r="AS40">
        <f t="shared" si="1"/>
        <v>7.6923076923076927E-2</v>
      </c>
      <c r="AT40">
        <f t="shared" si="1"/>
        <v>7.1428571428571425E-2</v>
      </c>
      <c r="AU40">
        <f t="shared" si="1"/>
        <v>6.6666666666666666E-2</v>
      </c>
      <c r="AV40">
        <f t="shared" si="1"/>
        <v>6.25E-2</v>
      </c>
      <c r="AW40">
        <f t="shared" si="1"/>
        <v>5.8823529411764705E-2</v>
      </c>
      <c r="AX40">
        <f t="shared" si="1"/>
        <v>5.5555555555555552E-2</v>
      </c>
      <c r="AY40">
        <f t="shared" si="1"/>
        <v>5.2631578947368418E-2</v>
      </c>
      <c r="AZ40">
        <f t="shared" si="1"/>
        <v>0.05</v>
      </c>
      <c r="BA40">
        <f t="shared" si="1"/>
        <v>4.7619047619047616E-2</v>
      </c>
      <c r="BB40">
        <f t="shared" si="1"/>
        <v>4.5454545454545456E-2</v>
      </c>
      <c r="BC40">
        <f t="shared" si="1"/>
        <v>4.3478260869565216E-2</v>
      </c>
      <c r="BD40">
        <f t="shared" si="1"/>
        <v>4.1666666666666664E-2</v>
      </c>
      <c r="BE40">
        <f t="shared" si="1"/>
        <v>0.04</v>
      </c>
    </row>
    <row r="41" spans="3:57" x14ac:dyDescent="0.25">
      <c r="AF41" s="2">
        <v>13</v>
      </c>
      <c r="AS41">
        <f t="shared" si="1"/>
        <v>7.6923076923076927E-2</v>
      </c>
      <c r="AT41">
        <f t="shared" si="1"/>
        <v>7.1428571428571425E-2</v>
      </c>
      <c r="AU41">
        <f t="shared" si="1"/>
        <v>6.6666666666666666E-2</v>
      </c>
      <c r="AV41">
        <f t="shared" si="1"/>
        <v>6.25E-2</v>
      </c>
      <c r="AW41">
        <f t="shared" si="1"/>
        <v>5.8823529411764705E-2</v>
      </c>
      <c r="AX41">
        <f t="shared" si="1"/>
        <v>5.5555555555555552E-2</v>
      </c>
      <c r="AY41">
        <f t="shared" si="1"/>
        <v>5.2631578947368418E-2</v>
      </c>
      <c r="AZ41">
        <f t="shared" si="1"/>
        <v>0.05</v>
      </c>
      <c r="BA41">
        <f t="shared" si="1"/>
        <v>4.7619047619047616E-2</v>
      </c>
      <c r="BB41">
        <f t="shared" si="1"/>
        <v>4.5454545454545456E-2</v>
      </c>
      <c r="BC41">
        <f t="shared" si="1"/>
        <v>4.3478260869565216E-2</v>
      </c>
      <c r="BD41">
        <f t="shared" si="1"/>
        <v>4.1666666666666664E-2</v>
      </c>
      <c r="BE41">
        <f t="shared" si="1"/>
        <v>0.04</v>
      </c>
    </row>
    <row r="42" spans="3:57" x14ac:dyDescent="0.25">
      <c r="AF42" s="2">
        <v>14</v>
      </c>
      <c r="AT42">
        <f t="shared" si="1"/>
        <v>7.1428571428571425E-2</v>
      </c>
      <c r="AU42">
        <f t="shared" si="1"/>
        <v>6.6666666666666666E-2</v>
      </c>
      <c r="AV42">
        <f t="shared" si="1"/>
        <v>6.25E-2</v>
      </c>
      <c r="AW42">
        <f t="shared" si="1"/>
        <v>5.8823529411764705E-2</v>
      </c>
      <c r="AX42">
        <f t="shared" si="1"/>
        <v>5.5555555555555552E-2</v>
      </c>
      <c r="AY42">
        <f t="shared" si="1"/>
        <v>5.2631578947368418E-2</v>
      </c>
      <c r="AZ42">
        <f t="shared" si="1"/>
        <v>0.05</v>
      </c>
      <c r="BA42">
        <f t="shared" si="1"/>
        <v>4.7619047619047616E-2</v>
      </c>
      <c r="BB42">
        <f t="shared" si="1"/>
        <v>4.5454545454545456E-2</v>
      </c>
      <c r="BC42">
        <f t="shared" si="1"/>
        <v>4.3478260869565216E-2</v>
      </c>
      <c r="BD42">
        <f t="shared" si="1"/>
        <v>4.1666666666666664E-2</v>
      </c>
      <c r="BE42">
        <f t="shared" si="1"/>
        <v>0.04</v>
      </c>
    </row>
    <row r="43" spans="3:57" ht="15.75" thickBot="1" x14ac:dyDescent="0.3">
      <c r="AF43" s="2">
        <v>15</v>
      </c>
      <c r="AU43">
        <f t="shared" si="1"/>
        <v>6.6666666666666666E-2</v>
      </c>
      <c r="AV43">
        <f t="shared" si="1"/>
        <v>6.25E-2</v>
      </c>
      <c r="AW43">
        <f t="shared" ref="AV43:BE53" si="3">1/AW$28</f>
        <v>5.8823529411764705E-2</v>
      </c>
      <c r="AX43">
        <f t="shared" si="3"/>
        <v>5.5555555555555552E-2</v>
      </c>
      <c r="AY43">
        <f t="shared" si="3"/>
        <v>5.2631578947368418E-2</v>
      </c>
      <c r="AZ43">
        <f t="shared" si="3"/>
        <v>0.05</v>
      </c>
      <c r="BA43">
        <f t="shared" si="3"/>
        <v>4.7619047619047616E-2</v>
      </c>
      <c r="BB43">
        <f t="shared" si="3"/>
        <v>4.5454545454545456E-2</v>
      </c>
      <c r="BC43">
        <f t="shared" si="3"/>
        <v>4.3478260869565216E-2</v>
      </c>
      <c r="BD43">
        <f t="shared" si="3"/>
        <v>4.1666666666666664E-2</v>
      </c>
      <c r="BE43">
        <f t="shared" si="3"/>
        <v>0.04</v>
      </c>
    </row>
    <row r="44" spans="3:57" ht="15" customHeight="1" x14ac:dyDescent="0.25">
      <c r="C44" s="192" t="s">
        <v>70</v>
      </c>
      <c r="D44" s="193"/>
      <c r="E44" s="193"/>
      <c r="F44" s="193"/>
      <c r="G44" s="193"/>
      <c r="H44" s="193"/>
      <c r="I44" s="193"/>
      <c r="J44" s="193"/>
      <c r="K44" s="193"/>
      <c r="L44" s="193"/>
      <c r="M44" s="193"/>
      <c r="N44" s="193"/>
      <c r="O44" s="193"/>
      <c r="P44" s="193"/>
      <c r="Q44" s="193"/>
      <c r="R44" s="193"/>
      <c r="S44" s="193"/>
      <c r="T44" s="193"/>
      <c r="U44" s="193"/>
      <c r="V44" s="194"/>
      <c r="AF44" s="2">
        <v>16</v>
      </c>
      <c r="AV44">
        <f t="shared" si="3"/>
        <v>6.25E-2</v>
      </c>
      <c r="AW44">
        <f t="shared" si="3"/>
        <v>5.8823529411764705E-2</v>
      </c>
      <c r="AX44">
        <f t="shared" si="3"/>
        <v>5.5555555555555552E-2</v>
      </c>
      <c r="AY44">
        <f t="shared" si="3"/>
        <v>5.2631578947368418E-2</v>
      </c>
      <c r="AZ44">
        <f t="shared" si="3"/>
        <v>0.05</v>
      </c>
      <c r="BA44">
        <f t="shared" si="3"/>
        <v>4.7619047619047616E-2</v>
      </c>
      <c r="BB44">
        <f t="shared" si="3"/>
        <v>4.5454545454545456E-2</v>
      </c>
      <c r="BC44">
        <f t="shared" si="3"/>
        <v>4.3478260869565216E-2</v>
      </c>
      <c r="BD44">
        <f t="shared" si="3"/>
        <v>4.1666666666666664E-2</v>
      </c>
      <c r="BE44">
        <f t="shared" si="3"/>
        <v>0.04</v>
      </c>
    </row>
    <row r="45" spans="3:57" ht="15" customHeight="1" thickBot="1" x14ac:dyDescent="0.3">
      <c r="C45" s="195"/>
      <c r="D45" s="196"/>
      <c r="E45" s="196"/>
      <c r="F45" s="196"/>
      <c r="G45" s="196"/>
      <c r="H45" s="196"/>
      <c r="I45" s="196"/>
      <c r="J45" s="196"/>
      <c r="K45" s="196"/>
      <c r="L45" s="196"/>
      <c r="M45" s="196"/>
      <c r="N45" s="196"/>
      <c r="O45" s="196"/>
      <c r="P45" s="196"/>
      <c r="Q45" s="196"/>
      <c r="R45" s="196"/>
      <c r="S45" s="196"/>
      <c r="T45" s="196"/>
      <c r="U45" s="196"/>
      <c r="V45" s="197"/>
      <c r="AF45" s="2">
        <v>17</v>
      </c>
      <c r="AW45">
        <f t="shared" si="3"/>
        <v>5.8823529411764705E-2</v>
      </c>
      <c r="AX45">
        <f t="shared" si="3"/>
        <v>5.5555555555555552E-2</v>
      </c>
      <c r="AY45">
        <f t="shared" si="3"/>
        <v>5.2631578947368418E-2</v>
      </c>
      <c r="AZ45">
        <f t="shared" si="3"/>
        <v>0.05</v>
      </c>
      <c r="BA45">
        <f t="shared" si="3"/>
        <v>4.7619047619047616E-2</v>
      </c>
      <c r="BB45">
        <f t="shared" si="3"/>
        <v>4.5454545454545456E-2</v>
      </c>
      <c r="BC45">
        <f t="shared" si="3"/>
        <v>4.3478260869565216E-2</v>
      </c>
      <c r="BD45">
        <f t="shared" si="3"/>
        <v>4.1666666666666664E-2</v>
      </c>
      <c r="BE45">
        <f t="shared" si="3"/>
        <v>0.04</v>
      </c>
    </row>
    <row r="46" spans="3:57" ht="15.75" thickBot="1" x14ac:dyDescent="0.3">
      <c r="C46" s="171" t="s">
        <v>46</v>
      </c>
      <c r="D46" s="174" t="s">
        <v>22</v>
      </c>
      <c r="E46" s="174" t="s">
        <v>23</v>
      </c>
      <c r="F46" s="174" t="s">
        <v>24</v>
      </c>
      <c r="G46" s="174" t="s">
        <v>25</v>
      </c>
      <c r="H46" s="174" t="s">
        <v>26</v>
      </c>
      <c r="I46" s="174" t="s">
        <v>27</v>
      </c>
      <c r="J46" s="174" t="s">
        <v>28</v>
      </c>
      <c r="K46" s="174" t="s">
        <v>29</v>
      </c>
      <c r="L46" s="174" t="s">
        <v>30</v>
      </c>
      <c r="M46" s="174" t="s">
        <v>31</v>
      </c>
      <c r="N46" s="174" t="s">
        <v>32</v>
      </c>
      <c r="O46" s="174" t="s">
        <v>7</v>
      </c>
      <c r="P46" s="174" t="s">
        <v>8</v>
      </c>
      <c r="Q46" s="174" t="s">
        <v>9</v>
      </c>
      <c r="R46" s="174" t="s">
        <v>10</v>
      </c>
      <c r="S46" s="174" t="s">
        <v>11</v>
      </c>
      <c r="T46" s="174" t="s">
        <v>2</v>
      </c>
      <c r="U46" s="174" t="s">
        <v>3</v>
      </c>
      <c r="V46" s="175" t="s">
        <v>4</v>
      </c>
      <c r="W46" s="2"/>
      <c r="AF46" s="2">
        <v>18</v>
      </c>
      <c r="AX46">
        <f t="shared" si="3"/>
        <v>5.5555555555555552E-2</v>
      </c>
      <c r="AY46">
        <f t="shared" si="3"/>
        <v>5.2631578947368418E-2</v>
      </c>
      <c r="AZ46">
        <f t="shared" si="3"/>
        <v>0.05</v>
      </c>
      <c r="BA46">
        <f t="shared" si="3"/>
        <v>4.7619047619047616E-2</v>
      </c>
      <c r="BB46">
        <f t="shared" si="3"/>
        <v>4.5454545454545456E-2</v>
      </c>
      <c r="BC46">
        <f t="shared" si="3"/>
        <v>4.3478260869565216E-2</v>
      </c>
      <c r="BD46">
        <f t="shared" si="3"/>
        <v>4.1666666666666664E-2</v>
      </c>
      <c r="BE46">
        <f t="shared" si="3"/>
        <v>0.04</v>
      </c>
    </row>
    <row r="47" spans="3:57" x14ac:dyDescent="0.25">
      <c r="C47" s="172" t="s">
        <v>22</v>
      </c>
      <c r="D47" s="176">
        <v>9.0035575814259616E-4</v>
      </c>
      <c r="E47" s="177">
        <v>6.204084399833407E-4</v>
      </c>
      <c r="F47" s="177">
        <v>6.3471065515215868E-4</v>
      </c>
      <c r="G47" s="177">
        <v>4.956391511261232E-4</v>
      </c>
      <c r="H47" s="177">
        <v>6.2737631222071978E-4</v>
      </c>
      <c r="I47" s="177">
        <v>6.3099109462676662E-4</v>
      </c>
      <c r="J47" s="177">
        <v>5.7404634583837284E-4</v>
      </c>
      <c r="K47" s="177">
        <v>5.0131850010465739E-4</v>
      </c>
      <c r="L47" s="177">
        <v>5.7841207283323634E-4</v>
      </c>
      <c r="M47" s="177">
        <v>6.1310026473495975E-4</v>
      </c>
      <c r="N47" s="177">
        <v>6.3776852896884348E-4</v>
      </c>
      <c r="O47" s="177">
        <v>2.8702137347264977E-4</v>
      </c>
      <c r="P47" s="177">
        <v>6.6255949443140604E-4</v>
      </c>
      <c r="Q47" s="177">
        <v>1.0996463097193655E-3</v>
      </c>
      <c r="R47" s="177">
        <v>2.5719909647412042E-4</v>
      </c>
      <c r="S47" s="177">
        <v>4.7407272579670217E-4</v>
      </c>
      <c r="T47" s="177">
        <v>8.9647793658719193E-4</v>
      </c>
      <c r="U47" s="177">
        <v>7.9684016289092345E-4</v>
      </c>
      <c r="V47" s="178">
        <v>9.6732383272357344E-4</v>
      </c>
      <c r="AF47" s="2">
        <v>19</v>
      </c>
      <c r="AY47">
        <f t="shared" si="3"/>
        <v>5.2631578947368418E-2</v>
      </c>
      <c r="AZ47">
        <f t="shared" si="3"/>
        <v>0.05</v>
      </c>
      <c r="BA47">
        <f t="shared" si="3"/>
        <v>4.7619047619047616E-2</v>
      </c>
      <c r="BB47">
        <f t="shared" si="3"/>
        <v>4.5454545454545456E-2</v>
      </c>
      <c r="BC47">
        <f t="shared" si="3"/>
        <v>4.3478260869565216E-2</v>
      </c>
      <c r="BD47">
        <f t="shared" si="3"/>
        <v>4.1666666666666664E-2</v>
      </c>
      <c r="BE47">
        <f t="shared" si="3"/>
        <v>0.04</v>
      </c>
    </row>
    <row r="48" spans="3:57" x14ac:dyDescent="0.25">
      <c r="C48" s="172" t="s">
        <v>23</v>
      </c>
      <c r="D48" s="179">
        <v>6.204084399833407E-4</v>
      </c>
      <c r="E48" s="180">
        <v>1.2354011949921033E-3</v>
      </c>
      <c r="F48" s="42">
        <v>6.470352698507134E-4</v>
      </c>
      <c r="G48" s="42">
        <v>5.2363282658405414E-4</v>
      </c>
      <c r="H48" s="42">
        <v>7.2203504475692299E-4</v>
      </c>
      <c r="I48" s="42">
        <v>6.3121504726213569E-4</v>
      </c>
      <c r="J48" s="42">
        <v>5.5379495845410192E-4</v>
      </c>
      <c r="K48" s="42">
        <v>4.7347920654374273E-4</v>
      </c>
      <c r="L48" s="42">
        <v>4.2913270369944516E-4</v>
      </c>
      <c r="M48" s="42">
        <v>5.420055338731869E-4</v>
      </c>
      <c r="N48" s="42">
        <v>4.8632831749076465E-4</v>
      </c>
      <c r="O48" s="42">
        <v>2.8174382984780597E-4</v>
      </c>
      <c r="P48" s="42">
        <v>6.6136789576138884E-4</v>
      </c>
      <c r="Q48" s="42">
        <v>9.5493926462013215E-4</v>
      </c>
      <c r="R48" s="42">
        <v>1.5708110512981663E-4</v>
      </c>
      <c r="S48" s="42">
        <v>3.814920219580577E-4</v>
      </c>
      <c r="T48" s="42">
        <v>1.0252443121026415E-3</v>
      </c>
      <c r="U48" s="42">
        <v>8.2176939203105624E-4</v>
      </c>
      <c r="V48" s="181">
        <v>9.9734736796550419E-4</v>
      </c>
      <c r="AF48" s="2">
        <v>20</v>
      </c>
      <c r="AZ48">
        <f t="shared" si="3"/>
        <v>0.05</v>
      </c>
      <c r="BA48">
        <f t="shared" si="3"/>
        <v>4.7619047619047616E-2</v>
      </c>
      <c r="BB48">
        <f t="shared" si="3"/>
        <v>4.5454545454545456E-2</v>
      </c>
      <c r="BC48">
        <f t="shared" si="3"/>
        <v>4.3478260869565216E-2</v>
      </c>
      <c r="BD48">
        <f t="shared" si="3"/>
        <v>4.1666666666666664E-2</v>
      </c>
      <c r="BE48">
        <f t="shared" si="3"/>
        <v>0.04</v>
      </c>
    </row>
    <row r="49" spans="3:57" x14ac:dyDescent="0.25">
      <c r="C49" s="172" t="s">
        <v>24</v>
      </c>
      <c r="D49" s="179">
        <v>6.3471065515215868E-4</v>
      </c>
      <c r="E49" s="42">
        <v>6.470352698507134E-4</v>
      </c>
      <c r="F49" s="180">
        <v>1.2684574993852432E-3</v>
      </c>
      <c r="G49" s="42">
        <v>4.8543671827692416E-4</v>
      </c>
      <c r="H49" s="42">
        <v>6.3978923975286327E-4</v>
      </c>
      <c r="I49" s="42">
        <v>5.702927612540417E-4</v>
      </c>
      <c r="J49" s="42">
        <v>4.7905962809226005E-4</v>
      </c>
      <c r="K49" s="42">
        <v>4.263571890034117E-4</v>
      </c>
      <c r="L49" s="42">
        <v>5.2228641163022617E-4</v>
      </c>
      <c r="M49" s="42">
        <v>5.2275936421497657E-4</v>
      </c>
      <c r="N49" s="42">
        <v>5.2815799860796674E-4</v>
      </c>
      <c r="O49" s="42">
        <v>3.3227378638886457E-4</v>
      </c>
      <c r="P49" s="42">
        <v>6.9676842712706045E-4</v>
      </c>
      <c r="Q49" s="42">
        <v>1.1185828887573296E-3</v>
      </c>
      <c r="R49" s="42">
        <v>2.0428610773688555E-4</v>
      </c>
      <c r="S49" s="42">
        <v>4.823130503919449E-4</v>
      </c>
      <c r="T49" s="42">
        <v>8.646347149371199E-4</v>
      </c>
      <c r="U49" s="42">
        <v>7.62304758253765E-4</v>
      </c>
      <c r="V49" s="181">
        <v>1.1136869416736319E-3</v>
      </c>
      <c r="AF49" s="2">
        <v>21</v>
      </c>
      <c r="BA49">
        <f t="shared" si="3"/>
        <v>4.7619047619047616E-2</v>
      </c>
      <c r="BB49">
        <f t="shared" si="3"/>
        <v>4.5454545454545456E-2</v>
      </c>
      <c r="BC49">
        <f t="shared" si="3"/>
        <v>4.3478260869565216E-2</v>
      </c>
      <c r="BD49">
        <f t="shared" si="3"/>
        <v>4.1666666666666664E-2</v>
      </c>
      <c r="BE49">
        <f t="shared" si="3"/>
        <v>0.04</v>
      </c>
    </row>
    <row r="50" spans="3:57" x14ac:dyDescent="0.25">
      <c r="C50" s="172" t="s">
        <v>25</v>
      </c>
      <c r="D50" s="179">
        <v>4.956391511261232E-4</v>
      </c>
      <c r="E50" s="42">
        <v>5.2363282658405414E-4</v>
      </c>
      <c r="F50" s="42">
        <v>4.8543671827692416E-4</v>
      </c>
      <c r="G50" s="180">
        <v>1.0051743378819101E-3</v>
      </c>
      <c r="H50" s="42">
        <v>7.058498013137038E-4</v>
      </c>
      <c r="I50" s="42">
        <v>5.1160594547056105E-4</v>
      </c>
      <c r="J50" s="42">
        <v>4.7815446301757372E-4</v>
      </c>
      <c r="K50" s="42">
        <v>5.2589814135945844E-4</v>
      </c>
      <c r="L50" s="42">
        <v>5.9879714953233398E-4</v>
      </c>
      <c r="M50" s="42">
        <v>5.6806223389064799E-4</v>
      </c>
      <c r="N50" s="42">
        <v>5.0040476999409624E-4</v>
      </c>
      <c r="O50" s="42">
        <v>1.9632317171931695E-4</v>
      </c>
      <c r="P50" s="42">
        <v>5.0105479907562817E-4</v>
      </c>
      <c r="Q50" s="42">
        <v>7.2141513521935805E-4</v>
      </c>
      <c r="R50" s="42">
        <v>1.3353475942569815E-4</v>
      </c>
      <c r="S50" s="42">
        <v>1.936408091563771E-4</v>
      </c>
      <c r="T50" s="42">
        <v>5.3226309501840704E-4</v>
      </c>
      <c r="U50" s="42">
        <v>6.3094170289062688E-4</v>
      </c>
      <c r="V50" s="181">
        <v>5.7002377801854956E-4</v>
      </c>
      <c r="AF50" s="2">
        <v>22</v>
      </c>
      <c r="BB50">
        <f t="shared" si="3"/>
        <v>4.5454545454545456E-2</v>
      </c>
      <c r="BC50">
        <f t="shared" si="3"/>
        <v>4.3478260869565216E-2</v>
      </c>
      <c r="BD50">
        <f t="shared" si="3"/>
        <v>4.1666666666666664E-2</v>
      </c>
      <c r="BE50">
        <f t="shared" si="3"/>
        <v>0.04</v>
      </c>
    </row>
    <row r="51" spans="3:57" x14ac:dyDescent="0.25">
      <c r="C51" s="172" t="s">
        <v>26</v>
      </c>
      <c r="D51" s="179">
        <v>6.2737631222071978E-4</v>
      </c>
      <c r="E51" s="42">
        <v>7.2203504475692299E-4</v>
      </c>
      <c r="F51" s="42">
        <v>6.3978923975286327E-4</v>
      </c>
      <c r="G51" s="42">
        <v>7.058498013137038E-4</v>
      </c>
      <c r="H51" s="180">
        <v>1.8698572981856829E-3</v>
      </c>
      <c r="I51" s="42">
        <v>4.7873008125449854E-4</v>
      </c>
      <c r="J51" s="42">
        <v>4.6695143325499542E-4</v>
      </c>
      <c r="K51" s="42">
        <v>3.760293526614087E-4</v>
      </c>
      <c r="L51" s="42">
        <v>5.7862107231915552E-4</v>
      </c>
      <c r="M51" s="42">
        <v>4.9470037298589883E-4</v>
      </c>
      <c r="N51" s="42">
        <v>5.1955745363237236E-4</v>
      </c>
      <c r="O51" s="42">
        <v>2.7635580032216585E-4</v>
      </c>
      <c r="P51" s="42">
        <v>6.392681958635718E-4</v>
      </c>
      <c r="Q51" s="42">
        <v>1.1558859718229792E-3</v>
      </c>
      <c r="R51" s="42">
        <v>1.2454090079927238E-4</v>
      </c>
      <c r="S51" s="42">
        <v>4.3829972294711527E-4</v>
      </c>
      <c r="T51" s="42">
        <v>1.0732426919798752E-3</v>
      </c>
      <c r="U51" s="42">
        <v>1.2261503186603102E-3</v>
      </c>
      <c r="V51" s="181">
        <v>8.4168043500239145E-4</v>
      </c>
      <c r="AF51" s="2">
        <v>23</v>
      </c>
      <c r="BC51">
        <f t="shared" si="3"/>
        <v>4.3478260869565216E-2</v>
      </c>
      <c r="BD51">
        <f t="shared" si="3"/>
        <v>4.1666666666666664E-2</v>
      </c>
      <c r="BE51">
        <f t="shared" si="3"/>
        <v>0.04</v>
      </c>
    </row>
    <row r="52" spans="3:57" x14ac:dyDescent="0.25">
      <c r="C52" s="172" t="s">
        <v>27</v>
      </c>
      <c r="D52" s="179">
        <v>6.3099109462676662E-4</v>
      </c>
      <c r="E52" s="42">
        <v>6.3121504726213569E-4</v>
      </c>
      <c r="F52" s="42">
        <v>5.702927612540417E-4</v>
      </c>
      <c r="G52" s="42">
        <v>5.1160594547056105E-4</v>
      </c>
      <c r="H52" s="42">
        <v>4.7873008125449854E-4</v>
      </c>
      <c r="I52" s="180">
        <v>1.5977504334579997E-3</v>
      </c>
      <c r="J52" s="42">
        <v>7.369496507716361E-4</v>
      </c>
      <c r="K52" s="42">
        <v>9.1577712595741626E-4</v>
      </c>
      <c r="L52" s="42">
        <v>8.8890854753687185E-4</v>
      </c>
      <c r="M52" s="42">
        <v>6.7701300211952349E-4</v>
      </c>
      <c r="N52" s="42">
        <v>8.4886138243535033E-4</v>
      </c>
      <c r="O52" s="42">
        <v>1.32601512442478E-4</v>
      </c>
      <c r="P52" s="42">
        <v>6.819507803499013E-4</v>
      </c>
      <c r="Q52" s="42">
        <v>1.1769196872826572E-3</v>
      </c>
      <c r="R52" s="42">
        <v>2.1419705395396812E-4</v>
      </c>
      <c r="S52" s="42">
        <v>3.2131395229977446E-4</v>
      </c>
      <c r="T52" s="42">
        <v>7.4656181636189309E-4</v>
      </c>
      <c r="U52" s="42">
        <v>9.6112340842597515E-4</v>
      </c>
      <c r="V52" s="181">
        <v>9.0596380852017667E-4</v>
      </c>
      <c r="AF52" s="2">
        <v>24</v>
      </c>
      <c r="BD52">
        <f t="shared" si="3"/>
        <v>4.1666666666666664E-2</v>
      </c>
      <c r="BE52">
        <f t="shared" si="3"/>
        <v>0.04</v>
      </c>
    </row>
    <row r="53" spans="3:57" x14ac:dyDescent="0.25">
      <c r="C53" s="172" t="s">
        <v>28</v>
      </c>
      <c r="D53" s="179">
        <v>5.7404634583837284E-4</v>
      </c>
      <c r="E53" s="42">
        <v>5.5379495845410192E-4</v>
      </c>
      <c r="F53" s="42">
        <v>4.7905962809226005E-4</v>
      </c>
      <c r="G53" s="42">
        <v>4.7815446301757372E-4</v>
      </c>
      <c r="H53" s="42">
        <v>4.6695143325499542E-4</v>
      </c>
      <c r="I53" s="42">
        <v>7.369496507716361E-4</v>
      </c>
      <c r="J53" s="180">
        <v>1.3843035554363717E-3</v>
      </c>
      <c r="K53" s="42">
        <v>7.4552234565635888E-4</v>
      </c>
      <c r="L53" s="42">
        <v>8.0629360171170566E-4</v>
      </c>
      <c r="M53" s="42">
        <v>7.4981428041607731E-4</v>
      </c>
      <c r="N53" s="42">
        <v>6.6725401673503029E-4</v>
      </c>
      <c r="O53" s="42">
        <v>2.1498650143095529E-4</v>
      </c>
      <c r="P53" s="42">
        <v>4.9651421607880609E-4</v>
      </c>
      <c r="Q53" s="42">
        <v>1.0360126163555523E-3</v>
      </c>
      <c r="R53" s="42">
        <v>1.6657229313126801E-4</v>
      </c>
      <c r="S53" s="42">
        <v>3.1051215167146774E-4</v>
      </c>
      <c r="T53" s="42">
        <v>6.6130833507042116E-4</v>
      </c>
      <c r="U53" s="42">
        <v>7.1027424973589255E-4</v>
      </c>
      <c r="V53" s="181">
        <v>8.3698856713633083E-4</v>
      </c>
      <c r="AF53" s="2">
        <v>25</v>
      </c>
      <c r="BE53">
        <f t="shared" si="3"/>
        <v>0.04</v>
      </c>
    </row>
    <row r="54" spans="3:57" x14ac:dyDescent="0.25">
      <c r="C54" s="172" t="s">
        <v>29</v>
      </c>
      <c r="D54" s="179">
        <v>5.0131850010465739E-4</v>
      </c>
      <c r="E54" s="42">
        <v>4.7347920654374273E-4</v>
      </c>
      <c r="F54" s="42">
        <v>4.263571890034117E-4</v>
      </c>
      <c r="G54" s="42">
        <v>5.2589814135945844E-4</v>
      </c>
      <c r="H54" s="42">
        <v>3.760293526614087E-4</v>
      </c>
      <c r="I54" s="42">
        <v>9.1577712595741626E-4</v>
      </c>
      <c r="J54" s="42">
        <v>7.4552234565635888E-4</v>
      </c>
      <c r="K54" s="180">
        <v>1.6383685012707695E-3</v>
      </c>
      <c r="L54" s="42">
        <v>1.1167756502633791E-3</v>
      </c>
      <c r="M54" s="42">
        <v>8.6107506957384407E-4</v>
      </c>
      <c r="N54" s="42">
        <v>8.1899900705391566E-4</v>
      </c>
      <c r="O54" s="42">
        <v>9.4244514367057479E-5</v>
      </c>
      <c r="P54" s="42">
        <v>5.199703437669997E-4</v>
      </c>
      <c r="Q54" s="42">
        <v>7.7565971667951277E-4</v>
      </c>
      <c r="R54" s="42">
        <v>1.5639672016079742E-4</v>
      </c>
      <c r="S54" s="42">
        <v>7.3943351724683578E-5</v>
      </c>
      <c r="T54" s="42">
        <v>3.2548230442358317E-4</v>
      </c>
      <c r="U54" s="42">
        <v>6.4710070378494195E-4</v>
      </c>
      <c r="V54" s="181">
        <v>4.2580319448288161E-4</v>
      </c>
    </row>
    <row r="55" spans="3:57" x14ac:dyDescent="0.25">
      <c r="C55" s="172" t="s">
        <v>30</v>
      </c>
      <c r="D55" s="179">
        <v>5.7841207283323634E-4</v>
      </c>
      <c r="E55" s="42">
        <v>4.2913270369944516E-4</v>
      </c>
      <c r="F55" s="42">
        <v>5.2228641163022617E-4</v>
      </c>
      <c r="G55" s="42">
        <v>5.9879714953233398E-4</v>
      </c>
      <c r="H55" s="42">
        <v>5.7862107231915552E-4</v>
      </c>
      <c r="I55" s="42">
        <v>8.8890854753687185E-4</v>
      </c>
      <c r="J55" s="42">
        <v>8.0629360171170566E-4</v>
      </c>
      <c r="K55" s="42">
        <v>1.1167756502633791E-3</v>
      </c>
      <c r="L55" s="180">
        <v>3.0897130933671929E-3</v>
      </c>
      <c r="M55" s="42">
        <v>8.7054062341730438E-4</v>
      </c>
      <c r="N55" s="42">
        <v>8.0407613076980951E-4</v>
      </c>
      <c r="O55" s="42">
        <v>1.6643638910300251E-4</v>
      </c>
      <c r="P55" s="42">
        <v>4.7781785272226081E-4</v>
      </c>
      <c r="Q55" s="42">
        <v>8.3878144938817471E-4</v>
      </c>
      <c r="R55" s="42">
        <v>1.1533666144123937E-4</v>
      </c>
      <c r="S55" s="42">
        <v>1.5091467444973002E-4</v>
      </c>
      <c r="T55" s="42">
        <v>4.905832485811826E-4</v>
      </c>
      <c r="U55" s="42">
        <v>6.9581251881813502E-4</v>
      </c>
      <c r="V55" s="181">
        <v>5.2720049893802503E-4</v>
      </c>
    </row>
    <row r="56" spans="3:57" x14ac:dyDescent="0.25">
      <c r="C56" s="172" t="s">
        <v>31</v>
      </c>
      <c r="D56" s="179">
        <v>6.1310026473495975E-4</v>
      </c>
      <c r="E56" s="42">
        <v>5.420055338731869E-4</v>
      </c>
      <c r="F56" s="42">
        <v>5.2275936421497657E-4</v>
      </c>
      <c r="G56" s="42">
        <v>5.6806223389064799E-4</v>
      </c>
      <c r="H56" s="42">
        <v>4.9470037298589883E-4</v>
      </c>
      <c r="I56" s="42">
        <v>6.7701300211952349E-4</v>
      </c>
      <c r="J56" s="42">
        <v>7.4981428041607731E-4</v>
      </c>
      <c r="K56" s="42">
        <v>8.6107506957384407E-4</v>
      </c>
      <c r="L56" s="42">
        <v>8.7054062341730438E-4</v>
      </c>
      <c r="M56" s="180">
        <v>9.9316421640002978E-4</v>
      </c>
      <c r="N56" s="42">
        <v>7.6534286477918795E-4</v>
      </c>
      <c r="O56" s="42">
        <v>2.6429076427559234E-4</v>
      </c>
      <c r="P56" s="42">
        <v>5.6457473514401411E-4</v>
      </c>
      <c r="Q56" s="42">
        <v>8.7646475354793128E-4</v>
      </c>
      <c r="R56" s="42">
        <v>2.2986411675244621E-4</v>
      </c>
      <c r="S56" s="42">
        <v>2.6348389202692228E-4</v>
      </c>
      <c r="T56" s="42">
        <v>5.3527932853400094E-4</v>
      </c>
      <c r="U56" s="42">
        <v>6.0218915913238093E-4</v>
      </c>
      <c r="V56" s="181">
        <v>6.7741262116121899E-4</v>
      </c>
    </row>
    <row r="57" spans="3:57" x14ac:dyDescent="0.25">
      <c r="C57" s="172" t="s">
        <v>32</v>
      </c>
      <c r="D57" s="179">
        <v>6.3776852896884348E-4</v>
      </c>
      <c r="E57" s="42">
        <v>4.8632831749076465E-4</v>
      </c>
      <c r="F57" s="42">
        <v>5.2815799860796674E-4</v>
      </c>
      <c r="G57" s="42">
        <v>5.0040476999409624E-4</v>
      </c>
      <c r="H57" s="42">
        <v>5.1955745363237236E-4</v>
      </c>
      <c r="I57" s="42">
        <v>8.4886138243535033E-4</v>
      </c>
      <c r="J57" s="42">
        <v>6.6725401673503029E-4</v>
      </c>
      <c r="K57" s="42">
        <v>8.1899900705391566E-4</v>
      </c>
      <c r="L57" s="42">
        <v>8.0407613076980951E-4</v>
      </c>
      <c r="M57" s="42">
        <v>7.6534286477918795E-4</v>
      </c>
      <c r="N57" s="180">
        <v>1.1727369405653322E-3</v>
      </c>
      <c r="O57" s="42">
        <v>2.1777801414158204E-4</v>
      </c>
      <c r="P57" s="42">
        <v>6.3643262279437134E-4</v>
      </c>
      <c r="Q57" s="42">
        <v>1.1474355230277834E-3</v>
      </c>
      <c r="R57" s="42">
        <v>1.6998859651927984E-4</v>
      </c>
      <c r="S57" s="42">
        <v>2.7292044762703137E-4</v>
      </c>
      <c r="T57" s="42">
        <v>6.5138258802390284E-4</v>
      </c>
      <c r="U57" s="42">
        <v>8.1418210967983053E-4</v>
      </c>
      <c r="V57" s="181">
        <v>7.3486971882855655E-4</v>
      </c>
    </row>
    <row r="58" spans="3:57" x14ac:dyDescent="0.25">
      <c r="C58" s="172" t="s">
        <v>7</v>
      </c>
      <c r="D58" s="179">
        <v>2.8702137347264977E-4</v>
      </c>
      <c r="E58" s="42">
        <v>2.8174382984780597E-4</v>
      </c>
      <c r="F58" s="42">
        <v>3.3227378638886457E-4</v>
      </c>
      <c r="G58" s="42">
        <v>1.9632317171931695E-4</v>
      </c>
      <c r="H58" s="42">
        <v>2.7635580032216585E-4</v>
      </c>
      <c r="I58" s="42">
        <v>1.32601512442478E-4</v>
      </c>
      <c r="J58" s="42">
        <v>2.1498650143095529E-4</v>
      </c>
      <c r="K58" s="42">
        <v>9.4244514367057479E-5</v>
      </c>
      <c r="L58" s="42">
        <v>1.6643638910300251E-4</v>
      </c>
      <c r="M58" s="42">
        <v>2.6429076427559234E-4</v>
      </c>
      <c r="N58" s="42">
        <v>2.1777801414158204E-4</v>
      </c>
      <c r="O58" s="180">
        <v>8.4962698422001617E-4</v>
      </c>
      <c r="P58" s="42">
        <v>4.7734533449163714E-4</v>
      </c>
      <c r="Q58" s="42">
        <v>3.6169524094998282E-4</v>
      </c>
      <c r="R58" s="42">
        <v>4.1240058883851603E-4</v>
      </c>
      <c r="S58" s="42">
        <v>4.0658181858805497E-4</v>
      </c>
      <c r="T58" s="42">
        <v>3.9642389936115057E-4</v>
      </c>
      <c r="U58" s="42">
        <v>2.6863148968603106E-4</v>
      </c>
      <c r="V58" s="181">
        <v>6.1429346199133811E-4</v>
      </c>
    </row>
    <row r="59" spans="3:57" x14ac:dyDescent="0.25">
      <c r="C59" s="172" t="s">
        <v>8</v>
      </c>
      <c r="D59" s="179">
        <v>6.6255949443140604E-4</v>
      </c>
      <c r="E59" s="42">
        <v>6.6136789576138884E-4</v>
      </c>
      <c r="F59" s="42">
        <v>6.9676842712706045E-4</v>
      </c>
      <c r="G59" s="42">
        <v>5.0105479907562817E-4</v>
      </c>
      <c r="H59" s="42">
        <v>6.392681958635718E-4</v>
      </c>
      <c r="I59" s="42">
        <v>6.819507803499013E-4</v>
      </c>
      <c r="J59" s="42">
        <v>4.9651421607880609E-4</v>
      </c>
      <c r="K59" s="42">
        <v>5.199703437669997E-4</v>
      </c>
      <c r="L59" s="42">
        <v>4.7781785272226081E-4</v>
      </c>
      <c r="M59" s="42">
        <v>5.6457473514401411E-4</v>
      </c>
      <c r="N59" s="42">
        <v>6.3643262279437134E-4</v>
      </c>
      <c r="O59" s="42">
        <v>4.7734533449163714E-4</v>
      </c>
      <c r="P59" s="180">
        <v>1.6190398971554184E-3</v>
      </c>
      <c r="Q59" s="42">
        <v>1.3247044277506438E-3</v>
      </c>
      <c r="R59" s="42">
        <v>4.026999394069458E-4</v>
      </c>
      <c r="S59" s="42">
        <v>6.1697054490869141E-4</v>
      </c>
      <c r="T59" s="42">
        <v>1.0049105755927268E-3</v>
      </c>
      <c r="U59" s="42">
        <v>9.9646787808310212E-4</v>
      </c>
      <c r="V59" s="181">
        <v>1.3268099640313224E-3</v>
      </c>
    </row>
    <row r="60" spans="3:57" x14ac:dyDescent="0.25">
      <c r="C60" s="172" t="s">
        <v>9</v>
      </c>
      <c r="D60" s="179">
        <v>1.0996463097193655E-3</v>
      </c>
      <c r="E60" s="42">
        <v>9.5493926462013215E-4</v>
      </c>
      <c r="F60" s="42">
        <v>1.1185828887573296E-3</v>
      </c>
      <c r="G60" s="42">
        <v>7.2141513521935805E-4</v>
      </c>
      <c r="H60" s="42">
        <v>1.1558859718229792E-3</v>
      </c>
      <c r="I60" s="42">
        <v>1.1769196872826572E-3</v>
      </c>
      <c r="J60" s="42">
        <v>1.0360126163555523E-3</v>
      </c>
      <c r="K60" s="42">
        <v>7.7565971667951277E-4</v>
      </c>
      <c r="L60" s="42">
        <v>8.3878144938817471E-4</v>
      </c>
      <c r="M60" s="42">
        <v>8.7646475354793128E-4</v>
      </c>
      <c r="N60" s="42">
        <v>1.1474355230277834E-3</v>
      </c>
      <c r="O60" s="42">
        <v>3.6169524094998282E-4</v>
      </c>
      <c r="P60" s="42">
        <v>1.3247044277506438E-3</v>
      </c>
      <c r="Q60" s="180">
        <v>4.6519892456138717E-3</v>
      </c>
      <c r="R60" s="42">
        <v>4.0213097926249341E-4</v>
      </c>
      <c r="S60" s="42">
        <v>1.0510181864007298E-3</v>
      </c>
      <c r="T60" s="42">
        <v>1.958004531181189E-3</v>
      </c>
      <c r="U60" s="42">
        <v>1.7672898062550989E-3</v>
      </c>
      <c r="V60" s="181">
        <v>1.9682334650969191E-3</v>
      </c>
    </row>
    <row r="61" spans="3:57" x14ac:dyDescent="0.25">
      <c r="C61" s="172" t="s">
        <v>10</v>
      </c>
      <c r="D61" s="179">
        <v>2.5719909647412042E-4</v>
      </c>
      <c r="E61" s="42">
        <v>1.5708110512981663E-4</v>
      </c>
      <c r="F61" s="42">
        <v>2.0428610773688555E-4</v>
      </c>
      <c r="G61" s="42">
        <v>1.3353475942569815E-4</v>
      </c>
      <c r="H61" s="42">
        <v>1.2454090079927238E-4</v>
      </c>
      <c r="I61" s="42">
        <v>2.1419705395396812E-4</v>
      </c>
      <c r="J61" s="42">
        <v>1.6657229313126801E-4</v>
      </c>
      <c r="K61" s="42">
        <v>1.5639672016079742E-4</v>
      </c>
      <c r="L61" s="42">
        <v>1.1533666144123937E-4</v>
      </c>
      <c r="M61" s="42">
        <v>2.2986411675244621E-4</v>
      </c>
      <c r="N61" s="42">
        <v>1.6998859651927984E-4</v>
      </c>
      <c r="O61" s="42">
        <v>4.1240058883851603E-4</v>
      </c>
      <c r="P61" s="42">
        <v>4.026999394069458E-4</v>
      </c>
      <c r="Q61" s="42">
        <v>4.0213097926249341E-4</v>
      </c>
      <c r="R61" s="180">
        <v>6.4512671514400585E-4</v>
      </c>
      <c r="S61" s="42">
        <v>5.1932814451725819E-4</v>
      </c>
      <c r="T61" s="42">
        <v>2.3071342293482734E-4</v>
      </c>
      <c r="U61" s="42">
        <v>1.5247923947212381E-4</v>
      </c>
      <c r="V61" s="181">
        <v>4.3156561427296243E-4</v>
      </c>
    </row>
    <row r="62" spans="3:57" x14ac:dyDescent="0.25">
      <c r="C62" s="172" t="s">
        <v>11</v>
      </c>
      <c r="D62" s="179">
        <v>4.7407272579670217E-4</v>
      </c>
      <c r="E62" s="42">
        <v>3.814920219580577E-4</v>
      </c>
      <c r="F62" s="42">
        <v>4.823130503919449E-4</v>
      </c>
      <c r="G62" s="42">
        <v>1.936408091563771E-4</v>
      </c>
      <c r="H62" s="42">
        <v>4.3829972294711527E-4</v>
      </c>
      <c r="I62" s="42">
        <v>3.2131395229977446E-4</v>
      </c>
      <c r="J62" s="42">
        <v>3.1051215167146774E-4</v>
      </c>
      <c r="K62" s="42">
        <v>7.3943351724683578E-5</v>
      </c>
      <c r="L62" s="42">
        <v>1.5091467444973002E-4</v>
      </c>
      <c r="M62" s="42">
        <v>2.6348389202692228E-4</v>
      </c>
      <c r="N62" s="42">
        <v>2.7292044762703137E-4</v>
      </c>
      <c r="O62" s="42">
        <v>4.0658181858805497E-4</v>
      </c>
      <c r="P62" s="42">
        <v>6.1697054490869141E-4</v>
      </c>
      <c r="Q62" s="42">
        <v>1.0510181864007298E-3</v>
      </c>
      <c r="R62" s="42">
        <v>5.1932814451725819E-4</v>
      </c>
      <c r="S62" s="180">
        <v>1.1560577590656327E-3</v>
      </c>
      <c r="T62" s="42">
        <v>9.5095307905886746E-4</v>
      </c>
      <c r="U62" s="42">
        <v>6.7360073497678516E-4</v>
      </c>
      <c r="V62" s="181">
        <v>9.522566662213002E-4</v>
      </c>
    </row>
    <row r="63" spans="3:57" x14ac:dyDescent="0.25">
      <c r="C63" s="172" t="s">
        <v>2</v>
      </c>
      <c r="D63" s="179">
        <v>8.9647793658719193E-4</v>
      </c>
      <c r="E63" s="42">
        <v>1.0252443121026415E-3</v>
      </c>
      <c r="F63" s="42">
        <v>8.646347149371199E-4</v>
      </c>
      <c r="G63" s="42">
        <v>5.3226309501840704E-4</v>
      </c>
      <c r="H63" s="42">
        <v>1.0732426919798752E-3</v>
      </c>
      <c r="I63" s="42">
        <v>7.4656181636189309E-4</v>
      </c>
      <c r="J63" s="42">
        <v>6.6130833507042116E-4</v>
      </c>
      <c r="K63" s="42">
        <v>3.2548230442358317E-4</v>
      </c>
      <c r="L63" s="42">
        <v>4.905832485811826E-4</v>
      </c>
      <c r="M63" s="42">
        <v>5.3527932853400094E-4</v>
      </c>
      <c r="N63" s="42">
        <v>6.5138258802390284E-4</v>
      </c>
      <c r="O63" s="42">
        <v>3.9642389936115057E-4</v>
      </c>
      <c r="P63" s="42">
        <v>1.0049105755927268E-3</v>
      </c>
      <c r="Q63" s="42">
        <v>1.958004531181189E-3</v>
      </c>
      <c r="R63" s="42">
        <v>2.3071342293482734E-4</v>
      </c>
      <c r="S63" s="42">
        <v>9.5095307905886746E-4</v>
      </c>
      <c r="T63" s="180">
        <v>2.632228160312514E-3</v>
      </c>
      <c r="U63" s="42">
        <v>1.6755552472377179E-3</v>
      </c>
      <c r="V63" s="181">
        <v>1.8017034740767685E-3</v>
      </c>
    </row>
    <row r="64" spans="3:57" x14ac:dyDescent="0.25">
      <c r="C64" s="172" t="s">
        <v>3</v>
      </c>
      <c r="D64" s="179">
        <v>7.9684016289092345E-4</v>
      </c>
      <c r="E64" s="42">
        <v>8.2176939203105624E-4</v>
      </c>
      <c r="F64" s="42">
        <v>7.62304758253765E-4</v>
      </c>
      <c r="G64" s="42">
        <v>6.3094170289062688E-4</v>
      </c>
      <c r="H64" s="42">
        <v>1.2261503186603102E-3</v>
      </c>
      <c r="I64" s="42">
        <v>9.6112340842597515E-4</v>
      </c>
      <c r="J64" s="42">
        <v>7.1027424973589255E-4</v>
      </c>
      <c r="K64" s="42">
        <v>6.4710070378494195E-4</v>
      </c>
      <c r="L64" s="42">
        <v>6.9581251881813502E-4</v>
      </c>
      <c r="M64" s="42">
        <v>6.0218915913238093E-4</v>
      </c>
      <c r="N64" s="42">
        <v>8.1418210967983053E-4</v>
      </c>
      <c r="O64" s="42">
        <v>2.6863148968603106E-4</v>
      </c>
      <c r="P64" s="42">
        <v>9.9646787808310212E-4</v>
      </c>
      <c r="Q64" s="42">
        <v>1.7672898062550989E-3</v>
      </c>
      <c r="R64" s="42">
        <v>1.5247923947212381E-4</v>
      </c>
      <c r="S64" s="42">
        <v>6.7360073497678516E-4</v>
      </c>
      <c r="T64" s="42">
        <v>1.6755552472377179E-3</v>
      </c>
      <c r="U64" s="180">
        <v>2.5693352115858871E-3</v>
      </c>
      <c r="V64" s="181">
        <v>1.3446493348913827E-3</v>
      </c>
    </row>
    <row r="65" spans="3:22" ht="15.75" thickBot="1" x14ac:dyDescent="0.3">
      <c r="C65" s="173" t="s">
        <v>4</v>
      </c>
      <c r="D65" s="182">
        <v>9.6732383272357344E-4</v>
      </c>
      <c r="E65" s="183">
        <v>9.9734736796550419E-4</v>
      </c>
      <c r="F65" s="183">
        <v>1.1136869416736319E-3</v>
      </c>
      <c r="G65" s="183">
        <v>5.7002377801854956E-4</v>
      </c>
      <c r="H65" s="183">
        <v>8.4168043500239145E-4</v>
      </c>
      <c r="I65" s="183">
        <v>9.0596380852017667E-4</v>
      </c>
      <c r="J65" s="183">
        <v>8.3698856713633083E-4</v>
      </c>
      <c r="K65" s="183">
        <v>4.2580319448288161E-4</v>
      </c>
      <c r="L65" s="183">
        <v>5.2720049893802503E-4</v>
      </c>
      <c r="M65" s="183">
        <v>6.7741262116121899E-4</v>
      </c>
      <c r="N65" s="183">
        <v>7.3486971882855655E-4</v>
      </c>
      <c r="O65" s="183">
        <v>6.1429346199133811E-4</v>
      </c>
      <c r="P65" s="183">
        <v>1.3268099640313224E-3</v>
      </c>
      <c r="Q65" s="183">
        <v>1.9682334650969191E-3</v>
      </c>
      <c r="R65" s="183">
        <v>4.3156561427296243E-4</v>
      </c>
      <c r="S65" s="183">
        <v>9.522566662213002E-4</v>
      </c>
      <c r="T65" s="183">
        <v>1.8017034740767685E-3</v>
      </c>
      <c r="U65" s="183">
        <v>1.3446493348913827E-3</v>
      </c>
      <c r="V65" s="184">
        <v>3.4048138195042561E-3</v>
      </c>
    </row>
    <row r="66" spans="3:22" x14ac:dyDescent="0.25">
      <c r="C66" s="2"/>
    </row>
  </sheetData>
  <mergeCells count="1">
    <mergeCell ref="C44:V45"/>
  </mergeCells>
  <dataValidations count="1">
    <dataValidation type="decimal" allowBlank="1" showInputMessage="1" showErrorMessage="1" errorTitle="Invalid Correlation Value" promptTitle="Enter a value between 1 and 0" prompt="This value represents the pair-wise correlation between all assets in the portfolio. Note that in reality you can have negative correlations, but applying that assumption across all assets is unrealistic." sqref="D3" xr:uid="{5499A7DB-CE1C-4F0D-BF36-6B78DE8DAB5C}">
      <formula1>0</formula1>
      <formula2>1</formula2>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D7B9D-8614-4EDD-8641-2672FE48451B}">
  <dimension ref="A1:AM43"/>
  <sheetViews>
    <sheetView tabSelected="1" zoomScale="85" zoomScaleNormal="85" workbookViewId="0">
      <selection activeCell="G49" sqref="G49"/>
    </sheetView>
  </sheetViews>
  <sheetFormatPr defaultRowHeight="15" x14ac:dyDescent="0.25"/>
  <cols>
    <col min="2" max="2" width="11.42578125" customWidth="1"/>
    <col min="3" max="12" width="8.85546875" customWidth="1"/>
    <col min="13" max="13" width="9.5703125" customWidth="1"/>
    <col min="14" max="26" width="8.85546875" customWidth="1"/>
    <col min="27" max="27" width="9.42578125" customWidth="1"/>
    <col min="28" max="28" width="17.42578125" customWidth="1"/>
    <col min="29" max="29" width="13.28515625" customWidth="1"/>
  </cols>
  <sheetData>
    <row r="1" spans="1:39" ht="15" customHeight="1" x14ac:dyDescent="0.25">
      <c r="A1" s="198" t="s">
        <v>45</v>
      </c>
      <c r="B1" s="199"/>
      <c r="C1" s="199"/>
      <c r="D1" s="199"/>
      <c r="E1" s="199"/>
      <c r="F1" s="199"/>
      <c r="G1" s="199"/>
      <c r="H1" s="199"/>
      <c r="I1" s="199"/>
      <c r="J1" s="199"/>
      <c r="K1" s="199"/>
      <c r="L1" s="199"/>
      <c r="M1" s="199"/>
      <c r="N1" s="199"/>
      <c r="O1" s="199"/>
      <c r="P1" s="199"/>
      <c r="Q1" s="199"/>
      <c r="R1" s="199"/>
      <c r="S1" s="199"/>
      <c r="T1" s="199"/>
      <c r="U1" s="199"/>
      <c r="V1" s="199"/>
      <c r="W1" s="199"/>
      <c r="X1" s="199"/>
      <c r="Y1" s="199"/>
      <c r="Z1" s="199"/>
      <c r="AA1" s="199"/>
      <c r="AB1" s="199"/>
      <c r="AC1" s="199"/>
      <c r="AD1" s="199"/>
      <c r="AE1" s="199"/>
      <c r="AF1" s="199"/>
      <c r="AG1" s="199"/>
      <c r="AH1" s="199"/>
      <c r="AI1" s="199"/>
      <c r="AJ1" s="199"/>
      <c r="AK1" s="199"/>
      <c r="AL1" s="199"/>
      <c r="AM1" s="200"/>
    </row>
    <row r="2" spans="1:39" ht="15" customHeight="1" x14ac:dyDescent="0.25">
      <c r="A2" s="201"/>
      <c r="B2" s="202"/>
      <c r="C2" s="202"/>
      <c r="D2" s="202"/>
      <c r="E2" s="202"/>
      <c r="F2" s="202"/>
      <c r="G2" s="202"/>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3"/>
    </row>
    <row r="3" spans="1:39" ht="15" customHeight="1" thickBot="1" x14ac:dyDescent="0.3">
      <c r="A3" s="201"/>
      <c r="B3" s="202"/>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202"/>
      <c r="AG3" s="202"/>
      <c r="AH3" s="202"/>
      <c r="AI3" s="202"/>
      <c r="AJ3" s="202"/>
      <c r="AK3" s="202"/>
      <c r="AL3" s="202"/>
      <c r="AM3" s="203"/>
    </row>
    <row r="4" spans="1:39" ht="17.25" customHeight="1" x14ac:dyDescent="0.25">
      <c r="A4" s="198" t="s">
        <v>0</v>
      </c>
      <c r="B4" s="199"/>
      <c r="C4" s="199"/>
      <c r="D4" s="199"/>
      <c r="E4" s="199"/>
      <c r="F4" s="199"/>
      <c r="G4" s="199"/>
      <c r="H4" s="199"/>
      <c r="I4" s="199"/>
      <c r="J4" s="199"/>
      <c r="K4" s="199"/>
      <c r="L4" s="199"/>
      <c r="M4" s="199"/>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200"/>
    </row>
    <row r="5" spans="1:39" ht="15.75" customHeight="1" thickBot="1" x14ac:dyDescent="0.3">
      <c r="A5" s="204"/>
      <c r="B5" s="205"/>
      <c r="C5" s="205"/>
      <c r="D5" s="205"/>
      <c r="E5" s="205"/>
      <c r="F5" s="205"/>
      <c r="G5" s="205"/>
      <c r="H5" s="205"/>
      <c r="I5" s="205"/>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6"/>
    </row>
    <row r="6" spans="1:39" ht="15.75" customHeight="1" thickBot="1" x14ac:dyDescent="0.3">
      <c r="A6" s="214" t="s">
        <v>77</v>
      </c>
      <c r="B6" s="215"/>
      <c r="C6" s="215"/>
      <c r="D6" s="215"/>
      <c r="E6" s="215"/>
      <c r="F6" s="215"/>
      <c r="G6" s="215"/>
      <c r="H6" s="215"/>
      <c r="I6" s="215"/>
      <c r="J6" s="215"/>
      <c r="K6" s="215"/>
      <c r="L6" s="215"/>
      <c r="M6" s="215"/>
      <c r="N6" s="215"/>
      <c r="O6" s="215"/>
      <c r="P6" s="215"/>
      <c r="Q6" s="215"/>
      <c r="R6" s="215"/>
      <c r="S6" s="215"/>
      <c r="T6" s="215"/>
      <c r="U6" s="215"/>
      <c r="V6" s="215"/>
      <c r="W6" s="215"/>
      <c r="X6" s="215"/>
      <c r="Y6" s="215"/>
      <c r="Z6" s="215"/>
      <c r="AA6" s="215"/>
      <c r="AB6" s="215"/>
      <c r="AC6" s="215"/>
      <c r="AD6" s="215"/>
      <c r="AE6" s="215"/>
      <c r="AF6" s="215"/>
      <c r="AG6" s="215"/>
      <c r="AH6" s="215"/>
      <c r="AI6" s="215"/>
      <c r="AJ6" s="215"/>
      <c r="AK6" s="215"/>
      <c r="AL6" s="215"/>
      <c r="AM6" s="216"/>
    </row>
    <row r="7" spans="1:39" ht="15.75" thickBot="1" x14ac:dyDescent="0.3"/>
    <row r="8" spans="1:39" ht="15.75" thickBot="1" x14ac:dyDescent="0.3">
      <c r="B8" s="45" t="s">
        <v>46</v>
      </c>
      <c r="C8" s="46" t="str">
        <f>IF($B$9="","",$B$9)</f>
        <v>LVS</v>
      </c>
      <c r="D8" s="46" t="str">
        <f>IF($B$10="","",$B$10)</f>
        <v>BBY</v>
      </c>
      <c r="E8" s="46" t="str">
        <f>IF($B$11="","",$B$11)</f>
        <v>LEN</v>
      </c>
      <c r="F8" s="46" t="str">
        <f>IF($B$12="","",$B$12)</f>
        <v>SPLK</v>
      </c>
      <c r="G8" s="46" t="str">
        <f>IF($B$13="","",$B$13)</f>
        <v>VTRS</v>
      </c>
      <c r="H8" s="46" t="str">
        <f>IF($B$14="","",$B$14)</f>
        <v>XPO</v>
      </c>
      <c r="I8" s="46" t="str">
        <f>IF($B$15="","",$B$15)</f>
        <v>MOS</v>
      </c>
      <c r="J8" s="46" t="str">
        <f>IF($B$16="","",$B$16)</f>
        <v>FEYE</v>
      </c>
      <c r="K8" s="46" t="str">
        <f>IF($B$17="","",$B$17)</f>
        <v>TTEC</v>
      </c>
      <c r="L8" s="46" t="str">
        <f>IF($B$18="","",$B$18)</f>
        <v>WING</v>
      </c>
      <c r="M8" s="46" t="str">
        <f>IF($B$19="","",$B$19)</f>
        <v/>
      </c>
      <c r="N8" s="46" t="str">
        <f>IF($B$20="","",$B$20)</f>
        <v/>
      </c>
      <c r="O8" s="46" t="str">
        <f>IF($B$21="","",$B$21)</f>
        <v/>
      </c>
      <c r="P8" s="46" t="str">
        <f>IF($B$22="","",$B$22)</f>
        <v/>
      </c>
      <c r="Q8" s="46" t="str">
        <f>IF($B$23="","",$B$23)</f>
        <v/>
      </c>
      <c r="R8" s="46" t="str">
        <f>IF($B$24="","",$B$24)</f>
        <v/>
      </c>
      <c r="S8" s="46" t="str">
        <f>IF($B$25="","",$B$25)</f>
        <v/>
      </c>
      <c r="T8" s="46" t="str">
        <f>IF($B$26="","",$B$26)</f>
        <v/>
      </c>
      <c r="U8" s="46" t="str">
        <f>IF($B$27="","",$B$27)</f>
        <v/>
      </c>
      <c r="V8" s="46" t="str">
        <f>IF($B$28="","",$B$28)</f>
        <v/>
      </c>
      <c r="W8" s="46" t="str">
        <f>IF($B$29="","",$B$29)</f>
        <v/>
      </c>
      <c r="X8" s="46" t="str">
        <f>IF($B$30="","",$B$30)</f>
        <v/>
      </c>
      <c r="Y8" s="46" t="str">
        <f>IF($B$31="","",$B$31)</f>
        <v/>
      </c>
      <c r="Z8" s="46" t="str">
        <f>IF($B$32="","",$B$32)</f>
        <v/>
      </c>
      <c r="AA8" s="46" t="str">
        <f>IF($B$33="","",$B$33)</f>
        <v/>
      </c>
      <c r="AB8" s="51" t="s">
        <v>50</v>
      </c>
      <c r="AC8" s="45" t="s">
        <v>47</v>
      </c>
    </row>
    <row r="9" spans="1:39" ht="15" customHeight="1" x14ac:dyDescent="0.25">
      <c r="A9" s="47"/>
      <c r="B9" s="91" t="s">
        <v>3</v>
      </c>
      <c r="C9" s="67">
        <f ca="1">IF(OR(C$8="",$B9=""),"",_xlfn.COVARIANCE.S(INDIRECT("'Asset Returns'!"&amp;SUBSTITUTE(ADDRESS(1,MATCH(C$8,'Asset Returns'!$1:$1,0),4),1,"")&amp;":"&amp;SUBSTITUTE(ADDRESS(1,MATCH(C$8,'Asset Returns'!$1:$1,0),4),1,"")),INDIRECT("'Asset Returns'!"&amp;SUBSTITUTE(ADDRESS(1,MATCH($B9,'Asset Returns'!$1:$1,0),4),1,"")&amp;":"&amp;SUBSTITUTE(ADDRESS(1,MATCH($B9,'Asset Returns'!$1:$1,0),4),1,""))))</f>
        <v>2.5693352115858871E-3</v>
      </c>
      <c r="D9" s="68">
        <f ca="1">IF(OR(D$8="",$B9=""),"",_xlfn.COVARIANCE.S(INDIRECT("'Asset Returns'!"&amp;SUBSTITUTE(ADDRESS(1,MATCH(D$8,'Asset Returns'!$1:$1,0),4),1,"")&amp;":"&amp;SUBSTITUTE(ADDRESS(1,MATCH(D$8,'Asset Returns'!$1:$1,0),4),1,"")),INDIRECT("'Asset Returns'!"&amp;SUBSTITUTE(ADDRESS(1,MATCH($B9,'Asset Returns'!$1:$1,0),4),1,"")&amp;":"&amp;SUBSTITUTE(ADDRESS(1,MATCH($B9,'Asset Returns'!$1:$1,0),4),1,""))))</f>
        <v>1.0442656834557442E-3</v>
      </c>
      <c r="E9" s="68">
        <f ca="1">IF(OR(E$8="",$B9=""),"",_xlfn.COVARIANCE.S(INDIRECT("'Asset Returns'!"&amp;SUBSTITUTE(ADDRESS(1,MATCH(E$8,'Asset Returns'!$1:$1,0),4),1,"")&amp;":"&amp;SUBSTITUTE(ADDRESS(1,MATCH(E$8,'Asset Returns'!$1:$1,0),4),1,"")),INDIRECT("'Asset Returns'!"&amp;SUBSTITUTE(ADDRESS(1,MATCH($B9,'Asset Returns'!$1:$1,0),4),1,"")&amp;":"&amp;SUBSTITUTE(ADDRESS(1,MATCH($B9,'Asset Returns'!$1:$1,0),4),1,""))))</f>
        <v>1.3446493348913827E-3</v>
      </c>
      <c r="F9" s="68">
        <f ca="1">IF(OR(F$8="",$B9=""),"",_xlfn.COVARIANCE.S(INDIRECT("'Asset Returns'!"&amp;SUBSTITUTE(ADDRESS(1,MATCH(F$8,'Asset Returns'!$1:$1,0),4),1,"")&amp;":"&amp;SUBSTITUTE(ADDRESS(1,MATCH(F$8,'Asset Returns'!$1:$1,0),4),1,"")),INDIRECT("'Asset Returns'!"&amp;SUBSTITUTE(ADDRESS(1,MATCH($B9,'Asset Returns'!$1:$1,0),4),1,"")&amp;":"&amp;SUBSTITUTE(ADDRESS(1,MATCH($B9,'Asset Returns'!$1:$1,0),4),1,""))))</f>
        <v>1.288086396546752E-3</v>
      </c>
      <c r="G9" s="68">
        <f ca="1">IF(OR(G$8="",$B9=""),"",_xlfn.COVARIANCE.S(INDIRECT("'Asset Returns'!"&amp;SUBSTITUTE(ADDRESS(1,MATCH(G$8,'Asset Returns'!$1:$1,0),4),1,"")&amp;":"&amp;SUBSTITUTE(ADDRESS(1,MATCH(G$8,'Asset Returns'!$1:$1,0),4),1,"")),INDIRECT("'Asset Returns'!"&amp;SUBSTITUTE(ADDRESS(1,MATCH($B9,'Asset Returns'!$1:$1,0),4),1,"")&amp;":"&amp;SUBSTITUTE(ADDRESS(1,MATCH($B9,'Asset Returns'!$1:$1,0),4),1,""))))</f>
        <v>1.0179733001570855E-3</v>
      </c>
      <c r="H9" s="68">
        <f ca="1">IF(OR(H$8="",$B9=""),"",_xlfn.COVARIANCE.S(INDIRECT("'Asset Returns'!"&amp;SUBSTITUTE(ADDRESS(1,MATCH(H$8,'Asset Returns'!$1:$1,0),4),1,"")&amp;":"&amp;SUBSTITUTE(ADDRESS(1,MATCH(H$8,'Asset Returns'!$1:$1,0),4),1,"")),INDIRECT("'Asset Returns'!"&amp;SUBSTITUTE(ADDRESS(1,MATCH($B9,'Asset Returns'!$1:$1,0),4),1,"")&amp;":"&amp;SUBSTITUTE(ADDRESS(1,MATCH($B9,'Asset Returns'!$1:$1,0),4),1,""))))</f>
        <v>1.9912436863463562E-3</v>
      </c>
      <c r="I9" s="68">
        <f ca="1">IF(OR(I$8="",$B9=""),"",_xlfn.COVARIANCE.S(INDIRECT("'Asset Returns'!"&amp;SUBSTITUTE(ADDRESS(1,MATCH(I$8,'Asset Returns'!$1:$1,0),4),1,"")&amp;":"&amp;SUBSTITUTE(ADDRESS(1,MATCH(I$8,'Asset Returns'!$1:$1,0),4),1,"")),INDIRECT("'Asset Returns'!"&amp;SUBSTITUTE(ADDRESS(1,MATCH($B9,'Asset Returns'!$1:$1,0),4),1,"")&amp;":"&amp;SUBSTITUTE(ADDRESS(1,MATCH($B9,'Asset Returns'!$1:$1,0),4),1,""))))</f>
        <v>1.7004949715806515E-3</v>
      </c>
      <c r="J9" s="68">
        <f ca="1">IF(OR(J$8="",$B9=""),"",_xlfn.COVARIANCE.S(INDIRECT("'Asset Returns'!"&amp;SUBSTITUTE(ADDRESS(1,MATCH(J$8,'Asset Returns'!$1:$1,0),4),1,"")&amp;":"&amp;SUBSTITUTE(ADDRESS(1,MATCH(J$8,'Asset Returns'!$1:$1,0),4),1,"")),INDIRECT("'Asset Returns'!"&amp;SUBSTITUTE(ADDRESS(1,MATCH($B9,'Asset Returns'!$1:$1,0),4),1,"")&amp;":"&amp;SUBSTITUTE(ADDRESS(1,MATCH($B9,'Asset Returns'!$1:$1,0),4),1,""))))</f>
        <v>1.1818069444406807E-3</v>
      </c>
      <c r="K9" s="68">
        <f ca="1">IF(OR(K$8="",$B9=""),"",_xlfn.COVARIANCE.S(INDIRECT("'Asset Returns'!"&amp;SUBSTITUTE(ADDRESS(1,MATCH(K$8,'Asset Returns'!$1:$1,0),4),1,"")&amp;":"&amp;SUBSTITUTE(ADDRESS(1,MATCH(K$8,'Asset Returns'!$1:$1,0),4),1,"")),INDIRECT("'Asset Returns'!"&amp;SUBSTITUTE(ADDRESS(1,MATCH($B9,'Asset Returns'!$1:$1,0),4),1,"")&amp;":"&amp;SUBSTITUTE(ADDRESS(1,MATCH($B9,'Asset Returns'!$1:$1,0),4),1,""))))</f>
        <v>9.7502376092702906E-4</v>
      </c>
      <c r="L9" s="68">
        <f ca="1">IF(OR(L$8="",$B9=""),"",_xlfn.COVARIANCE.S(INDIRECT("'Asset Returns'!"&amp;SUBSTITUTE(ADDRESS(1,MATCH(L$8,'Asset Returns'!$1:$1,0),4),1,"")&amp;":"&amp;SUBSTITUTE(ADDRESS(1,MATCH(L$8,'Asset Returns'!$1:$1,0),4),1,"")),INDIRECT("'Asset Returns'!"&amp;SUBSTITUTE(ADDRESS(1,MATCH($B9,'Asset Returns'!$1:$1,0),4),1,"")&amp;":"&amp;SUBSTITUTE(ADDRESS(1,MATCH($B9,'Asset Returns'!$1:$1,0),4),1,""))))</f>
        <v>9.1555616370094363E-4</v>
      </c>
      <c r="M9" s="68" t="str">
        <f ca="1">IF(OR(M$8="",$B9=""),"",_xlfn.COVARIANCE.S(INDIRECT("'Asset Returns'!"&amp;SUBSTITUTE(ADDRESS(1,MATCH(M$8,'Asset Returns'!$1:$1,0),4),1,"")&amp;":"&amp;SUBSTITUTE(ADDRESS(1,MATCH(M$8,'Asset Returns'!$1:$1,0),4),1,"")),INDIRECT("'Asset Returns'!"&amp;SUBSTITUTE(ADDRESS(1,MATCH($B9,'Asset Returns'!$1:$1,0),4),1,"")&amp;":"&amp;SUBSTITUTE(ADDRESS(1,MATCH($B9,'Asset Returns'!$1:$1,0),4),1,""))))</f>
        <v/>
      </c>
      <c r="N9" s="68" t="str">
        <f ca="1">IF(OR(N$8="",$B9=""),"",_xlfn.COVARIANCE.S(INDIRECT("'Asset Returns'!"&amp;SUBSTITUTE(ADDRESS(1,MATCH(N$8,'Asset Returns'!$1:$1,0),4),1,"")&amp;":"&amp;SUBSTITUTE(ADDRESS(1,MATCH(N$8,'Asset Returns'!$1:$1,0),4),1,"")),INDIRECT("'Asset Returns'!"&amp;SUBSTITUTE(ADDRESS(1,MATCH($B9,'Asset Returns'!$1:$1,0),4),1,"")&amp;":"&amp;SUBSTITUTE(ADDRESS(1,MATCH($B9,'Asset Returns'!$1:$1,0),4),1,""))))</f>
        <v/>
      </c>
      <c r="O9" s="68" t="str">
        <f ca="1">IF(OR(O$8="",$B9=""),"",_xlfn.COVARIANCE.S(INDIRECT("'Asset Returns'!"&amp;SUBSTITUTE(ADDRESS(1,MATCH(O$8,'Asset Returns'!$1:$1,0),4),1,"")&amp;":"&amp;SUBSTITUTE(ADDRESS(1,MATCH(O$8,'Asset Returns'!$1:$1,0),4),1,"")),INDIRECT("'Asset Returns'!"&amp;SUBSTITUTE(ADDRESS(1,MATCH($B9,'Asset Returns'!$1:$1,0),4),1,"")&amp;":"&amp;SUBSTITUTE(ADDRESS(1,MATCH($B9,'Asset Returns'!$1:$1,0),4),1,""))))</f>
        <v/>
      </c>
      <c r="P9" s="68" t="str">
        <f ca="1">IF(OR(P$8="",$B9=""),"",_xlfn.COVARIANCE.S(INDIRECT("'Asset Returns'!"&amp;SUBSTITUTE(ADDRESS(1,MATCH(P$8,'Asset Returns'!$1:$1,0),4),1,"")&amp;":"&amp;SUBSTITUTE(ADDRESS(1,MATCH(P$8,'Asset Returns'!$1:$1,0),4),1,"")),INDIRECT("'Asset Returns'!"&amp;SUBSTITUTE(ADDRESS(1,MATCH($B9,'Asset Returns'!$1:$1,0),4),1,"")&amp;":"&amp;SUBSTITUTE(ADDRESS(1,MATCH($B9,'Asset Returns'!$1:$1,0),4),1,""))))</f>
        <v/>
      </c>
      <c r="Q9" s="68" t="str">
        <f ca="1">IF(OR(Q$8="",$B9=""),"",_xlfn.COVARIANCE.S(INDIRECT("'Asset Returns'!"&amp;SUBSTITUTE(ADDRESS(1,MATCH(Q$8,'Asset Returns'!$1:$1,0),4),1,"")&amp;":"&amp;SUBSTITUTE(ADDRESS(1,MATCH(Q$8,'Asset Returns'!$1:$1,0),4),1,"")),INDIRECT("'Asset Returns'!"&amp;SUBSTITUTE(ADDRESS(1,MATCH($B9,'Asset Returns'!$1:$1,0),4),1,"")&amp;":"&amp;SUBSTITUTE(ADDRESS(1,MATCH($B9,'Asset Returns'!$1:$1,0),4),1,""))))</f>
        <v/>
      </c>
      <c r="R9" s="68" t="str">
        <f ca="1">IF(OR(R$8="",$B9=""),"",_xlfn.COVARIANCE.S(INDIRECT("'Asset Returns'!"&amp;SUBSTITUTE(ADDRESS(1,MATCH(R$8,'Asset Returns'!$1:$1,0),4),1,"")&amp;":"&amp;SUBSTITUTE(ADDRESS(1,MATCH(R$8,'Asset Returns'!$1:$1,0),4),1,"")),INDIRECT("'Asset Returns'!"&amp;SUBSTITUTE(ADDRESS(1,MATCH($B9,'Asset Returns'!$1:$1,0),4),1,"")&amp;":"&amp;SUBSTITUTE(ADDRESS(1,MATCH($B9,'Asset Returns'!$1:$1,0),4),1,""))))</f>
        <v/>
      </c>
      <c r="S9" s="68" t="str">
        <f ca="1">IF(OR(S$8="",$B9=""),"",_xlfn.COVARIANCE.S(INDIRECT("'Asset Returns'!"&amp;SUBSTITUTE(ADDRESS(1,MATCH(S$8,'Asset Returns'!$1:$1,0),4),1,"")&amp;":"&amp;SUBSTITUTE(ADDRESS(1,MATCH(S$8,'Asset Returns'!$1:$1,0),4),1,"")),INDIRECT("'Asset Returns'!"&amp;SUBSTITUTE(ADDRESS(1,MATCH($B9,'Asset Returns'!$1:$1,0),4),1,"")&amp;":"&amp;SUBSTITUTE(ADDRESS(1,MATCH($B9,'Asset Returns'!$1:$1,0),4),1,""))))</f>
        <v/>
      </c>
      <c r="T9" s="68" t="str">
        <f ca="1">IF(OR(T$8="",$B9=""),"",_xlfn.COVARIANCE.S(INDIRECT("'Asset Returns'!"&amp;SUBSTITUTE(ADDRESS(1,MATCH(T$8,'Asset Returns'!$1:$1,0),4),1,"")&amp;":"&amp;SUBSTITUTE(ADDRESS(1,MATCH(T$8,'Asset Returns'!$1:$1,0),4),1,"")),INDIRECT("'Asset Returns'!"&amp;SUBSTITUTE(ADDRESS(1,MATCH($B9,'Asset Returns'!$1:$1,0),4),1,"")&amp;":"&amp;SUBSTITUTE(ADDRESS(1,MATCH($B9,'Asset Returns'!$1:$1,0),4),1,""))))</f>
        <v/>
      </c>
      <c r="U9" s="68" t="str">
        <f ca="1">IF(OR(U$8="",$B9=""),"",_xlfn.COVARIANCE.S(INDIRECT("'Asset Returns'!"&amp;SUBSTITUTE(ADDRESS(1,MATCH(U$8,'Asset Returns'!$1:$1,0),4),1,"")&amp;":"&amp;SUBSTITUTE(ADDRESS(1,MATCH(U$8,'Asset Returns'!$1:$1,0),4),1,"")),INDIRECT("'Asset Returns'!"&amp;SUBSTITUTE(ADDRESS(1,MATCH($B9,'Asset Returns'!$1:$1,0),4),1,"")&amp;":"&amp;SUBSTITUTE(ADDRESS(1,MATCH($B9,'Asset Returns'!$1:$1,0),4),1,""))))</f>
        <v/>
      </c>
      <c r="V9" s="68" t="str">
        <f ca="1">IF(OR(V$8="",$B9=""),"",_xlfn.COVARIANCE.S(INDIRECT("'Asset Returns'!"&amp;SUBSTITUTE(ADDRESS(1,MATCH(V$8,'Asset Returns'!$1:$1,0),4),1,"")&amp;":"&amp;SUBSTITUTE(ADDRESS(1,MATCH(V$8,'Asset Returns'!$1:$1,0),4),1,"")),INDIRECT("'Asset Returns'!"&amp;SUBSTITUTE(ADDRESS(1,MATCH($B9,'Asset Returns'!$1:$1,0),4),1,"")&amp;":"&amp;SUBSTITUTE(ADDRESS(1,MATCH($B9,'Asset Returns'!$1:$1,0),4),1,""))))</f>
        <v/>
      </c>
      <c r="W9" s="68" t="str">
        <f ca="1">IF(OR(W$8="",$B9=""),"",_xlfn.COVARIANCE.S(INDIRECT("'Asset Returns'!"&amp;SUBSTITUTE(ADDRESS(1,MATCH(W$8,'Asset Returns'!$1:$1,0),4),1,"")&amp;":"&amp;SUBSTITUTE(ADDRESS(1,MATCH(W$8,'Asset Returns'!$1:$1,0),4),1,"")),INDIRECT("'Asset Returns'!"&amp;SUBSTITUTE(ADDRESS(1,MATCH($B9,'Asset Returns'!$1:$1,0),4),1,"")&amp;":"&amp;SUBSTITUTE(ADDRESS(1,MATCH($B9,'Asset Returns'!$1:$1,0),4),1,""))))</f>
        <v/>
      </c>
      <c r="X9" s="68" t="str">
        <f ca="1">IF(OR(X$8="",$B9=""),"",_xlfn.COVARIANCE.S(INDIRECT("'Asset Returns'!"&amp;SUBSTITUTE(ADDRESS(1,MATCH(X$8,'Asset Returns'!$1:$1,0),4),1,"")&amp;":"&amp;SUBSTITUTE(ADDRESS(1,MATCH(X$8,'Asset Returns'!$1:$1,0),4),1,"")),INDIRECT("'Asset Returns'!"&amp;SUBSTITUTE(ADDRESS(1,MATCH($B9,'Asset Returns'!$1:$1,0),4),1,"")&amp;":"&amp;SUBSTITUTE(ADDRESS(1,MATCH($B9,'Asset Returns'!$1:$1,0),4),1,""))))</f>
        <v/>
      </c>
      <c r="Y9" s="68" t="str">
        <f ca="1">IF(OR(Y$8="",$B9=""),"",_xlfn.COVARIANCE.S(INDIRECT("'Asset Returns'!"&amp;SUBSTITUTE(ADDRESS(1,MATCH(Y$8,'Asset Returns'!$1:$1,0),4),1,"")&amp;":"&amp;SUBSTITUTE(ADDRESS(1,MATCH(Y$8,'Asset Returns'!$1:$1,0),4),1,"")),INDIRECT("'Asset Returns'!"&amp;SUBSTITUTE(ADDRESS(1,MATCH($B9,'Asset Returns'!$1:$1,0),4),1,"")&amp;":"&amp;SUBSTITUTE(ADDRESS(1,MATCH($B9,'Asset Returns'!$1:$1,0),4),1,""))))</f>
        <v/>
      </c>
      <c r="Z9" s="68" t="str">
        <f ca="1">IF(OR(Z$8="",$B9=""),"",_xlfn.COVARIANCE.S(INDIRECT("'Asset Returns'!"&amp;SUBSTITUTE(ADDRESS(1,MATCH(Z$8,'Asset Returns'!$1:$1,0),4),1,"")&amp;":"&amp;SUBSTITUTE(ADDRESS(1,MATCH(Z$8,'Asset Returns'!$1:$1,0),4),1,"")),INDIRECT("'Asset Returns'!"&amp;SUBSTITUTE(ADDRESS(1,MATCH($B9,'Asset Returns'!$1:$1,0),4),1,"")&amp;":"&amp;SUBSTITUTE(ADDRESS(1,MATCH($B9,'Asset Returns'!$1:$1,0),4),1,""))))</f>
        <v/>
      </c>
      <c r="AA9" s="68" t="str">
        <f ca="1">IF(OR(AA$8="",$B9=""),"",_xlfn.COVARIANCE.S(INDIRECT("'Asset Returns'!"&amp;SUBSTITUTE(ADDRESS(1,MATCH(AA$8,'Asset Returns'!$1:$1,0),4),1,"")&amp;":"&amp;SUBSTITUTE(ADDRESS(1,MATCH(AA$8,'Asset Returns'!$1:$1,0),4),1,"")),INDIRECT("'Asset Returns'!"&amp;SUBSTITUTE(ADDRESS(1,MATCH($B9,'Asset Returns'!$1:$1,0),4),1,"")&amp;":"&amp;SUBSTITUTE(ADDRESS(1,MATCH($B9,'Asset Returns'!$1:$1,0),4),1,""))))</f>
        <v/>
      </c>
      <c r="AB9" s="95">
        <v>-12500</v>
      </c>
      <c r="AC9" s="50">
        <f>IF(AB9="","",AB9/$AB$34)</f>
        <v>-0.12500250005000099</v>
      </c>
      <c r="AE9" s="207" t="s">
        <v>60</v>
      </c>
      <c r="AF9" s="207"/>
      <c r="AG9" s="207"/>
      <c r="AH9" s="207"/>
      <c r="AI9" s="207"/>
      <c r="AJ9" s="207"/>
      <c r="AK9" s="207"/>
      <c r="AL9" s="207"/>
      <c r="AM9" s="207"/>
    </row>
    <row r="10" spans="1:39" x14ac:dyDescent="0.25">
      <c r="A10" s="47"/>
      <c r="B10" s="92" t="s">
        <v>5</v>
      </c>
      <c r="C10" s="69">
        <f ca="1">IF(OR(C$8="",$B10=""),"",_xlfn.COVARIANCE.S(INDIRECT("'Asset Returns'!"&amp;SUBSTITUTE(ADDRESS(1,MATCH(C$8,'Asset Returns'!$1:$1,0),4),1,"")&amp;":"&amp;SUBSTITUTE(ADDRESS(1,MATCH(C$8,'Asset Returns'!$1:$1,0),4),1,"")),INDIRECT("'Asset Returns'!"&amp;SUBSTITUTE(ADDRESS(1,MATCH($B10,'Asset Returns'!$1:$1,0),4),1,"")&amp;":"&amp;SUBSTITUTE(ADDRESS(1,MATCH($B10,'Asset Returns'!$1:$1,0),4),1,""))))</f>
        <v>1.0442656834557442E-3</v>
      </c>
      <c r="D10" s="70">
        <f ca="1">IF(OR(D$8="",$B10=""),"",_xlfn.COVARIANCE.S(INDIRECT("'Asset Returns'!"&amp;SUBSTITUTE(ADDRESS(1,MATCH(D$8,'Asset Returns'!$1:$1,0),4),1,"")&amp;":"&amp;SUBSTITUTE(ADDRESS(1,MATCH(D$8,'Asset Returns'!$1:$1,0),4),1,"")),INDIRECT("'Asset Returns'!"&amp;SUBSTITUTE(ADDRESS(1,MATCH($B10,'Asset Returns'!$1:$1,0),4),1,"")&amp;":"&amp;SUBSTITUTE(ADDRESS(1,MATCH($B10,'Asset Returns'!$1:$1,0),4),1,""))))</f>
        <v>2.8628808634146505E-3</v>
      </c>
      <c r="E10" s="70">
        <f ca="1">IF(OR(E$8="",$B10=""),"",_xlfn.COVARIANCE.S(INDIRECT("'Asset Returns'!"&amp;SUBSTITUTE(ADDRESS(1,MATCH(E$8,'Asset Returns'!$1:$1,0),4),1,"")&amp;":"&amp;SUBSTITUTE(ADDRESS(1,MATCH(E$8,'Asset Returns'!$1:$1,0),4),1,"")),INDIRECT("'Asset Returns'!"&amp;SUBSTITUTE(ADDRESS(1,MATCH($B10,'Asset Returns'!$1:$1,0),4),1,"")&amp;":"&amp;SUBSTITUTE(ADDRESS(1,MATCH($B10,'Asset Returns'!$1:$1,0),4),1,""))))</f>
        <v>1.5466633847027683E-3</v>
      </c>
      <c r="F10" s="70">
        <f ca="1">IF(OR(F$8="",$B10=""),"",_xlfn.COVARIANCE.S(INDIRECT("'Asset Returns'!"&amp;SUBSTITUTE(ADDRESS(1,MATCH(F$8,'Asset Returns'!$1:$1,0),4),1,"")&amp;":"&amp;SUBSTITUTE(ADDRESS(1,MATCH(F$8,'Asset Returns'!$1:$1,0),4),1,"")),INDIRECT("'Asset Returns'!"&amp;SUBSTITUTE(ADDRESS(1,MATCH($B10,'Asset Returns'!$1:$1,0),4),1,"")&amp;":"&amp;SUBSTITUTE(ADDRESS(1,MATCH($B10,'Asset Returns'!$1:$1,0),4),1,""))))</f>
        <v>1.4798757649591009E-3</v>
      </c>
      <c r="G10" s="70">
        <f ca="1">IF(OR(G$8="",$B10=""),"",_xlfn.COVARIANCE.S(INDIRECT("'Asset Returns'!"&amp;SUBSTITUTE(ADDRESS(1,MATCH(G$8,'Asset Returns'!$1:$1,0),4),1,"")&amp;":"&amp;SUBSTITUTE(ADDRESS(1,MATCH(G$8,'Asset Returns'!$1:$1,0),4),1,"")),INDIRECT("'Asset Returns'!"&amp;SUBSTITUTE(ADDRESS(1,MATCH($B10,'Asset Returns'!$1:$1,0),4),1,"")&amp;":"&amp;SUBSTITUTE(ADDRESS(1,MATCH($B10,'Asset Returns'!$1:$1,0),4),1,""))))</f>
        <v>8.0579200173556726E-4</v>
      </c>
      <c r="H10" s="70">
        <f ca="1">IF(OR(H$8="",$B10=""),"",_xlfn.COVARIANCE.S(INDIRECT("'Asset Returns'!"&amp;SUBSTITUTE(ADDRESS(1,MATCH(H$8,'Asset Returns'!$1:$1,0),4),1,"")&amp;":"&amp;SUBSTITUTE(ADDRESS(1,MATCH(H$8,'Asset Returns'!$1:$1,0),4),1,"")),INDIRECT("'Asset Returns'!"&amp;SUBSTITUTE(ADDRESS(1,MATCH($B10,'Asset Returns'!$1:$1,0),4),1,"")&amp;":"&amp;SUBSTITUTE(ADDRESS(1,MATCH($B10,'Asset Returns'!$1:$1,0),4),1,""))))</f>
        <v>1.7849950284989499E-3</v>
      </c>
      <c r="I10" s="70">
        <f ca="1">IF(OR(I$8="",$B10=""),"",_xlfn.COVARIANCE.S(INDIRECT("'Asset Returns'!"&amp;SUBSTITUTE(ADDRESS(1,MATCH(I$8,'Asset Returns'!$1:$1,0),4),1,"")&amp;":"&amp;SUBSTITUTE(ADDRESS(1,MATCH(I$8,'Asset Returns'!$1:$1,0),4),1,"")),INDIRECT("'Asset Returns'!"&amp;SUBSTITUTE(ADDRESS(1,MATCH($B10,'Asset Returns'!$1:$1,0),4),1,"")&amp;":"&amp;SUBSTITUTE(ADDRESS(1,MATCH($B10,'Asset Returns'!$1:$1,0),4),1,""))))</f>
        <v>1.5143672187904636E-3</v>
      </c>
      <c r="J10" s="70">
        <f ca="1">IF(OR(J$8="",$B10=""),"",_xlfn.COVARIANCE.S(INDIRECT("'Asset Returns'!"&amp;SUBSTITUTE(ADDRESS(1,MATCH(J$8,'Asset Returns'!$1:$1,0),4),1,"")&amp;":"&amp;SUBSTITUTE(ADDRESS(1,MATCH(J$8,'Asset Returns'!$1:$1,0),4),1,"")),INDIRECT("'Asset Returns'!"&amp;SUBSTITUTE(ADDRESS(1,MATCH($B10,'Asset Returns'!$1:$1,0),4),1,"")&amp;":"&amp;SUBSTITUTE(ADDRESS(1,MATCH($B10,'Asset Returns'!$1:$1,0),4),1,""))))</f>
        <v>1.419669140456952E-3</v>
      </c>
      <c r="K10" s="70">
        <f ca="1">IF(OR(K$8="",$B10=""),"",_xlfn.COVARIANCE.S(INDIRECT("'Asset Returns'!"&amp;SUBSTITUTE(ADDRESS(1,MATCH(K$8,'Asset Returns'!$1:$1,0),4),1,"")&amp;":"&amp;SUBSTITUTE(ADDRESS(1,MATCH(K$8,'Asset Returns'!$1:$1,0),4),1,"")),INDIRECT("'Asset Returns'!"&amp;SUBSTITUTE(ADDRESS(1,MATCH($B10,'Asset Returns'!$1:$1,0),4),1,"")&amp;":"&amp;SUBSTITUTE(ADDRESS(1,MATCH($B10,'Asset Returns'!$1:$1,0),4),1,""))))</f>
        <v>1.0328728595611731E-3</v>
      </c>
      <c r="L10" s="70">
        <f ca="1">IF(OR(L$8="",$B10=""),"",_xlfn.COVARIANCE.S(INDIRECT("'Asset Returns'!"&amp;SUBSTITUTE(ADDRESS(1,MATCH(L$8,'Asset Returns'!$1:$1,0),4),1,"")&amp;":"&amp;SUBSTITUTE(ADDRESS(1,MATCH(L$8,'Asset Returns'!$1:$1,0),4),1,"")),INDIRECT("'Asset Returns'!"&amp;SUBSTITUTE(ADDRESS(1,MATCH($B10,'Asset Returns'!$1:$1,0),4),1,"")&amp;":"&amp;SUBSTITUTE(ADDRESS(1,MATCH($B10,'Asset Returns'!$1:$1,0),4),1,""))))</f>
        <v>1.1748056528422207E-3</v>
      </c>
      <c r="M10" s="70" t="str">
        <f ca="1">IF(OR(M$8="",$B10=""),"",_xlfn.COVARIANCE.S(INDIRECT("'Asset Returns'!"&amp;SUBSTITUTE(ADDRESS(1,MATCH(M$8,'Asset Returns'!$1:$1,0),4),1,"")&amp;":"&amp;SUBSTITUTE(ADDRESS(1,MATCH(M$8,'Asset Returns'!$1:$1,0),4),1,"")),INDIRECT("'Asset Returns'!"&amp;SUBSTITUTE(ADDRESS(1,MATCH($B10,'Asset Returns'!$1:$1,0),4),1,"")&amp;":"&amp;SUBSTITUTE(ADDRESS(1,MATCH($B10,'Asset Returns'!$1:$1,0),4),1,""))))</f>
        <v/>
      </c>
      <c r="N10" s="70" t="str">
        <f ca="1">IF(OR(N$8="",$B10=""),"",_xlfn.COVARIANCE.S(INDIRECT("'Asset Returns'!"&amp;SUBSTITUTE(ADDRESS(1,MATCH(N$8,'Asset Returns'!$1:$1,0),4),1,"")&amp;":"&amp;SUBSTITUTE(ADDRESS(1,MATCH(N$8,'Asset Returns'!$1:$1,0),4),1,"")),INDIRECT("'Asset Returns'!"&amp;SUBSTITUTE(ADDRESS(1,MATCH($B10,'Asset Returns'!$1:$1,0),4),1,"")&amp;":"&amp;SUBSTITUTE(ADDRESS(1,MATCH($B10,'Asset Returns'!$1:$1,0),4),1,""))))</f>
        <v/>
      </c>
      <c r="O10" s="70" t="str">
        <f ca="1">IF(OR(O$8="",$B10=""),"",_xlfn.COVARIANCE.S(INDIRECT("'Asset Returns'!"&amp;SUBSTITUTE(ADDRESS(1,MATCH(O$8,'Asset Returns'!$1:$1,0),4),1,"")&amp;":"&amp;SUBSTITUTE(ADDRESS(1,MATCH(O$8,'Asset Returns'!$1:$1,0),4),1,"")),INDIRECT("'Asset Returns'!"&amp;SUBSTITUTE(ADDRESS(1,MATCH($B10,'Asset Returns'!$1:$1,0),4),1,"")&amp;":"&amp;SUBSTITUTE(ADDRESS(1,MATCH($B10,'Asset Returns'!$1:$1,0),4),1,""))))</f>
        <v/>
      </c>
      <c r="P10" s="70" t="str">
        <f ca="1">IF(OR(P$8="",$B10=""),"",_xlfn.COVARIANCE.S(INDIRECT("'Asset Returns'!"&amp;SUBSTITUTE(ADDRESS(1,MATCH(P$8,'Asset Returns'!$1:$1,0),4),1,"")&amp;":"&amp;SUBSTITUTE(ADDRESS(1,MATCH(P$8,'Asset Returns'!$1:$1,0),4),1,"")),INDIRECT("'Asset Returns'!"&amp;SUBSTITUTE(ADDRESS(1,MATCH($B10,'Asset Returns'!$1:$1,0),4),1,"")&amp;":"&amp;SUBSTITUTE(ADDRESS(1,MATCH($B10,'Asset Returns'!$1:$1,0),4),1,""))))</f>
        <v/>
      </c>
      <c r="Q10" s="70" t="str">
        <f ca="1">IF(OR(Q$8="",$B10=""),"",_xlfn.COVARIANCE.S(INDIRECT("'Asset Returns'!"&amp;SUBSTITUTE(ADDRESS(1,MATCH(Q$8,'Asset Returns'!$1:$1,0),4),1,"")&amp;":"&amp;SUBSTITUTE(ADDRESS(1,MATCH(Q$8,'Asset Returns'!$1:$1,0),4),1,"")),INDIRECT("'Asset Returns'!"&amp;SUBSTITUTE(ADDRESS(1,MATCH($B10,'Asset Returns'!$1:$1,0),4),1,"")&amp;":"&amp;SUBSTITUTE(ADDRESS(1,MATCH($B10,'Asset Returns'!$1:$1,0),4),1,""))))</f>
        <v/>
      </c>
      <c r="R10" s="70" t="str">
        <f ca="1">IF(OR(R$8="",$B10=""),"",_xlfn.COVARIANCE.S(INDIRECT("'Asset Returns'!"&amp;SUBSTITUTE(ADDRESS(1,MATCH(R$8,'Asset Returns'!$1:$1,0),4),1,"")&amp;":"&amp;SUBSTITUTE(ADDRESS(1,MATCH(R$8,'Asset Returns'!$1:$1,0),4),1,"")),INDIRECT("'Asset Returns'!"&amp;SUBSTITUTE(ADDRESS(1,MATCH($B10,'Asset Returns'!$1:$1,0),4),1,"")&amp;":"&amp;SUBSTITUTE(ADDRESS(1,MATCH($B10,'Asset Returns'!$1:$1,0),4),1,""))))</f>
        <v/>
      </c>
      <c r="S10" s="70" t="str">
        <f ca="1">IF(OR(S$8="",$B10=""),"",_xlfn.COVARIANCE.S(INDIRECT("'Asset Returns'!"&amp;SUBSTITUTE(ADDRESS(1,MATCH(S$8,'Asset Returns'!$1:$1,0),4),1,"")&amp;":"&amp;SUBSTITUTE(ADDRESS(1,MATCH(S$8,'Asset Returns'!$1:$1,0),4),1,"")),INDIRECT("'Asset Returns'!"&amp;SUBSTITUTE(ADDRESS(1,MATCH($B10,'Asset Returns'!$1:$1,0),4),1,"")&amp;":"&amp;SUBSTITUTE(ADDRESS(1,MATCH($B10,'Asset Returns'!$1:$1,0),4),1,""))))</f>
        <v/>
      </c>
      <c r="T10" s="70" t="str">
        <f ca="1">IF(OR(T$8="",$B10=""),"",_xlfn.COVARIANCE.S(INDIRECT("'Asset Returns'!"&amp;SUBSTITUTE(ADDRESS(1,MATCH(T$8,'Asset Returns'!$1:$1,0),4),1,"")&amp;":"&amp;SUBSTITUTE(ADDRESS(1,MATCH(T$8,'Asset Returns'!$1:$1,0),4),1,"")),INDIRECT("'Asset Returns'!"&amp;SUBSTITUTE(ADDRESS(1,MATCH($B10,'Asset Returns'!$1:$1,0),4),1,"")&amp;":"&amp;SUBSTITUTE(ADDRESS(1,MATCH($B10,'Asset Returns'!$1:$1,0),4),1,""))))</f>
        <v/>
      </c>
      <c r="U10" s="70" t="str">
        <f ca="1">IF(OR(U$8="",$B10=""),"",_xlfn.COVARIANCE.S(INDIRECT("'Asset Returns'!"&amp;SUBSTITUTE(ADDRESS(1,MATCH(U$8,'Asset Returns'!$1:$1,0),4),1,"")&amp;":"&amp;SUBSTITUTE(ADDRESS(1,MATCH(U$8,'Asset Returns'!$1:$1,0),4),1,"")),INDIRECT("'Asset Returns'!"&amp;SUBSTITUTE(ADDRESS(1,MATCH($B10,'Asset Returns'!$1:$1,0),4),1,"")&amp;":"&amp;SUBSTITUTE(ADDRESS(1,MATCH($B10,'Asset Returns'!$1:$1,0),4),1,""))))</f>
        <v/>
      </c>
      <c r="V10" s="70" t="str">
        <f ca="1">IF(OR(V$8="",$B10=""),"",_xlfn.COVARIANCE.S(INDIRECT("'Asset Returns'!"&amp;SUBSTITUTE(ADDRESS(1,MATCH(V$8,'Asset Returns'!$1:$1,0),4),1,"")&amp;":"&amp;SUBSTITUTE(ADDRESS(1,MATCH(V$8,'Asset Returns'!$1:$1,0),4),1,"")),INDIRECT("'Asset Returns'!"&amp;SUBSTITUTE(ADDRESS(1,MATCH($B10,'Asset Returns'!$1:$1,0),4),1,"")&amp;":"&amp;SUBSTITUTE(ADDRESS(1,MATCH($B10,'Asset Returns'!$1:$1,0),4),1,""))))</f>
        <v/>
      </c>
      <c r="W10" s="70" t="str">
        <f ca="1">IF(OR(W$8="",$B10=""),"",_xlfn.COVARIANCE.S(INDIRECT("'Asset Returns'!"&amp;SUBSTITUTE(ADDRESS(1,MATCH(W$8,'Asset Returns'!$1:$1,0),4),1,"")&amp;":"&amp;SUBSTITUTE(ADDRESS(1,MATCH(W$8,'Asset Returns'!$1:$1,0),4),1,"")),INDIRECT("'Asset Returns'!"&amp;SUBSTITUTE(ADDRESS(1,MATCH($B10,'Asset Returns'!$1:$1,0),4),1,"")&amp;":"&amp;SUBSTITUTE(ADDRESS(1,MATCH($B10,'Asset Returns'!$1:$1,0),4),1,""))))</f>
        <v/>
      </c>
      <c r="X10" s="70" t="str">
        <f ca="1">IF(OR(X$8="",$B10=""),"",_xlfn.COVARIANCE.S(INDIRECT("'Asset Returns'!"&amp;SUBSTITUTE(ADDRESS(1,MATCH(X$8,'Asset Returns'!$1:$1,0),4),1,"")&amp;":"&amp;SUBSTITUTE(ADDRESS(1,MATCH(X$8,'Asset Returns'!$1:$1,0),4),1,"")),INDIRECT("'Asset Returns'!"&amp;SUBSTITUTE(ADDRESS(1,MATCH($B10,'Asset Returns'!$1:$1,0),4),1,"")&amp;":"&amp;SUBSTITUTE(ADDRESS(1,MATCH($B10,'Asset Returns'!$1:$1,0),4),1,""))))</f>
        <v/>
      </c>
      <c r="Y10" s="70" t="str">
        <f ca="1">IF(OR(Y$8="",$B10=""),"",_xlfn.COVARIANCE.S(INDIRECT("'Asset Returns'!"&amp;SUBSTITUTE(ADDRESS(1,MATCH(Y$8,'Asset Returns'!$1:$1,0),4),1,"")&amp;":"&amp;SUBSTITUTE(ADDRESS(1,MATCH(Y$8,'Asset Returns'!$1:$1,0),4),1,"")),INDIRECT("'Asset Returns'!"&amp;SUBSTITUTE(ADDRESS(1,MATCH($B10,'Asset Returns'!$1:$1,0),4),1,"")&amp;":"&amp;SUBSTITUTE(ADDRESS(1,MATCH($B10,'Asset Returns'!$1:$1,0),4),1,""))))</f>
        <v/>
      </c>
      <c r="Z10" s="70" t="str">
        <f ca="1">IF(OR(Z$8="",$B10=""),"",_xlfn.COVARIANCE.S(INDIRECT("'Asset Returns'!"&amp;SUBSTITUTE(ADDRESS(1,MATCH(Z$8,'Asset Returns'!$1:$1,0),4),1,"")&amp;":"&amp;SUBSTITUTE(ADDRESS(1,MATCH(Z$8,'Asset Returns'!$1:$1,0),4),1,"")),INDIRECT("'Asset Returns'!"&amp;SUBSTITUTE(ADDRESS(1,MATCH($B10,'Asset Returns'!$1:$1,0),4),1,"")&amp;":"&amp;SUBSTITUTE(ADDRESS(1,MATCH($B10,'Asset Returns'!$1:$1,0),4),1,""))))</f>
        <v/>
      </c>
      <c r="AA10" s="70" t="str">
        <f ca="1">IF(OR(AA$8="",$B10=""),"",_xlfn.COVARIANCE.S(INDIRECT("'Asset Returns'!"&amp;SUBSTITUTE(ADDRESS(1,MATCH(AA$8,'Asset Returns'!$1:$1,0),4),1,"")&amp;":"&amp;SUBSTITUTE(ADDRESS(1,MATCH(AA$8,'Asset Returns'!$1:$1,0),4),1,"")),INDIRECT("'Asset Returns'!"&amp;SUBSTITUTE(ADDRESS(1,MATCH($B10,'Asset Returns'!$1:$1,0),4),1,"")&amp;":"&amp;SUBSTITUTE(ADDRESS(1,MATCH($B10,'Asset Returns'!$1:$1,0),4),1,""))))</f>
        <v/>
      </c>
      <c r="AB10" s="96">
        <v>-12500</v>
      </c>
      <c r="AC10" s="48">
        <f t="shared" ref="AC10:AC33" si="0">IF(AB10="","",AB10/$AB$34)</f>
        <v>-0.12500250005000099</v>
      </c>
      <c r="AE10" s="207"/>
      <c r="AF10" s="207"/>
      <c r="AG10" s="207"/>
      <c r="AH10" s="207"/>
      <c r="AI10" s="207"/>
      <c r="AJ10" s="207"/>
      <c r="AK10" s="207"/>
      <c r="AL10" s="207"/>
      <c r="AM10" s="207"/>
    </row>
    <row r="11" spans="1:39" x14ac:dyDescent="0.25">
      <c r="A11" s="47"/>
      <c r="B11" s="92" t="s">
        <v>4</v>
      </c>
      <c r="C11" s="69">
        <f ca="1">IF(OR(C$8="",$B11=""),"",_xlfn.COVARIANCE.S(INDIRECT("'Asset Returns'!"&amp;SUBSTITUTE(ADDRESS(1,MATCH(C$8,'Asset Returns'!$1:$1,0),4),1,"")&amp;":"&amp;SUBSTITUTE(ADDRESS(1,MATCH(C$8,'Asset Returns'!$1:$1,0),4),1,"")),INDIRECT("'Asset Returns'!"&amp;SUBSTITUTE(ADDRESS(1,MATCH($B11,'Asset Returns'!$1:$1,0),4),1,"")&amp;":"&amp;SUBSTITUTE(ADDRESS(1,MATCH($B11,'Asset Returns'!$1:$1,0),4),1,""))))</f>
        <v>1.3446493348913827E-3</v>
      </c>
      <c r="D11" s="70">
        <f ca="1">IF(OR(D$8="",$B11=""),"",_xlfn.COVARIANCE.S(INDIRECT("'Asset Returns'!"&amp;SUBSTITUTE(ADDRESS(1,MATCH(D$8,'Asset Returns'!$1:$1,0),4),1,"")&amp;":"&amp;SUBSTITUTE(ADDRESS(1,MATCH(D$8,'Asset Returns'!$1:$1,0),4),1,"")),INDIRECT("'Asset Returns'!"&amp;SUBSTITUTE(ADDRESS(1,MATCH($B11,'Asset Returns'!$1:$1,0),4),1,"")&amp;":"&amp;SUBSTITUTE(ADDRESS(1,MATCH($B11,'Asset Returns'!$1:$1,0),4),1,""))))</f>
        <v>1.5466633847027683E-3</v>
      </c>
      <c r="E11" s="70">
        <f ca="1">IF(OR(E$8="",$B11=""),"",_xlfn.COVARIANCE.S(INDIRECT("'Asset Returns'!"&amp;SUBSTITUTE(ADDRESS(1,MATCH(E$8,'Asset Returns'!$1:$1,0),4),1,"")&amp;":"&amp;SUBSTITUTE(ADDRESS(1,MATCH(E$8,'Asset Returns'!$1:$1,0),4),1,"")),INDIRECT("'Asset Returns'!"&amp;SUBSTITUTE(ADDRESS(1,MATCH($B11,'Asset Returns'!$1:$1,0),4),1,"")&amp;":"&amp;SUBSTITUTE(ADDRESS(1,MATCH($B11,'Asset Returns'!$1:$1,0),4),1,""))))</f>
        <v>3.4048138195042561E-3</v>
      </c>
      <c r="F11" s="70">
        <f ca="1">IF(OR(F$8="",$B11=""),"",_xlfn.COVARIANCE.S(INDIRECT("'Asset Returns'!"&amp;SUBSTITUTE(ADDRESS(1,MATCH(F$8,'Asset Returns'!$1:$1,0),4),1,"")&amp;":"&amp;SUBSTITUTE(ADDRESS(1,MATCH(F$8,'Asset Returns'!$1:$1,0),4),1,"")),INDIRECT("'Asset Returns'!"&amp;SUBSTITUTE(ADDRESS(1,MATCH($B11,'Asset Returns'!$1:$1,0),4),1,"")&amp;":"&amp;SUBSTITUTE(ADDRESS(1,MATCH($B11,'Asset Returns'!$1:$1,0),4),1,""))))</f>
        <v>1.586553162276484E-3</v>
      </c>
      <c r="G11" s="70">
        <f ca="1">IF(OR(G$8="",$B11=""),"",_xlfn.COVARIANCE.S(INDIRECT("'Asset Returns'!"&amp;SUBSTITUTE(ADDRESS(1,MATCH(G$8,'Asset Returns'!$1:$1,0),4),1,"")&amp;":"&amp;SUBSTITUTE(ADDRESS(1,MATCH(G$8,'Asset Returns'!$1:$1,0),4),1,"")),INDIRECT("'Asset Returns'!"&amp;SUBSTITUTE(ADDRESS(1,MATCH($B11,'Asset Returns'!$1:$1,0),4),1,"")&amp;":"&amp;SUBSTITUTE(ADDRESS(1,MATCH($B11,'Asset Returns'!$1:$1,0),4),1,""))))</f>
        <v>1.0273038538226534E-3</v>
      </c>
      <c r="H11" s="70">
        <f ca="1">IF(OR(H$8="",$B11=""),"",_xlfn.COVARIANCE.S(INDIRECT("'Asset Returns'!"&amp;SUBSTITUTE(ADDRESS(1,MATCH(H$8,'Asset Returns'!$1:$1,0),4),1,"")&amp;":"&amp;SUBSTITUTE(ADDRESS(1,MATCH(H$8,'Asset Returns'!$1:$1,0),4),1,"")),INDIRECT("'Asset Returns'!"&amp;SUBSTITUTE(ADDRESS(1,MATCH($B11,'Asset Returns'!$1:$1,0),4),1,"")&amp;":"&amp;SUBSTITUTE(ADDRESS(1,MATCH($B11,'Asset Returns'!$1:$1,0),4),1,""))))</f>
        <v>2.4723270213388984E-3</v>
      </c>
      <c r="I11" s="70">
        <f ca="1">IF(OR(I$8="",$B11=""),"",_xlfn.COVARIANCE.S(INDIRECT("'Asset Returns'!"&amp;SUBSTITUTE(ADDRESS(1,MATCH(I$8,'Asset Returns'!$1:$1,0),4),1,"")&amp;":"&amp;SUBSTITUTE(ADDRESS(1,MATCH(I$8,'Asset Returns'!$1:$1,0),4),1,"")),INDIRECT("'Asset Returns'!"&amp;SUBSTITUTE(ADDRESS(1,MATCH($B11,'Asset Returns'!$1:$1,0),4),1,"")&amp;":"&amp;SUBSTITUTE(ADDRESS(1,MATCH($B11,'Asset Returns'!$1:$1,0),4),1,""))))</f>
        <v>2.0269278908943145E-3</v>
      </c>
      <c r="J11" s="70">
        <f ca="1">IF(OR(J$8="",$B11=""),"",_xlfn.COVARIANCE.S(INDIRECT("'Asset Returns'!"&amp;SUBSTITUTE(ADDRESS(1,MATCH(J$8,'Asset Returns'!$1:$1,0),4),1,"")&amp;":"&amp;SUBSTITUTE(ADDRESS(1,MATCH(J$8,'Asset Returns'!$1:$1,0),4),1,"")),INDIRECT("'Asset Returns'!"&amp;SUBSTITUTE(ADDRESS(1,MATCH($B11,'Asset Returns'!$1:$1,0),4),1,"")&amp;":"&amp;SUBSTITUTE(ADDRESS(1,MATCH($B11,'Asset Returns'!$1:$1,0),4),1,""))))</f>
        <v>1.6194527634961842E-3</v>
      </c>
      <c r="K11" s="70">
        <f ca="1">IF(OR(K$8="",$B11=""),"",_xlfn.COVARIANCE.S(INDIRECT("'Asset Returns'!"&amp;SUBSTITUTE(ADDRESS(1,MATCH(K$8,'Asset Returns'!$1:$1,0),4),1,"")&amp;":"&amp;SUBSTITUTE(ADDRESS(1,MATCH(K$8,'Asset Returns'!$1:$1,0),4),1,"")),INDIRECT("'Asset Returns'!"&amp;SUBSTITUTE(ADDRESS(1,MATCH($B11,'Asset Returns'!$1:$1,0),4),1,"")&amp;":"&amp;SUBSTITUTE(ADDRESS(1,MATCH($B11,'Asset Returns'!$1:$1,0),4),1,""))))</f>
        <v>1.4469643618335362E-3</v>
      </c>
      <c r="L11" s="70">
        <f ca="1">IF(OR(L$8="",$B11=""),"",_xlfn.COVARIANCE.S(INDIRECT("'Asset Returns'!"&amp;SUBSTITUTE(ADDRESS(1,MATCH(L$8,'Asset Returns'!$1:$1,0),4),1,"")&amp;":"&amp;SUBSTITUTE(ADDRESS(1,MATCH(L$8,'Asset Returns'!$1:$1,0),4),1,"")),INDIRECT("'Asset Returns'!"&amp;SUBSTITUTE(ADDRESS(1,MATCH($B11,'Asset Returns'!$1:$1,0),4),1,"")&amp;":"&amp;SUBSTITUTE(ADDRESS(1,MATCH($B11,'Asset Returns'!$1:$1,0),4),1,""))))</f>
        <v>1.6362155727217564E-3</v>
      </c>
      <c r="M11" s="70" t="str">
        <f ca="1">IF(OR(M$8="",$B11=""),"",_xlfn.COVARIANCE.S(INDIRECT("'Asset Returns'!"&amp;SUBSTITUTE(ADDRESS(1,MATCH(M$8,'Asset Returns'!$1:$1,0),4),1,"")&amp;":"&amp;SUBSTITUTE(ADDRESS(1,MATCH(M$8,'Asset Returns'!$1:$1,0),4),1,"")),INDIRECT("'Asset Returns'!"&amp;SUBSTITUTE(ADDRESS(1,MATCH($B11,'Asset Returns'!$1:$1,0),4),1,"")&amp;":"&amp;SUBSTITUTE(ADDRESS(1,MATCH($B11,'Asset Returns'!$1:$1,0),4),1,""))))</f>
        <v/>
      </c>
      <c r="N11" s="70" t="str">
        <f ca="1">IF(OR(N$8="",$B11=""),"",_xlfn.COVARIANCE.S(INDIRECT("'Asset Returns'!"&amp;SUBSTITUTE(ADDRESS(1,MATCH(N$8,'Asset Returns'!$1:$1,0),4),1,"")&amp;":"&amp;SUBSTITUTE(ADDRESS(1,MATCH(N$8,'Asset Returns'!$1:$1,0),4),1,"")),INDIRECT("'Asset Returns'!"&amp;SUBSTITUTE(ADDRESS(1,MATCH($B11,'Asset Returns'!$1:$1,0),4),1,"")&amp;":"&amp;SUBSTITUTE(ADDRESS(1,MATCH($B11,'Asset Returns'!$1:$1,0),4),1,""))))</f>
        <v/>
      </c>
      <c r="O11" s="70" t="str">
        <f ca="1">IF(OR(O$8="",$B11=""),"",_xlfn.COVARIANCE.S(INDIRECT("'Asset Returns'!"&amp;SUBSTITUTE(ADDRESS(1,MATCH(O$8,'Asset Returns'!$1:$1,0),4),1,"")&amp;":"&amp;SUBSTITUTE(ADDRESS(1,MATCH(O$8,'Asset Returns'!$1:$1,0),4),1,"")),INDIRECT("'Asset Returns'!"&amp;SUBSTITUTE(ADDRESS(1,MATCH($B11,'Asset Returns'!$1:$1,0),4),1,"")&amp;":"&amp;SUBSTITUTE(ADDRESS(1,MATCH($B11,'Asset Returns'!$1:$1,0),4),1,""))))</f>
        <v/>
      </c>
      <c r="P11" s="70" t="str">
        <f ca="1">IF(OR(P$8="",$B11=""),"",_xlfn.COVARIANCE.S(INDIRECT("'Asset Returns'!"&amp;SUBSTITUTE(ADDRESS(1,MATCH(P$8,'Asset Returns'!$1:$1,0),4),1,"")&amp;":"&amp;SUBSTITUTE(ADDRESS(1,MATCH(P$8,'Asset Returns'!$1:$1,0),4),1,"")),INDIRECT("'Asset Returns'!"&amp;SUBSTITUTE(ADDRESS(1,MATCH($B11,'Asset Returns'!$1:$1,0),4),1,"")&amp;":"&amp;SUBSTITUTE(ADDRESS(1,MATCH($B11,'Asset Returns'!$1:$1,0),4),1,""))))</f>
        <v/>
      </c>
      <c r="Q11" s="70" t="str">
        <f ca="1">IF(OR(Q$8="",$B11=""),"",_xlfn.COVARIANCE.S(INDIRECT("'Asset Returns'!"&amp;SUBSTITUTE(ADDRESS(1,MATCH(Q$8,'Asset Returns'!$1:$1,0),4),1,"")&amp;":"&amp;SUBSTITUTE(ADDRESS(1,MATCH(Q$8,'Asset Returns'!$1:$1,0),4),1,"")),INDIRECT("'Asset Returns'!"&amp;SUBSTITUTE(ADDRESS(1,MATCH($B11,'Asset Returns'!$1:$1,0),4),1,"")&amp;":"&amp;SUBSTITUTE(ADDRESS(1,MATCH($B11,'Asset Returns'!$1:$1,0),4),1,""))))</f>
        <v/>
      </c>
      <c r="R11" s="70" t="str">
        <f ca="1">IF(OR(R$8="",$B11=""),"",_xlfn.COVARIANCE.S(INDIRECT("'Asset Returns'!"&amp;SUBSTITUTE(ADDRESS(1,MATCH(R$8,'Asset Returns'!$1:$1,0),4),1,"")&amp;":"&amp;SUBSTITUTE(ADDRESS(1,MATCH(R$8,'Asset Returns'!$1:$1,0),4),1,"")),INDIRECT("'Asset Returns'!"&amp;SUBSTITUTE(ADDRESS(1,MATCH($B11,'Asset Returns'!$1:$1,0),4),1,"")&amp;":"&amp;SUBSTITUTE(ADDRESS(1,MATCH($B11,'Asset Returns'!$1:$1,0),4),1,""))))</f>
        <v/>
      </c>
      <c r="S11" s="70" t="str">
        <f ca="1">IF(OR(S$8="",$B11=""),"",_xlfn.COVARIANCE.S(INDIRECT("'Asset Returns'!"&amp;SUBSTITUTE(ADDRESS(1,MATCH(S$8,'Asset Returns'!$1:$1,0),4),1,"")&amp;":"&amp;SUBSTITUTE(ADDRESS(1,MATCH(S$8,'Asset Returns'!$1:$1,0),4),1,"")),INDIRECT("'Asset Returns'!"&amp;SUBSTITUTE(ADDRESS(1,MATCH($B11,'Asset Returns'!$1:$1,0),4),1,"")&amp;":"&amp;SUBSTITUTE(ADDRESS(1,MATCH($B11,'Asset Returns'!$1:$1,0),4),1,""))))</f>
        <v/>
      </c>
      <c r="T11" s="70" t="str">
        <f ca="1">IF(OR(T$8="",$B11=""),"",_xlfn.COVARIANCE.S(INDIRECT("'Asset Returns'!"&amp;SUBSTITUTE(ADDRESS(1,MATCH(T$8,'Asset Returns'!$1:$1,0),4),1,"")&amp;":"&amp;SUBSTITUTE(ADDRESS(1,MATCH(T$8,'Asset Returns'!$1:$1,0),4),1,"")),INDIRECT("'Asset Returns'!"&amp;SUBSTITUTE(ADDRESS(1,MATCH($B11,'Asset Returns'!$1:$1,0),4),1,"")&amp;":"&amp;SUBSTITUTE(ADDRESS(1,MATCH($B11,'Asset Returns'!$1:$1,0),4),1,""))))</f>
        <v/>
      </c>
      <c r="U11" s="70" t="str">
        <f ca="1">IF(OR(U$8="",$B11=""),"",_xlfn.COVARIANCE.S(INDIRECT("'Asset Returns'!"&amp;SUBSTITUTE(ADDRESS(1,MATCH(U$8,'Asset Returns'!$1:$1,0),4),1,"")&amp;":"&amp;SUBSTITUTE(ADDRESS(1,MATCH(U$8,'Asset Returns'!$1:$1,0),4),1,"")),INDIRECT("'Asset Returns'!"&amp;SUBSTITUTE(ADDRESS(1,MATCH($B11,'Asset Returns'!$1:$1,0),4),1,"")&amp;":"&amp;SUBSTITUTE(ADDRESS(1,MATCH($B11,'Asset Returns'!$1:$1,0),4),1,""))))</f>
        <v/>
      </c>
      <c r="V11" s="70" t="str">
        <f ca="1">IF(OR(V$8="",$B11=""),"",_xlfn.COVARIANCE.S(INDIRECT("'Asset Returns'!"&amp;SUBSTITUTE(ADDRESS(1,MATCH(V$8,'Asset Returns'!$1:$1,0),4),1,"")&amp;":"&amp;SUBSTITUTE(ADDRESS(1,MATCH(V$8,'Asset Returns'!$1:$1,0),4),1,"")),INDIRECT("'Asset Returns'!"&amp;SUBSTITUTE(ADDRESS(1,MATCH($B11,'Asset Returns'!$1:$1,0),4),1,"")&amp;":"&amp;SUBSTITUTE(ADDRESS(1,MATCH($B11,'Asset Returns'!$1:$1,0),4),1,""))))</f>
        <v/>
      </c>
      <c r="W11" s="70" t="str">
        <f ca="1">IF(OR(W$8="",$B11=""),"",_xlfn.COVARIANCE.S(INDIRECT("'Asset Returns'!"&amp;SUBSTITUTE(ADDRESS(1,MATCH(W$8,'Asset Returns'!$1:$1,0),4),1,"")&amp;":"&amp;SUBSTITUTE(ADDRESS(1,MATCH(W$8,'Asset Returns'!$1:$1,0),4),1,"")),INDIRECT("'Asset Returns'!"&amp;SUBSTITUTE(ADDRESS(1,MATCH($B11,'Asset Returns'!$1:$1,0),4),1,"")&amp;":"&amp;SUBSTITUTE(ADDRESS(1,MATCH($B11,'Asset Returns'!$1:$1,0),4),1,""))))</f>
        <v/>
      </c>
      <c r="X11" s="70" t="str">
        <f ca="1">IF(OR(X$8="",$B11=""),"",_xlfn.COVARIANCE.S(INDIRECT("'Asset Returns'!"&amp;SUBSTITUTE(ADDRESS(1,MATCH(X$8,'Asset Returns'!$1:$1,0),4),1,"")&amp;":"&amp;SUBSTITUTE(ADDRESS(1,MATCH(X$8,'Asset Returns'!$1:$1,0),4),1,"")),INDIRECT("'Asset Returns'!"&amp;SUBSTITUTE(ADDRESS(1,MATCH($B11,'Asset Returns'!$1:$1,0),4),1,"")&amp;":"&amp;SUBSTITUTE(ADDRESS(1,MATCH($B11,'Asset Returns'!$1:$1,0),4),1,""))))</f>
        <v/>
      </c>
      <c r="Y11" s="70" t="str">
        <f ca="1">IF(OR(Y$8="",$B11=""),"",_xlfn.COVARIANCE.S(INDIRECT("'Asset Returns'!"&amp;SUBSTITUTE(ADDRESS(1,MATCH(Y$8,'Asset Returns'!$1:$1,0),4),1,"")&amp;":"&amp;SUBSTITUTE(ADDRESS(1,MATCH(Y$8,'Asset Returns'!$1:$1,0),4),1,"")),INDIRECT("'Asset Returns'!"&amp;SUBSTITUTE(ADDRESS(1,MATCH($B11,'Asset Returns'!$1:$1,0),4),1,"")&amp;":"&amp;SUBSTITUTE(ADDRESS(1,MATCH($B11,'Asset Returns'!$1:$1,0),4),1,""))))</f>
        <v/>
      </c>
      <c r="Z11" s="70" t="str">
        <f ca="1">IF(OR(Z$8="",$B11=""),"",_xlfn.COVARIANCE.S(INDIRECT("'Asset Returns'!"&amp;SUBSTITUTE(ADDRESS(1,MATCH(Z$8,'Asset Returns'!$1:$1,0),4),1,"")&amp;":"&amp;SUBSTITUTE(ADDRESS(1,MATCH(Z$8,'Asset Returns'!$1:$1,0),4),1,"")),INDIRECT("'Asset Returns'!"&amp;SUBSTITUTE(ADDRESS(1,MATCH($B11,'Asset Returns'!$1:$1,0),4),1,"")&amp;":"&amp;SUBSTITUTE(ADDRESS(1,MATCH($B11,'Asset Returns'!$1:$1,0),4),1,""))))</f>
        <v/>
      </c>
      <c r="AA11" s="70" t="str">
        <f ca="1">IF(OR(AA$8="",$B11=""),"",_xlfn.COVARIANCE.S(INDIRECT("'Asset Returns'!"&amp;SUBSTITUTE(ADDRESS(1,MATCH(AA$8,'Asset Returns'!$1:$1,0),4),1,"")&amp;":"&amp;SUBSTITUTE(ADDRESS(1,MATCH(AA$8,'Asset Returns'!$1:$1,0),4),1,"")),INDIRECT("'Asset Returns'!"&amp;SUBSTITUTE(ADDRESS(1,MATCH($B11,'Asset Returns'!$1:$1,0),4),1,"")&amp;":"&amp;SUBSTITUTE(ADDRESS(1,MATCH($B11,'Asset Returns'!$1:$1,0),4),1,""))))</f>
        <v/>
      </c>
      <c r="AB11" s="96">
        <v>-12500</v>
      </c>
      <c r="AC11" s="48">
        <f t="shared" si="0"/>
        <v>-0.12500250005000099</v>
      </c>
      <c r="AE11" s="207"/>
      <c r="AF11" s="207"/>
      <c r="AG11" s="207"/>
      <c r="AH11" s="207"/>
      <c r="AI11" s="207"/>
      <c r="AJ11" s="207"/>
      <c r="AK11" s="207"/>
      <c r="AL11" s="207"/>
      <c r="AM11" s="207"/>
    </row>
    <row r="12" spans="1:39" x14ac:dyDescent="0.25">
      <c r="A12" s="47"/>
      <c r="B12" s="92" t="s">
        <v>106</v>
      </c>
      <c r="C12" s="69">
        <f ca="1">IF(OR(C$8="",$B12=""),"",_xlfn.COVARIANCE.S(INDIRECT("'Asset Returns'!"&amp;SUBSTITUTE(ADDRESS(1,MATCH(C$8,'Asset Returns'!$1:$1,0),4),1,"")&amp;":"&amp;SUBSTITUTE(ADDRESS(1,MATCH(C$8,'Asset Returns'!$1:$1,0),4),1,"")),INDIRECT("'Asset Returns'!"&amp;SUBSTITUTE(ADDRESS(1,MATCH($B12,'Asset Returns'!$1:$1,0),4),1,"")&amp;":"&amp;SUBSTITUTE(ADDRESS(1,MATCH($B12,'Asset Returns'!$1:$1,0),4),1,""))))</f>
        <v>1.288086396546752E-3</v>
      </c>
      <c r="D12" s="70">
        <f ca="1">IF(OR(D$8="",$B12=""),"",_xlfn.COVARIANCE.S(INDIRECT("'Asset Returns'!"&amp;SUBSTITUTE(ADDRESS(1,MATCH(D$8,'Asset Returns'!$1:$1,0),4),1,"")&amp;":"&amp;SUBSTITUTE(ADDRESS(1,MATCH(D$8,'Asset Returns'!$1:$1,0),4),1,"")),INDIRECT("'Asset Returns'!"&amp;SUBSTITUTE(ADDRESS(1,MATCH($B12,'Asset Returns'!$1:$1,0),4),1,"")&amp;":"&amp;SUBSTITUTE(ADDRESS(1,MATCH($B12,'Asset Returns'!$1:$1,0),4),1,""))))</f>
        <v>1.4798757649591009E-3</v>
      </c>
      <c r="E12" s="70">
        <f ca="1">IF(OR(E$8="",$B12=""),"",_xlfn.COVARIANCE.S(INDIRECT("'Asset Returns'!"&amp;SUBSTITUTE(ADDRESS(1,MATCH(E$8,'Asset Returns'!$1:$1,0),4),1,"")&amp;":"&amp;SUBSTITUTE(ADDRESS(1,MATCH(E$8,'Asset Returns'!$1:$1,0),4),1,"")),INDIRECT("'Asset Returns'!"&amp;SUBSTITUTE(ADDRESS(1,MATCH($B12,'Asset Returns'!$1:$1,0),4),1,"")&amp;":"&amp;SUBSTITUTE(ADDRESS(1,MATCH($B12,'Asset Returns'!$1:$1,0),4),1,""))))</f>
        <v>1.586553162276484E-3</v>
      </c>
      <c r="F12" s="70">
        <f ca="1">IF(OR(F$8="",$B12=""),"",_xlfn.COVARIANCE.S(INDIRECT("'Asset Returns'!"&amp;SUBSTITUTE(ADDRESS(1,MATCH(F$8,'Asset Returns'!$1:$1,0),4),1,"")&amp;":"&amp;SUBSTITUTE(ADDRESS(1,MATCH(F$8,'Asset Returns'!$1:$1,0),4),1,"")),INDIRECT("'Asset Returns'!"&amp;SUBSTITUTE(ADDRESS(1,MATCH($B12,'Asset Returns'!$1:$1,0),4),1,"")&amp;":"&amp;SUBSTITUTE(ADDRESS(1,MATCH($B12,'Asset Returns'!$1:$1,0),4),1,""))))</f>
        <v>4.1719555847830742E-3</v>
      </c>
      <c r="G12" s="70">
        <f ca="1">IF(OR(G$8="",$B12=""),"",_xlfn.COVARIANCE.S(INDIRECT("'Asset Returns'!"&amp;SUBSTITUTE(ADDRESS(1,MATCH(G$8,'Asset Returns'!$1:$1,0),4),1,"")&amp;":"&amp;SUBSTITUTE(ADDRESS(1,MATCH(G$8,'Asset Returns'!$1:$1,0),4),1,"")),INDIRECT("'Asset Returns'!"&amp;SUBSTITUTE(ADDRESS(1,MATCH($B12,'Asset Returns'!$1:$1,0),4),1,"")&amp;":"&amp;SUBSTITUTE(ADDRESS(1,MATCH($B12,'Asset Returns'!$1:$1,0),4),1,""))))</f>
        <v>1.3958625346839931E-3</v>
      </c>
      <c r="H12" s="70">
        <f ca="1">IF(OR(H$8="",$B12=""),"",_xlfn.COVARIANCE.S(INDIRECT("'Asset Returns'!"&amp;SUBSTITUTE(ADDRESS(1,MATCH(H$8,'Asset Returns'!$1:$1,0),4),1,"")&amp;":"&amp;SUBSTITUTE(ADDRESS(1,MATCH(H$8,'Asset Returns'!$1:$1,0),4),1,"")),INDIRECT("'Asset Returns'!"&amp;SUBSTITUTE(ADDRESS(1,MATCH($B12,'Asset Returns'!$1:$1,0),4),1,"")&amp;":"&amp;SUBSTITUTE(ADDRESS(1,MATCH($B12,'Asset Returns'!$1:$1,0),4),1,""))))</f>
        <v>1.7049519748120359E-3</v>
      </c>
      <c r="I12" s="70">
        <f ca="1">IF(OR(I$8="",$B12=""),"",_xlfn.COVARIANCE.S(INDIRECT("'Asset Returns'!"&amp;SUBSTITUTE(ADDRESS(1,MATCH(I$8,'Asset Returns'!$1:$1,0),4),1,"")&amp;":"&amp;SUBSTITUTE(ADDRESS(1,MATCH(I$8,'Asset Returns'!$1:$1,0),4),1,"")),INDIRECT("'Asset Returns'!"&amp;SUBSTITUTE(ADDRESS(1,MATCH($B12,'Asset Returns'!$1:$1,0),4),1,"")&amp;":"&amp;SUBSTITUTE(ADDRESS(1,MATCH($B12,'Asset Returns'!$1:$1,0),4),1,""))))</f>
        <v>1.5371403535446428E-3</v>
      </c>
      <c r="J12" s="70">
        <f ca="1">IF(OR(J$8="",$B12=""),"",_xlfn.COVARIANCE.S(INDIRECT("'Asset Returns'!"&amp;SUBSTITUTE(ADDRESS(1,MATCH(J$8,'Asset Returns'!$1:$1,0),4),1,"")&amp;":"&amp;SUBSTITUTE(ADDRESS(1,MATCH(J$8,'Asset Returns'!$1:$1,0),4),1,"")),INDIRECT("'Asset Returns'!"&amp;SUBSTITUTE(ADDRESS(1,MATCH($B12,'Asset Returns'!$1:$1,0),4),1,"")&amp;":"&amp;SUBSTITUTE(ADDRESS(1,MATCH($B12,'Asset Returns'!$1:$1,0),4),1,""))))</f>
        <v>2.4951223526450002E-3</v>
      </c>
      <c r="K12" s="70">
        <f ca="1">IF(OR(K$8="",$B12=""),"",_xlfn.COVARIANCE.S(INDIRECT("'Asset Returns'!"&amp;SUBSTITUTE(ADDRESS(1,MATCH(K$8,'Asset Returns'!$1:$1,0),4),1,"")&amp;":"&amp;SUBSTITUTE(ADDRESS(1,MATCH(K$8,'Asset Returns'!$1:$1,0),4),1,"")),INDIRECT("'Asset Returns'!"&amp;SUBSTITUTE(ADDRESS(1,MATCH($B12,'Asset Returns'!$1:$1,0),4),1,"")&amp;":"&amp;SUBSTITUTE(ADDRESS(1,MATCH($B12,'Asset Returns'!$1:$1,0),4),1,""))))</f>
        <v>1.2397217420615069E-3</v>
      </c>
      <c r="L12" s="70">
        <f ca="1">IF(OR(L$8="",$B12=""),"",_xlfn.COVARIANCE.S(INDIRECT("'Asset Returns'!"&amp;SUBSTITUTE(ADDRESS(1,MATCH(L$8,'Asset Returns'!$1:$1,0),4),1,"")&amp;":"&amp;SUBSTITUTE(ADDRESS(1,MATCH(L$8,'Asset Returns'!$1:$1,0),4),1,"")),INDIRECT("'Asset Returns'!"&amp;SUBSTITUTE(ADDRESS(1,MATCH($B12,'Asset Returns'!$1:$1,0),4),1,"")&amp;":"&amp;SUBSTITUTE(ADDRESS(1,MATCH($B12,'Asset Returns'!$1:$1,0),4),1,""))))</f>
        <v>1.2740953084269583E-3</v>
      </c>
      <c r="M12" s="70" t="str">
        <f ca="1">IF(OR(M$8="",$B12=""),"",_xlfn.COVARIANCE.S(INDIRECT("'Asset Returns'!"&amp;SUBSTITUTE(ADDRESS(1,MATCH(M$8,'Asset Returns'!$1:$1,0),4),1,"")&amp;":"&amp;SUBSTITUTE(ADDRESS(1,MATCH(M$8,'Asset Returns'!$1:$1,0),4),1,"")),INDIRECT("'Asset Returns'!"&amp;SUBSTITUTE(ADDRESS(1,MATCH($B12,'Asset Returns'!$1:$1,0),4),1,"")&amp;":"&amp;SUBSTITUTE(ADDRESS(1,MATCH($B12,'Asset Returns'!$1:$1,0),4),1,""))))</f>
        <v/>
      </c>
      <c r="N12" s="70" t="str">
        <f ca="1">IF(OR(N$8="",$B12=""),"",_xlfn.COVARIANCE.S(INDIRECT("'Asset Returns'!"&amp;SUBSTITUTE(ADDRESS(1,MATCH(N$8,'Asset Returns'!$1:$1,0),4),1,"")&amp;":"&amp;SUBSTITUTE(ADDRESS(1,MATCH(N$8,'Asset Returns'!$1:$1,0),4),1,"")),INDIRECT("'Asset Returns'!"&amp;SUBSTITUTE(ADDRESS(1,MATCH($B12,'Asset Returns'!$1:$1,0),4),1,"")&amp;":"&amp;SUBSTITUTE(ADDRESS(1,MATCH($B12,'Asset Returns'!$1:$1,0),4),1,""))))</f>
        <v/>
      </c>
      <c r="O12" s="70" t="str">
        <f ca="1">IF(OR(O$8="",$B12=""),"",_xlfn.COVARIANCE.S(INDIRECT("'Asset Returns'!"&amp;SUBSTITUTE(ADDRESS(1,MATCH(O$8,'Asset Returns'!$1:$1,0),4),1,"")&amp;":"&amp;SUBSTITUTE(ADDRESS(1,MATCH(O$8,'Asset Returns'!$1:$1,0),4),1,"")),INDIRECT("'Asset Returns'!"&amp;SUBSTITUTE(ADDRESS(1,MATCH($B12,'Asset Returns'!$1:$1,0),4),1,"")&amp;":"&amp;SUBSTITUTE(ADDRESS(1,MATCH($B12,'Asset Returns'!$1:$1,0),4),1,""))))</f>
        <v/>
      </c>
      <c r="P12" s="70" t="str">
        <f ca="1">IF(OR(P$8="",$B12=""),"",_xlfn.COVARIANCE.S(INDIRECT("'Asset Returns'!"&amp;SUBSTITUTE(ADDRESS(1,MATCH(P$8,'Asset Returns'!$1:$1,0),4),1,"")&amp;":"&amp;SUBSTITUTE(ADDRESS(1,MATCH(P$8,'Asset Returns'!$1:$1,0),4),1,"")),INDIRECT("'Asset Returns'!"&amp;SUBSTITUTE(ADDRESS(1,MATCH($B12,'Asset Returns'!$1:$1,0),4),1,"")&amp;":"&amp;SUBSTITUTE(ADDRESS(1,MATCH($B12,'Asset Returns'!$1:$1,0),4),1,""))))</f>
        <v/>
      </c>
      <c r="Q12" s="70" t="str">
        <f ca="1">IF(OR(Q$8="",$B12=""),"",_xlfn.COVARIANCE.S(INDIRECT("'Asset Returns'!"&amp;SUBSTITUTE(ADDRESS(1,MATCH(Q$8,'Asset Returns'!$1:$1,0),4),1,"")&amp;":"&amp;SUBSTITUTE(ADDRESS(1,MATCH(Q$8,'Asset Returns'!$1:$1,0),4),1,"")),INDIRECT("'Asset Returns'!"&amp;SUBSTITUTE(ADDRESS(1,MATCH($B12,'Asset Returns'!$1:$1,0),4),1,"")&amp;":"&amp;SUBSTITUTE(ADDRESS(1,MATCH($B12,'Asset Returns'!$1:$1,0),4),1,""))))</f>
        <v/>
      </c>
      <c r="R12" s="70" t="str">
        <f ca="1">IF(OR(R$8="",$B12=""),"",_xlfn.COVARIANCE.S(INDIRECT("'Asset Returns'!"&amp;SUBSTITUTE(ADDRESS(1,MATCH(R$8,'Asset Returns'!$1:$1,0),4),1,"")&amp;":"&amp;SUBSTITUTE(ADDRESS(1,MATCH(R$8,'Asset Returns'!$1:$1,0),4),1,"")),INDIRECT("'Asset Returns'!"&amp;SUBSTITUTE(ADDRESS(1,MATCH($B12,'Asset Returns'!$1:$1,0),4),1,"")&amp;":"&amp;SUBSTITUTE(ADDRESS(1,MATCH($B12,'Asset Returns'!$1:$1,0),4),1,""))))</f>
        <v/>
      </c>
      <c r="S12" s="70" t="str">
        <f ca="1">IF(OR(S$8="",$B12=""),"",_xlfn.COVARIANCE.S(INDIRECT("'Asset Returns'!"&amp;SUBSTITUTE(ADDRESS(1,MATCH(S$8,'Asset Returns'!$1:$1,0),4),1,"")&amp;":"&amp;SUBSTITUTE(ADDRESS(1,MATCH(S$8,'Asset Returns'!$1:$1,0),4),1,"")),INDIRECT("'Asset Returns'!"&amp;SUBSTITUTE(ADDRESS(1,MATCH($B12,'Asset Returns'!$1:$1,0),4),1,"")&amp;":"&amp;SUBSTITUTE(ADDRESS(1,MATCH($B12,'Asset Returns'!$1:$1,0),4),1,""))))</f>
        <v/>
      </c>
      <c r="T12" s="70" t="str">
        <f ca="1">IF(OR(T$8="",$B12=""),"",_xlfn.COVARIANCE.S(INDIRECT("'Asset Returns'!"&amp;SUBSTITUTE(ADDRESS(1,MATCH(T$8,'Asset Returns'!$1:$1,0),4),1,"")&amp;":"&amp;SUBSTITUTE(ADDRESS(1,MATCH(T$8,'Asset Returns'!$1:$1,0),4),1,"")),INDIRECT("'Asset Returns'!"&amp;SUBSTITUTE(ADDRESS(1,MATCH($B12,'Asset Returns'!$1:$1,0),4),1,"")&amp;":"&amp;SUBSTITUTE(ADDRESS(1,MATCH($B12,'Asset Returns'!$1:$1,0),4),1,""))))</f>
        <v/>
      </c>
      <c r="U12" s="70" t="str">
        <f ca="1">IF(OR(U$8="",$B12=""),"",_xlfn.COVARIANCE.S(INDIRECT("'Asset Returns'!"&amp;SUBSTITUTE(ADDRESS(1,MATCH(U$8,'Asset Returns'!$1:$1,0),4),1,"")&amp;":"&amp;SUBSTITUTE(ADDRESS(1,MATCH(U$8,'Asset Returns'!$1:$1,0),4),1,"")),INDIRECT("'Asset Returns'!"&amp;SUBSTITUTE(ADDRESS(1,MATCH($B12,'Asset Returns'!$1:$1,0),4),1,"")&amp;":"&amp;SUBSTITUTE(ADDRESS(1,MATCH($B12,'Asset Returns'!$1:$1,0),4),1,""))))</f>
        <v/>
      </c>
      <c r="V12" s="70" t="str">
        <f ca="1">IF(OR(V$8="",$B12=""),"",_xlfn.COVARIANCE.S(INDIRECT("'Asset Returns'!"&amp;SUBSTITUTE(ADDRESS(1,MATCH(V$8,'Asset Returns'!$1:$1,0),4),1,"")&amp;":"&amp;SUBSTITUTE(ADDRESS(1,MATCH(V$8,'Asset Returns'!$1:$1,0),4),1,"")),INDIRECT("'Asset Returns'!"&amp;SUBSTITUTE(ADDRESS(1,MATCH($B12,'Asset Returns'!$1:$1,0),4),1,"")&amp;":"&amp;SUBSTITUTE(ADDRESS(1,MATCH($B12,'Asset Returns'!$1:$1,0),4),1,""))))</f>
        <v/>
      </c>
      <c r="W12" s="70" t="str">
        <f ca="1">IF(OR(W$8="",$B12=""),"",_xlfn.COVARIANCE.S(INDIRECT("'Asset Returns'!"&amp;SUBSTITUTE(ADDRESS(1,MATCH(W$8,'Asset Returns'!$1:$1,0),4),1,"")&amp;":"&amp;SUBSTITUTE(ADDRESS(1,MATCH(W$8,'Asset Returns'!$1:$1,0),4),1,"")),INDIRECT("'Asset Returns'!"&amp;SUBSTITUTE(ADDRESS(1,MATCH($B12,'Asset Returns'!$1:$1,0),4),1,"")&amp;":"&amp;SUBSTITUTE(ADDRESS(1,MATCH($B12,'Asset Returns'!$1:$1,0),4),1,""))))</f>
        <v/>
      </c>
      <c r="X12" s="70" t="str">
        <f ca="1">IF(OR(X$8="",$B12=""),"",_xlfn.COVARIANCE.S(INDIRECT("'Asset Returns'!"&amp;SUBSTITUTE(ADDRESS(1,MATCH(X$8,'Asset Returns'!$1:$1,0),4),1,"")&amp;":"&amp;SUBSTITUTE(ADDRESS(1,MATCH(X$8,'Asset Returns'!$1:$1,0),4),1,"")),INDIRECT("'Asset Returns'!"&amp;SUBSTITUTE(ADDRESS(1,MATCH($B12,'Asset Returns'!$1:$1,0),4),1,"")&amp;":"&amp;SUBSTITUTE(ADDRESS(1,MATCH($B12,'Asset Returns'!$1:$1,0),4),1,""))))</f>
        <v/>
      </c>
      <c r="Y12" s="70" t="str">
        <f ca="1">IF(OR(Y$8="",$B12=""),"",_xlfn.COVARIANCE.S(INDIRECT("'Asset Returns'!"&amp;SUBSTITUTE(ADDRESS(1,MATCH(Y$8,'Asset Returns'!$1:$1,0),4),1,"")&amp;":"&amp;SUBSTITUTE(ADDRESS(1,MATCH(Y$8,'Asset Returns'!$1:$1,0),4),1,"")),INDIRECT("'Asset Returns'!"&amp;SUBSTITUTE(ADDRESS(1,MATCH($B12,'Asset Returns'!$1:$1,0),4),1,"")&amp;":"&amp;SUBSTITUTE(ADDRESS(1,MATCH($B12,'Asset Returns'!$1:$1,0),4),1,""))))</f>
        <v/>
      </c>
      <c r="Z12" s="70" t="str">
        <f ca="1">IF(OR(Z$8="",$B12=""),"",_xlfn.COVARIANCE.S(INDIRECT("'Asset Returns'!"&amp;SUBSTITUTE(ADDRESS(1,MATCH(Z$8,'Asset Returns'!$1:$1,0),4),1,"")&amp;":"&amp;SUBSTITUTE(ADDRESS(1,MATCH(Z$8,'Asset Returns'!$1:$1,0),4),1,"")),INDIRECT("'Asset Returns'!"&amp;SUBSTITUTE(ADDRESS(1,MATCH($B12,'Asset Returns'!$1:$1,0),4),1,"")&amp;":"&amp;SUBSTITUTE(ADDRESS(1,MATCH($B12,'Asset Returns'!$1:$1,0),4),1,""))))</f>
        <v/>
      </c>
      <c r="AA12" s="70" t="str">
        <f ca="1">IF(OR(AA$8="",$B12=""),"",_xlfn.COVARIANCE.S(INDIRECT("'Asset Returns'!"&amp;SUBSTITUTE(ADDRESS(1,MATCH(AA$8,'Asset Returns'!$1:$1,0),4),1,"")&amp;":"&amp;SUBSTITUTE(ADDRESS(1,MATCH(AA$8,'Asset Returns'!$1:$1,0),4),1,"")),INDIRECT("'Asset Returns'!"&amp;SUBSTITUTE(ADDRESS(1,MATCH($B12,'Asset Returns'!$1:$1,0),4),1,"")&amp;":"&amp;SUBSTITUTE(ADDRESS(1,MATCH($B12,'Asset Returns'!$1:$1,0),4),1,""))))</f>
        <v/>
      </c>
      <c r="AB12" s="96">
        <v>-12500</v>
      </c>
      <c r="AC12" s="48">
        <f t="shared" si="0"/>
        <v>-0.12500250005000099</v>
      </c>
      <c r="AE12" s="207"/>
      <c r="AF12" s="207"/>
      <c r="AG12" s="207"/>
      <c r="AH12" s="207"/>
      <c r="AI12" s="207"/>
      <c r="AJ12" s="207"/>
      <c r="AK12" s="207"/>
      <c r="AL12" s="207"/>
      <c r="AM12" s="207"/>
    </row>
    <row r="13" spans="1:39" x14ac:dyDescent="0.25">
      <c r="A13" s="47"/>
      <c r="B13" s="92" t="s">
        <v>113</v>
      </c>
      <c r="C13" s="69">
        <f ca="1">IF(OR(C$8="",$B13=""),"",_xlfn.COVARIANCE.S(INDIRECT("'Asset Returns'!"&amp;SUBSTITUTE(ADDRESS(1,MATCH(C$8,'Asset Returns'!$1:$1,0),4),1,"")&amp;":"&amp;SUBSTITUTE(ADDRESS(1,MATCH(C$8,'Asset Returns'!$1:$1,0),4),1,"")),INDIRECT("'Asset Returns'!"&amp;SUBSTITUTE(ADDRESS(1,MATCH($B13,'Asset Returns'!$1:$1,0),4),1,"")&amp;":"&amp;SUBSTITUTE(ADDRESS(1,MATCH($B13,'Asset Returns'!$1:$1,0),4),1,""))))</f>
        <v>1.0179733001570855E-3</v>
      </c>
      <c r="D13" s="70">
        <f ca="1">IF(OR(D$8="",$B13=""),"",_xlfn.COVARIANCE.S(INDIRECT("'Asset Returns'!"&amp;SUBSTITUTE(ADDRESS(1,MATCH(D$8,'Asset Returns'!$1:$1,0),4),1,"")&amp;":"&amp;SUBSTITUTE(ADDRESS(1,MATCH(D$8,'Asset Returns'!$1:$1,0),4),1,"")),INDIRECT("'Asset Returns'!"&amp;SUBSTITUTE(ADDRESS(1,MATCH($B13,'Asset Returns'!$1:$1,0),4),1,"")&amp;":"&amp;SUBSTITUTE(ADDRESS(1,MATCH($B13,'Asset Returns'!$1:$1,0),4),1,""))))</f>
        <v>8.0579200173556726E-4</v>
      </c>
      <c r="E13" s="70">
        <f ca="1">IF(OR(E$8="",$B13=""),"",_xlfn.COVARIANCE.S(INDIRECT("'Asset Returns'!"&amp;SUBSTITUTE(ADDRESS(1,MATCH(E$8,'Asset Returns'!$1:$1,0),4),1,"")&amp;":"&amp;SUBSTITUTE(ADDRESS(1,MATCH(E$8,'Asset Returns'!$1:$1,0),4),1,"")),INDIRECT("'Asset Returns'!"&amp;SUBSTITUTE(ADDRESS(1,MATCH($B13,'Asset Returns'!$1:$1,0),4),1,"")&amp;":"&amp;SUBSTITUTE(ADDRESS(1,MATCH($B13,'Asset Returns'!$1:$1,0),4),1,""))))</f>
        <v>1.0273038538226534E-3</v>
      </c>
      <c r="F13" s="70">
        <f ca="1">IF(OR(F$8="",$B13=""),"",_xlfn.COVARIANCE.S(INDIRECT("'Asset Returns'!"&amp;SUBSTITUTE(ADDRESS(1,MATCH(F$8,'Asset Returns'!$1:$1,0),4),1,"")&amp;":"&amp;SUBSTITUTE(ADDRESS(1,MATCH(F$8,'Asset Returns'!$1:$1,0),4),1,"")),INDIRECT("'Asset Returns'!"&amp;SUBSTITUTE(ADDRESS(1,MATCH($B13,'Asset Returns'!$1:$1,0),4),1,"")&amp;":"&amp;SUBSTITUTE(ADDRESS(1,MATCH($B13,'Asset Returns'!$1:$1,0),4),1,""))))</f>
        <v>1.3958625346839931E-3</v>
      </c>
      <c r="G13" s="70">
        <f ca="1">IF(OR(G$8="",$B13=""),"",_xlfn.COVARIANCE.S(INDIRECT("'Asset Returns'!"&amp;SUBSTITUTE(ADDRESS(1,MATCH(G$8,'Asset Returns'!$1:$1,0),4),1,"")&amp;":"&amp;SUBSTITUTE(ADDRESS(1,MATCH(G$8,'Asset Returns'!$1:$1,0),4),1,"")),INDIRECT("'Asset Returns'!"&amp;SUBSTITUTE(ADDRESS(1,MATCH($B13,'Asset Returns'!$1:$1,0),4),1,"")&amp;":"&amp;SUBSTITUTE(ADDRESS(1,MATCH($B13,'Asset Returns'!$1:$1,0),4),1,""))))</f>
        <v>3.4429212601816751E-3</v>
      </c>
      <c r="H13" s="70">
        <f ca="1">IF(OR(H$8="",$B13=""),"",_xlfn.COVARIANCE.S(INDIRECT("'Asset Returns'!"&amp;SUBSTITUTE(ADDRESS(1,MATCH(H$8,'Asset Returns'!$1:$1,0),4),1,"")&amp;":"&amp;SUBSTITUTE(ADDRESS(1,MATCH(H$8,'Asset Returns'!$1:$1,0),4),1,"")),INDIRECT("'Asset Returns'!"&amp;SUBSTITUTE(ADDRESS(1,MATCH($B13,'Asset Returns'!$1:$1,0),4),1,"")&amp;":"&amp;SUBSTITUTE(ADDRESS(1,MATCH($B13,'Asset Returns'!$1:$1,0),4),1,""))))</f>
        <v>1.3549232256282492E-3</v>
      </c>
      <c r="I13" s="70">
        <f ca="1">IF(OR(I$8="",$B13=""),"",_xlfn.COVARIANCE.S(INDIRECT("'Asset Returns'!"&amp;SUBSTITUTE(ADDRESS(1,MATCH(I$8,'Asset Returns'!$1:$1,0),4),1,"")&amp;":"&amp;SUBSTITUTE(ADDRESS(1,MATCH(I$8,'Asset Returns'!$1:$1,0),4),1,"")),INDIRECT("'Asset Returns'!"&amp;SUBSTITUTE(ADDRESS(1,MATCH($B13,'Asset Returns'!$1:$1,0),4),1,"")&amp;":"&amp;SUBSTITUTE(ADDRESS(1,MATCH($B13,'Asset Returns'!$1:$1,0),4),1,""))))</f>
        <v>1.4320649935010291E-3</v>
      </c>
      <c r="J13" s="70">
        <f ca="1">IF(OR(J$8="",$B13=""),"",_xlfn.COVARIANCE.S(INDIRECT("'Asset Returns'!"&amp;SUBSTITUTE(ADDRESS(1,MATCH(J$8,'Asset Returns'!$1:$1,0),4),1,"")&amp;":"&amp;SUBSTITUTE(ADDRESS(1,MATCH(J$8,'Asset Returns'!$1:$1,0),4),1,"")),INDIRECT("'Asset Returns'!"&amp;SUBSTITUTE(ADDRESS(1,MATCH($B13,'Asset Returns'!$1:$1,0),4),1,"")&amp;":"&amp;SUBSTITUTE(ADDRESS(1,MATCH($B13,'Asset Returns'!$1:$1,0),4),1,""))))</f>
        <v>1.2724459922677797E-3</v>
      </c>
      <c r="K13" s="70">
        <f ca="1">IF(OR(K$8="",$B13=""),"",_xlfn.COVARIANCE.S(INDIRECT("'Asset Returns'!"&amp;SUBSTITUTE(ADDRESS(1,MATCH(K$8,'Asset Returns'!$1:$1,0),4),1,"")&amp;":"&amp;SUBSTITUTE(ADDRESS(1,MATCH(K$8,'Asset Returns'!$1:$1,0),4),1,"")),INDIRECT("'Asset Returns'!"&amp;SUBSTITUTE(ADDRESS(1,MATCH($B13,'Asset Returns'!$1:$1,0),4),1,"")&amp;":"&amp;SUBSTITUTE(ADDRESS(1,MATCH($B13,'Asset Returns'!$1:$1,0),4),1,""))))</f>
        <v>8.1791141943415586E-4</v>
      </c>
      <c r="L13" s="70">
        <f ca="1">IF(OR(L$8="",$B13=""),"",_xlfn.COVARIANCE.S(INDIRECT("'Asset Returns'!"&amp;SUBSTITUTE(ADDRESS(1,MATCH(L$8,'Asset Returns'!$1:$1,0),4),1,"")&amp;":"&amp;SUBSTITUTE(ADDRESS(1,MATCH(L$8,'Asset Returns'!$1:$1,0),4),1,"")),INDIRECT("'Asset Returns'!"&amp;SUBSTITUTE(ADDRESS(1,MATCH($B13,'Asset Returns'!$1:$1,0),4),1,"")&amp;":"&amp;SUBSTITUTE(ADDRESS(1,MATCH($B13,'Asset Returns'!$1:$1,0),4),1,""))))</f>
        <v>5.9843086736175734E-4</v>
      </c>
      <c r="M13" s="70" t="str">
        <f ca="1">IF(OR(M$8="",$B13=""),"",_xlfn.COVARIANCE.S(INDIRECT("'Asset Returns'!"&amp;SUBSTITUTE(ADDRESS(1,MATCH(M$8,'Asset Returns'!$1:$1,0),4),1,"")&amp;":"&amp;SUBSTITUTE(ADDRESS(1,MATCH(M$8,'Asset Returns'!$1:$1,0),4),1,"")),INDIRECT("'Asset Returns'!"&amp;SUBSTITUTE(ADDRESS(1,MATCH($B13,'Asset Returns'!$1:$1,0),4),1,"")&amp;":"&amp;SUBSTITUTE(ADDRESS(1,MATCH($B13,'Asset Returns'!$1:$1,0),4),1,""))))</f>
        <v/>
      </c>
      <c r="N13" s="70" t="str">
        <f ca="1">IF(OR(N$8="",$B13=""),"",_xlfn.COVARIANCE.S(INDIRECT("'Asset Returns'!"&amp;SUBSTITUTE(ADDRESS(1,MATCH(N$8,'Asset Returns'!$1:$1,0),4),1,"")&amp;":"&amp;SUBSTITUTE(ADDRESS(1,MATCH(N$8,'Asset Returns'!$1:$1,0),4),1,"")),INDIRECT("'Asset Returns'!"&amp;SUBSTITUTE(ADDRESS(1,MATCH($B13,'Asset Returns'!$1:$1,0),4),1,"")&amp;":"&amp;SUBSTITUTE(ADDRESS(1,MATCH($B13,'Asset Returns'!$1:$1,0),4),1,""))))</f>
        <v/>
      </c>
      <c r="O13" s="70" t="str">
        <f ca="1">IF(OR(O$8="",$B13=""),"",_xlfn.COVARIANCE.S(INDIRECT("'Asset Returns'!"&amp;SUBSTITUTE(ADDRESS(1,MATCH(O$8,'Asset Returns'!$1:$1,0),4),1,"")&amp;":"&amp;SUBSTITUTE(ADDRESS(1,MATCH(O$8,'Asset Returns'!$1:$1,0),4),1,"")),INDIRECT("'Asset Returns'!"&amp;SUBSTITUTE(ADDRESS(1,MATCH($B13,'Asset Returns'!$1:$1,0),4),1,"")&amp;":"&amp;SUBSTITUTE(ADDRESS(1,MATCH($B13,'Asset Returns'!$1:$1,0),4),1,""))))</f>
        <v/>
      </c>
      <c r="P13" s="70" t="str">
        <f ca="1">IF(OR(P$8="",$B13=""),"",_xlfn.COVARIANCE.S(INDIRECT("'Asset Returns'!"&amp;SUBSTITUTE(ADDRESS(1,MATCH(P$8,'Asset Returns'!$1:$1,0),4),1,"")&amp;":"&amp;SUBSTITUTE(ADDRESS(1,MATCH(P$8,'Asset Returns'!$1:$1,0),4),1,"")),INDIRECT("'Asset Returns'!"&amp;SUBSTITUTE(ADDRESS(1,MATCH($B13,'Asset Returns'!$1:$1,0),4),1,"")&amp;":"&amp;SUBSTITUTE(ADDRESS(1,MATCH($B13,'Asset Returns'!$1:$1,0),4),1,""))))</f>
        <v/>
      </c>
      <c r="Q13" s="70" t="str">
        <f ca="1">IF(OR(Q$8="",$B13=""),"",_xlfn.COVARIANCE.S(INDIRECT("'Asset Returns'!"&amp;SUBSTITUTE(ADDRESS(1,MATCH(Q$8,'Asset Returns'!$1:$1,0),4),1,"")&amp;":"&amp;SUBSTITUTE(ADDRESS(1,MATCH(Q$8,'Asset Returns'!$1:$1,0),4),1,"")),INDIRECT("'Asset Returns'!"&amp;SUBSTITUTE(ADDRESS(1,MATCH($B13,'Asset Returns'!$1:$1,0),4),1,"")&amp;":"&amp;SUBSTITUTE(ADDRESS(1,MATCH($B13,'Asset Returns'!$1:$1,0),4),1,""))))</f>
        <v/>
      </c>
      <c r="R13" s="70" t="str">
        <f ca="1">IF(OR(R$8="",$B13=""),"",_xlfn.COVARIANCE.S(INDIRECT("'Asset Returns'!"&amp;SUBSTITUTE(ADDRESS(1,MATCH(R$8,'Asset Returns'!$1:$1,0),4),1,"")&amp;":"&amp;SUBSTITUTE(ADDRESS(1,MATCH(R$8,'Asset Returns'!$1:$1,0),4),1,"")),INDIRECT("'Asset Returns'!"&amp;SUBSTITUTE(ADDRESS(1,MATCH($B13,'Asset Returns'!$1:$1,0),4),1,"")&amp;":"&amp;SUBSTITUTE(ADDRESS(1,MATCH($B13,'Asset Returns'!$1:$1,0),4),1,""))))</f>
        <v/>
      </c>
      <c r="S13" s="70" t="str">
        <f ca="1">IF(OR(S$8="",$B13=""),"",_xlfn.COVARIANCE.S(INDIRECT("'Asset Returns'!"&amp;SUBSTITUTE(ADDRESS(1,MATCH(S$8,'Asset Returns'!$1:$1,0),4),1,"")&amp;":"&amp;SUBSTITUTE(ADDRESS(1,MATCH(S$8,'Asset Returns'!$1:$1,0),4),1,"")),INDIRECT("'Asset Returns'!"&amp;SUBSTITUTE(ADDRESS(1,MATCH($B13,'Asset Returns'!$1:$1,0),4),1,"")&amp;":"&amp;SUBSTITUTE(ADDRESS(1,MATCH($B13,'Asset Returns'!$1:$1,0),4),1,""))))</f>
        <v/>
      </c>
      <c r="T13" s="70" t="str">
        <f ca="1">IF(OR(T$8="",$B13=""),"",_xlfn.COVARIANCE.S(INDIRECT("'Asset Returns'!"&amp;SUBSTITUTE(ADDRESS(1,MATCH(T$8,'Asset Returns'!$1:$1,0),4),1,"")&amp;":"&amp;SUBSTITUTE(ADDRESS(1,MATCH(T$8,'Asset Returns'!$1:$1,0),4),1,"")),INDIRECT("'Asset Returns'!"&amp;SUBSTITUTE(ADDRESS(1,MATCH($B13,'Asset Returns'!$1:$1,0),4),1,"")&amp;":"&amp;SUBSTITUTE(ADDRESS(1,MATCH($B13,'Asset Returns'!$1:$1,0),4),1,""))))</f>
        <v/>
      </c>
      <c r="U13" s="70" t="str">
        <f ca="1">IF(OR(U$8="",$B13=""),"",_xlfn.COVARIANCE.S(INDIRECT("'Asset Returns'!"&amp;SUBSTITUTE(ADDRESS(1,MATCH(U$8,'Asset Returns'!$1:$1,0),4),1,"")&amp;":"&amp;SUBSTITUTE(ADDRESS(1,MATCH(U$8,'Asset Returns'!$1:$1,0),4),1,"")),INDIRECT("'Asset Returns'!"&amp;SUBSTITUTE(ADDRESS(1,MATCH($B13,'Asset Returns'!$1:$1,0),4),1,"")&amp;":"&amp;SUBSTITUTE(ADDRESS(1,MATCH($B13,'Asset Returns'!$1:$1,0),4),1,""))))</f>
        <v/>
      </c>
      <c r="V13" s="70" t="str">
        <f ca="1">IF(OR(V$8="",$B13=""),"",_xlfn.COVARIANCE.S(INDIRECT("'Asset Returns'!"&amp;SUBSTITUTE(ADDRESS(1,MATCH(V$8,'Asset Returns'!$1:$1,0),4),1,"")&amp;":"&amp;SUBSTITUTE(ADDRESS(1,MATCH(V$8,'Asset Returns'!$1:$1,0),4),1,"")),INDIRECT("'Asset Returns'!"&amp;SUBSTITUTE(ADDRESS(1,MATCH($B13,'Asset Returns'!$1:$1,0),4),1,"")&amp;":"&amp;SUBSTITUTE(ADDRESS(1,MATCH($B13,'Asset Returns'!$1:$1,0),4),1,""))))</f>
        <v/>
      </c>
      <c r="W13" s="70" t="str">
        <f ca="1">IF(OR(W$8="",$B13=""),"",_xlfn.COVARIANCE.S(INDIRECT("'Asset Returns'!"&amp;SUBSTITUTE(ADDRESS(1,MATCH(W$8,'Asset Returns'!$1:$1,0),4),1,"")&amp;":"&amp;SUBSTITUTE(ADDRESS(1,MATCH(W$8,'Asset Returns'!$1:$1,0),4),1,"")),INDIRECT("'Asset Returns'!"&amp;SUBSTITUTE(ADDRESS(1,MATCH($B13,'Asset Returns'!$1:$1,0),4),1,"")&amp;":"&amp;SUBSTITUTE(ADDRESS(1,MATCH($B13,'Asset Returns'!$1:$1,0),4),1,""))))</f>
        <v/>
      </c>
      <c r="X13" s="70" t="str">
        <f ca="1">IF(OR(X$8="",$B13=""),"",_xlfn.COVARIANCE.S(INDIRECT("'Asset Returns'!"&amp;SUBSTITUTE(ADDRESS(1,MATCH(X$8,'Asset Returns'!$1:$1,0),4),1,"")&amp;":"&amp;SUBSTITUTE(ADDRESS(1,MATCH(X$8,'Asset Returns'!$1:$1,0),4),1,"")),INDIRECT("'Asset Returns'!"&amp;SUBSTITUTE(ADDRESS(1,MATCH($B13,'Asset Returns'!$1:$1,0),4),1,"")&amp;":"&amp;SUBSTITUTE(ADDRESS(1,MATCH($B13,'Asset Returns'!$1:$1,0),4),1,""))))</f>
        <v/>
      </c>
      <c r="Y13" s="70" t="str">
        <f ca="1">IF(OR(Y$8="",$B13=""),"",_xlfn.COVARIANCE.S(INDIRECT("'Asset Returns'!"&amp;SUBSTITUTE(ADDRESS(1,MATCH(Y$8,'Asset Returns'!$1:$1,0),4),1,"")&amp;":"&amp;SUBSTITUTE(ADDRESS(1,MATCH(Y$8,'Asset Returns'!$1:$1,0),4),1,"")),INDIRECT("'Asset Returns'!"&amp;SUBSTITUTE(ADDRESS(1,MATCH($B13,'Asset Returns'!$1:$1,0),4),1,"")&amp;":"&amp;SUBSTITUTE(ADDRESS(1,MATCH($B13,'Asset Returns'!$1:$1,0),4),1,""))))</f>
        <v/>
      </c>
      <c r="Z13" s="70" t="str">
        <f ca="1">IF(OR(Z$8="",$B13=""),"",_xlfn.COVARIANCE.S(INDIRECT("'Asset Returns'!"&amp;SUBSTITUTE(ADDRESS(1,MATCH(Z$8,'Asset Returns'!$1:$1,0),4),1,"")&amp;":"&amp;SUBSTITUTE(ADDRESS(1,MATCH(Z$8,'Asset Returns'!$1:$1,0),4),1,"")),INDIRECT("'Asset Returns'!"&amp;SUBSTITUTE(ADDRESS(1,MATCH($B13,'Asset Returns'!$1:$1,0),4),1,"")&amp;":"&amp;SUBSTITUTE(ADDRESS(1,MATCH($B13,'Asset Returns'!$1:$1,0),4),1,""))))</f>
        <v/>
      </c>
      <c r="AA13" s="70" t="str">
        <f ca="1">IF(OR(AA$8="",$B13=""),"",_xlfn.COVARIANCE.S(INDIRECT("'Asset Returns'!"&amp;SUBSTITUTE(ADDRESS(1,MATCH(AA$8,'Asset Returns'!$1:$1,0),4),1,"")&amp;":"&amp;SUBSTITUTE(ADDRESS(1,MATCH(AA$8,'Asset Returns'!$1:$1,0),4),1,"")),INDIRECT("'Asset Returns'!"&amp;SUBSTITUTE(ADDRESS(1,MATCH($B13,'Asset Returns'!$1:$1,0),4),1,"")&amp;":"&amp;SUBSTITUTE(ADDRESS(1,MATCH($B13,'Asset Returns'!$1:$1,0),4),1,""))))</f>
        <v/>
      </c>
      <c r="AB13" s="96">
        <v>8333</v>
      </c>
      <c r="AC13" s="48">
        <f t="shared" si="0"/>
        <v>8.3331666633332663E-2</v>
      </c>
      <c r="AE13" s="207"/>
      <c r="AF13" s="207"/>
      <c r="AG13" s="207"/>
      <c r="AH13" s="207"/>
      <c r="AI13" s="207"/>
      <c r="AJ13" s="207"/>
      <c r="AK13" s="207"/>
      <c r="AL13" s="207"/>
      <c r="AM13" s="207"/>
    </row>
    <row r="14" spans="1:39" x14ac:dyDescent="0.25">
      <c r="A14" s="47"/>
      <c r="B14" s="92" t="s">
        <v>63</v>
      </c>
      <c r="C14" s="69">
        <f ca="1">IF(OR(C$8="",$B14=""),"",_xlfn.COVARIANCE.S(INDIRECT("'Asset Returns'!"&amp;SUBSTITUTE(ADDRESS(1,MATCH(C$8,'Asset Returns'!$1:$1,0),4),1,"")&amp;":"&amp;SUBSTITUTE(ADDRESS(1,MATCH(C$8,'Asset Returns'!$1:$1,0),4),1,"")),INDIRECT("'Asset Returns'!"&amp;SUBSTITUTE(ADDRESS(1,MATCH($B14,'Asset Returns'!$1:$1,0),4),1,"")&amp;":"&amp;SUBSTITUTE(ADDRESS(1,MATCH($B14,'Asset Returns'!$1:$1,0),4),1,""))))</f>
        <v>1.9912436863463562E-3</v>
      </c>
      <c r="D14" s="70">
        <f ca="1">IF(OR(D$8="",$B14=""),"",_xlfn.COVARIANCE.S(INDIRECT("'Asset Returns'!"&amp;SUBSTITUTE(ADDRESS(1,MATCH(D$8,'Asset Returns'!$1:$1,0),4),1,"")&amp;":"&amp;SUBSTITUTE(ADDRESS(1,MATCH(D$8,'Asset Returns'!$1:$1,0),4),1,"")),INDIRECT("'Asset Returns'!"&amp;SUBSTITUTE(ADDRESS(1,MATCH($B14,'Asset Returns'!$1:$1,0),4),1,"")&amp;":"&amp;SUBSTITUTE(ADDRESS(1,MATCH($B14,'Asset Returns'!$1:$1,0),4),1,""))))</f>
        <v>1.7849950284989499E-3</v>
      </c>
      <c r="E14" s="70">
        <f ca="1">IF(OR(E$8="",$B14=""),"",_xlfn.COVARIANCE.S(INDIRECT("'Asset Returns'!"&amp;SUBSTITUTE(ADDRESS(1,MATCH(E$8,'Asset Returns'!$1:$1,0),4),1,"")&amp;":"&amp;SUBSTITUTE(ADDRESS(1,MATCH(E$8,'Asset Returns'!$1:$1,0),4),1,"")),INDIRECT("'Asset Returns'!"&amp;SUBSTITUTE(ADDRESS(1,MATCH($B14,'Asset Returns'!$1:$1,0),4),1,"")&amp;":"&amp;SUBSTITUTE(ADDRESS(1,MATCH($B14,'Asset Returns'!$1:$1,0),4),1,""))))</f>
        <v>2.4723270213388984E-3</v>
      </c>
      <c r="F14" s="70">
        <f ca="1">IF(OR(F$8="",$B14=""),"",_xlfn.COVARIANCE.S(INDIRECT("'Asset Returns'!"&amp;SUBSTITUTE(ADDRESS(1,MATCH(F$8,'Asset Returns'!$1:$1,0),4),1,"")&amp;":"&amp;SUBSTITUTE(ADDRESS(1,MATCH(F$8,'Asset Returns'!$1:$1,0),4),1,"")),INDIRECT("'Asset Returns'!"&amp;SUBSTITUTE(ADDRESS(1,MATCH($B14,'Asset Returns'!$1:$1,0),4),1,"")&amp;":"&amp;SUBSTITUTE(ADDRESS(1,MATCH($B14,'Asset Returns'!$1:$1,0),4),1,""))))</f>
        <v>1.7049519748120359E-3</v>
      </c>
      <c r="G14" s="70">
        <f ca="1">IF(OR(G$8="",$B14=""),"",_xlfn.COVARIANCE.S(INDIRECT("'Asset Returns'!"&amp;SUBSTITUTE(ADDRESS(1,MATCH(G$8,'Asset Returns'!$1:$1,0),4),1,"")&amp;":"&amp;SUBSTITUTE(ADDRESS(1,MATCH(G$8,'Asset Returns'!$1:$1,0),4),1,"")),INDIRECT("'Asset Returns'!"&amp;SUBSTITUTE(ADDRESS(1,MATCH($B14,'Asset Returns'!$1:$1,0),4),1,"")&amp;":"&amp;SUBSTITUTE(ADDRESS(1,MATCH($B14,'Asset Returns'!$1:$1,0),4),1,""))))</f>
        <v>1.3549232256282492E-3</v>
      </c>
      <c r="H14" s="70">
        <f ca="1">IF(OR(H$8="",$B14=""),"",_xlfn.COVARIANCE.S(INDIRECT("'Asset Returns'!"&amp;SUBSTITUTE(ADDRESS(1,MATCH(H$8,'Asset Returns'!$1:$1,0),4),1,"")&amp;":"&amp;SUBSTITUTE(ADDRESS(1,MATCH(H$8,'Asset Returns'!$1:$1,0),4),1,"")),INDIRECT("'Asset Returns'!"&amp;SUBSTITUTE(ADDRESS(1,MATCH($B14,'Asset Returns'!$1:$1,0),4),1,"")&amp;":"&amp;SUBSTITUTE(ADDRESS(1,MATCH($B14,'Asset Returns'!$1:$1,0),4),1,""))))</f>
        <v>5.6596413276375612E-3</v>
      </c>
      <c r="I14" s="70">
        <f ca="1">IF(OR(I$8="",$B14=""),"",_xlfn.COVARIANCE.S(INDIRECT("'Asset Returns'!"&amp;SUBSTITUTE(ADDRESS(1,MATCH(I$8,'Asset Returns'!$1:$1,0),4),1,"")&amp;":"&amp;SUBSTITUTE(ADDRESS(1,MATCH(I$8,'Asset Returns'!$1:$1,0),4),1,"")),INDIRECT("'Asset Returns'!"&amp;SUBSTITUTE(ADDRESS(1,MATCH($B14,'Asset Returns'!$1:$1,0),4),1,"")&amp;":"&amp;SUBSTITUTE(ADDRESS(1,MATCH($B14,'Asset Returns'!$1:$1,0),4),1,""))))</f>
        <v>2.6243258279405957E-3</v>
      </c>
      <c r="J14" s="70">
        <f ca="1">IF(OR(J$8="",$B14=""),"",_xlfn.COVARIANCE.S(INDIRECT("'Asset Returns'!"&amp;SUBSTITUTE(ADDRESS(1,MATCH(J$8,'Asset Returns'!$1:$1,0),4),1,"")&amp;":"&amp;SUBSTITUTE(ADDRESS(1,MATCH(J$8,'Asset Returns'!$1:$1,0),4),1,"")),INDIRECT("'Asset Returns'!"&amp;SUBSTITUTE(ADDRESS(1,MATCH($B14,'Asset Returns'!$1:$1,0),4),1,"")&amp;":"&amp;SUBSTITUTE(ADDRESS(1,MATCH($B14,'Asset Returns'!$1:$1,0),4),1,""))))</f>
        <v>1.722518561789713E-3</v>
      </c>
      <c r="K14" s="70">
        <f ca="1">IF(OR(K$8="",$B14=""),"",_xlfn.COVARIANCE.S(INDIRECT("'Asset Returns'!"&amp;SUBSTITUTE(ADDRESS(1,MATCH(K$8,'Asset Returns'!$1:$1,0),4),1,"")&amp;":"&amp;SUBSTITUTE(ADDRESS(1,MATCH(K$8,'Asset Returns'!$1:$1,0),4),1,"")),INDIRECT("'Asset Returns'!"&amp;SUBSTITUTE(ADDRESS(1,MATCH($B14,'Asset Returns'!$1:$1,0),4),1,"")&amp;":"&amp;SUBSTITUTE(ADDRESS(1,MATCH($B14,'Asset Returns'!$1:$1,0),4),1,""))))</f>
        <v>1.493228487132191E-3</v>
      </c>
      <c r="L14" s="70">
        <f ca="1">IF(OR(L$8="",$B14=""),"",_xlfn.COVARIANCE.S(INDIRECT("'Asset Returns'!"&amp;SUBSTITUTE(ADDRESS(1,MATCH(L$8,'Asset Returns'!$1:$1,0),4),1,"")&amp;":"&amp;SUBSTITUTE(ADDRESS(1,MATCH(L$8,'Asset Returns'!$1:$1,0),4),1,"")),INDIRECT("'Asset Returns'!"&amp;SUBSTITUTE(ADDRESS(1,MATCH($B14,'Asset Returns'!$1:$1,0),4),1,"")&amp;":"&amp;SUBSTITUTE(ADDRESS(1,MATCH($B14,'Asset Returns'!$1:$1,0),4),1,""))))</f>
        <v>1.443289084025961E-3</v>
      </c>
      <c r="M14" s="70" t="str">
        <f ca="1">IF(OR(M$8="",$B14=""),"",_xlfn.COVARIANCE.S(INDIRECT("'Asset Returns'!"&amp;SUBSTITUTE(ADDRESS(1,MATCH(M$8,'Asset Returns'!$1:$1,0),4),1,"")&amp;":"&amp;SUBSTITUTE(ADDRESS(1,MATCH(M$8,'Asset Returns'!$1:$1,0),4),1,"")),INDIRECT("'Asset Returns'!"&amp;SUBSTITUTE(ADDRESS(1,MATCH($B14,'Asset Returns'!$1:$1,0),4),1,"")&amp;":"&amp;SUBSTITUTE(ADDRESS(1,MATCH($B14,'Asset Returns'!$1:$1,0),4),1,""))))</f>
        <v/>
      </c>
      <c r="N14" s="70" t="str">
        <f ca="1">IF(OR(N$8="",$B14=""),"",_xlfn.COVARIANCE.S(INDIRECT("'Asset Returns'!"&amp;SUBSTITUTE(ADDRESS(1,MATCH(N$8,'Asset Returns'!$1:$1,0),4),1,"")&amp;":"&amp;SUBSTITUTE(ADDRESS(1,MATCH(N$8,'Asset Returns'!$1:$1,0),4),1,"")),INDIRECT("'Asset Returns'!"&amp;SUBSTITUTE(ADDRESS(1,MATCH($B14,'Asset Returns'!$1:$1,0),4),1,"")&amp;":"&amp;SUBSTITUTE(ADDRESS(1,MATCH($B14,'Asset Returns'!$1:$1,0),4),1,""))))</f>
        <v/>
      </c>
      <c r="O14" s="70" t="str">
        <f ca="1">IF(OR(O$8="",$B14=""),"",_xlfn.COVARIANCE.S(INDIRECT("'Asset Returns'!"&amp;SUBSTITUTE(ADDRESS(1,MATCH(O$8,'Asset Returns'!$1:$1,0),4),1,"")&amp;":"&amp;SUBSTITUTE(ADDRESS(1,MATCH(O$8,'Asset Returns'!$1:$1,0),4),1,"")),INDIRECT("'Asset Returns'!"&amp;SUBSTITUTE(ADDRESS(1,MATCH($B14,'Asset Returns'!$1:$1,0),4),1,"")&amp;":"&amp;SUBSTITUTE(ADDRESS(1,MATCH($B14,'Asset Returns'!$1:$1,0),4),1,""))))</f>
        <v/>
      </c>
      <c r="P14" s="70" t="str">
        <f ca="1">IF(OR(P$8="",$B14=""),"",_xlfn.COVARIANCE.S(INDIRECT("'Asset Returns'!"&amp;SUBSTITUTE(ADDRESS(1,MATCH(P$8,'Asset Returns'!$1:$1,0),4),1,"")&amp;":"&amp;SUBSTITUTE(ADDRESS(1,MATCH(P$8,'Asset Returns'!$1:$1,0),4),1,"")),INDIRECT("'Asset Returns'!"&amp;SUBSTITUTE(ADDRESS(1,MATCH($B14,'Asset Returns'!$1:$1,0),4),1,"")&amp;":"&amp;SUBSTITUTE(ADDRESS(1,MATCH($B14,'Asset Returns'!$1:$1,0),4),1,""))))</f>
        <v/>
      </c>
      <c r="Q14" s="70" t="str">
        <f ca="1">IF(OR(Q$8="",$B14=""),"",_xlfn.COVARIANCE.S(INDIRECT("'Asset Returns'!"&amp;SUBSTITUTE(ADDRESS(1,MATCH(Q$8,'Asset Returns'!$1:$1,0),4),1,"")&amp;":"&amp;SUBSTITUTE(ADDRESS(1,MATCH(Q$8,'Asset Returns'!$1:$1,0),4),1,"")),INDIRECT("'Asset Returns'!"&amp;SUBSTITUTE(ADDRESS(1,MATCH($B14,'Asset Returns'!$1:$1,0),4),1,"")&amp;":"&amp;SUBSTITUTE(ADDRESS(1,MATCH($B14,'Asset Returns'!$1:$1,0),4),1,""))))</f>
        <v/>
      </c>
      <c r="R14" s="70" t="str">
        <f ca="1">IF(OR(R$8="",$B14=""),"",_xlfn.COVARIANCE.S(INDIRECT("'Asset Returns'!"&amp;SUBSTITUTE(ADDRESS(1,MATCH(R$8,'Asset Returns'!$1:$1,0),4),1,"")&amp;":"&amp;SUBSTITUTE(ADDRESS(1,MATCH(R$8,'Asset Returns'!$1:$1,0),4),1,"")),INDIRECT("'Asset Returns'!"&amp;SUBSTITUTE(ADDRESS(1,MATCH($B14,'Asset Returns'!$1:$1,0),4),1,"")&amp;":"&amp;SUBSTITUTE(ADDRESS(1,MATCH($B14,'Asset Returns'!$1:$1,0),4),1,""))))</f>
        <v/>
      </c>
      <c r="S14" s="70" t="str">
        <f ca="1">IF(OR(S$8="",$B14=""),"",_xlfn.COVARIANCE.S(INDIRECT("'Asset Returns'!"&amp;SUBSTITUTE(ADDRESS(1,MATCH(S$8,'Asset Returns'!$1:$1,0),4),1,"")&amp;":"&amp;SUBSTITUTE(ADDRESS(1,MATCH(S$8,'Asset Returns'!$1:$1,0),4),1,"")),INDIRECT("'Asset Returns'!"&amp;SUBSTITUTE(ADDRESS(1,MATCH($B14,'Asset Returns'!$1:$1,0),4),1,"")&amp;":"&amp;SUBSTITUTE(ADDRESS(1,MATCH($B14,'Asset Returns'!$1:$1,0),4),1,""))))</f>
        <v/>
      </c>
      <c r="T14" s="70" t="str">
        <f ca="1">IF(OR(T$8="",$B14=""),"",_xlfn.COVARIANCE.S(INDIRECT("'Asset Returns'!"&amp;SUBSTITUTE(ADDRESS(1,MATCH(T$8,'Asset Returns'!$1:$1,0),4),1,"")&amp;":"&amp;SUBSTITUTE(ADDRESS(1,MATCH(T$8,'Asset Returns'!$1:$1,0),4),1,"")),INDIRECT("'Asset Returns'!"&amp;SUBSTITUTE(ADDRESS(1,MATCH($B14,'Asset Returns'!$1:$1,0),4),1,"")&amp;":"&amp;SUBSTITUTE(ADDRESS(1,MATCH($B14,'Asset Returns'!$1:$1,0),4),1,""))))</f>
        <v/>
      </c>
      <c r="U14" s="70" t="str">
        <f ca="1">IF(OR(U$8="",$B14=""),"",_xlfn.COVARIANCE.S(INDIRECT("'Asset Returns'!"&amp;SUBSTITUTE(ADDRESS(1,MATCH(U$8,'Asset Returns'!$1:$1,0),4),1,"")&amp;":"&amp;SUBSTITUTE(ADDRESS(1,MATCH(U$8,'Asset Returns'!$1:$1,0),4),1,"")),INDIRECT("'Asset Returns'!"&amp;SUBSTITUTE(ADDRESS(1,MATCH($B14,'Asset Returns'!$1:$1,0),4),1,"")&amp;":"&amp;SUBSTITUTE(ADDRESS(1,MATCH($B14,'Asset Returns'!$1:$1,0),4),1,""))))</f>
        <v/>
      </c>
      <c r="V14" s="70" t="str">
        <f ca="1">IF(OR(V$8="",$B14=""),"",_xlfn.COVARIANCE.S(INDIRECT("'Asset Returns'!"&amp;SUBSTITUTE(ADDRESS(1,MATCH(V$8,'Asset Returns'!$1:$1,0),4),1,"")&amp;":"&amp;SUBSTITUTE(ADDRESS(1,MATCH(V$8,'Asset Returns'!$1:$1,0),4),1,"")),INDIRECT("'Asset Returns'!"&amp;SUBSTITUTE(ADDRESS(1,MATCH($B14,'Asset Returns'!$1:$1,0),4),1,"")&amp;":"&amp;SUBSTITUTE(ADDRESS(1,MATCH($B14,'Asset Returns'!$1:$1,0),4),1,""))))</f>
        <v/>
      </c>
      <c r="W14" s="70" t="str">
        <f ca="1">IF(OR(W$8="",$B14=""),"",_xlfn.COVARIANCE.S(INDIRECT("'Asset Returns'!"&amp;SUBSTITUTE(ADDRESS(1,MATCH(W$8,'Asset Returns'!$1:$1,0),4),1,"")&amp;":"&amp;SUBSTITUTE(ADDRESS(1,MATCH(W$8,'Asset Returns'!$1:$1,0),4),1,"")),INDIRECT("'Asset Returns'!"&amp;SUBSTITUTE(ADDRESS(1,MATCH($B14,'Asset Returns'!$1:$1,0),4),1,"")&amp;":"&amp;SUBSTITUTE(ADDRESS(1,MATCH($B14,'Asset Returns'!$1:$1,0),4),1,""))))</f>
        <v/>
      </c>
      <c r="X14" s="70" t="str">
        <f ca="1">IF(OR(X$8="",$B14=""),"",_xlfn.COVARIANCE.S(INDIRECT("'Asset Returns'!"&amp;SUBSTITUTE(ADDRESS(1,MATCH(X$8,'Asset Returns'!$1:$1,0),4),1,"")&amp;":"&amp;SUBSTITUTE(ADDRESS(1,MATCH(X$8,'Asset Returns'!$1:$1,0),4),1,"")),INDIRECT("'Asset Returns'!"&amp;SUBSTITUTE(ADDRESS(1,MATCH($B14,'Asset Returns'!$1:$1,0),4),1,"")&amp;":"&amp;SUBSTITUTE(ADDRESS(1,MATCH($B14,'Asset Returns'!$1:$1,0),4),1,""))))</f>
        <v/>
      </c>
      <c r="Y14" s="70" t="str">
        <f ca="1">IF(OR(Y$8="",$B14=""),"",_xlfn.COVARIANCE.S(INDIRECT("'Asset Returns'!"&amp;SUBSTITUTE(ADDRESS(1,MATCH(Y$8,'Asset Returns'!$1:$1,0),4),1,"")&amp;":"&amp;SUBSTITUTE(ADDRESS(1,MATCH(Y$8,'Asset Returns'!$1:$1,0),4),1,"")),INDIRECT("'Asset Returns'!"&amp;SUBSTITUTE(ADDRESS(1,MATCH($B14,'Asset Returns'!$1:$1,0),4),1,"")&amp;":"&amp;SUBSTITUTE(ADDRESS(1,MATCH($B14,'Asset Returns'!$1:$1,0),4),1,""))))</f>
        <v/>
      </c>
      <c r="Z14" s="70" t="str">
        <f ca="1">IF(OR(Z$8="",$B14=""),"",_xlfn.COVARIANCE.S(INDIRECT("'Asset Returns'!"&amp;SUBSTITUTE(ADDRESS(1,MATCH(Z$8,'Asset Returns'!$1:$1,0),4),1,"")&amp;":"&amp;SUBSTITUTE(ADDRESS(1,MATCH(Z$8,'Asset Returns'!$1:$1,0),4),1,"")),INDIRECT("'Asset Returns'!"&amp;SUBSTITUTE(ADDRESS(1,MATCH($B14,'Asset Returns'!$1:$1,0),4),1,"")&amp;":"&amp;SUBSTITUTE(ADDRESS(1,MATCH($B14,'Asset Returns'!$1:$1,0),4),1,""))))</f>
        <v/>
      </c>
      <c r="AA14" s="70" t="str">
        <f ca="1">IF(OR(AA$8="",$B14=""),"",_xlfn.COVARIANCE.S(INDIRECT("'Asset Returns'!"&amp;SUBSTITUTE(ADDRESS(1,MATCH(AA$8,'Asset Returns'!$1:$1,0),4),1,"")&amp;":"&amp;SUBSTITUTE(ADDRESS(1,MATCH(AA$8,'Asset Returns'!$1:$1,0),4),1,"")),INDIRECT("'Asset Returns'!"&amp;SUBSTITUTE(ADDRESS(1,MATCH($B14,'Asset Returns'!$1:$1,0),4),1,"")&amp;":"&amp;SUBSTITUTE(ADDRESS(1,MATCH($B14,'Asset Returns'!$1:$1,0),4),1,""))))</f>
        <v/>
      </c>
      <c r="AB14" s="96">
        <v>8333</v>
      </c>
      <c r="AC14" s="48">
        <f t="shared" si="0"/>
        <v>8.3331666633332663E-2</v>
      </c>
      <c r="AE14" s="207"/>
      <c r="AF14" s="207"/>
      <c r="AG14" s="207"/>
      <c r="AH14" s="207"/>
      <c r="AI14" s="207"/>
      <c r="AJ14" s="207"/>
      <c r="AK14" s="207"/>
      <c r="AL14" s="207"/>
      <c r="AM14" s="207"/>
    </row>
    <row r="15" spans="1:39" x14ac:dyDescent="0.25">
      <c r="A15" s="47"/>
      <c r="B15" s="92" t="s">
        <v>64</v>
      </c>
      <c r="C15" s="69">
        <f ca="1">IF(OR(C$8="",$B15=""),"",_xlfn.COVARIANCE.S(INDIRECT("'Asset Returns'!"&amp;SUBSTITUTE(ADDRESS(1,MATCH(C$8,'Asset Returns'!$1:$1,0),4),1,"")&amp;":"&amp;SUBSTITUTE(ADDRESS(1,MATCH(C$8,'Asset Returns'!$1:$1,0),4),1,"")),INDIRECT("'Asset Returns'!"&amp;SUBSTITUTE(ADDRESS(1,MATCH($B15,'Asset Returns'!$1:$1,0),4),1,"")&amp;":"&amp;SUBSTITUTE(ADDRESS(1,MATCH($B15,'Asset Returns'!$1:$1,0),4),1,""))))</f>
        <v>1.7004949715806515E-3</v>
      </c>
      <c r="D15" s="70">
        <f ca="1">IF(OR(D$8="",$B15=""),"",_xlfn.COVARIANCE.S(INDIRECT("'Asset Returns'!"&amp;SUBSTITUTE(ADDRESS(1,MATCH(D$8,'Asset Returns'!$1:$1,0),4),1,"")&amp;":"&amp;SUBSTITUTE(ADDRESS(1,MATCH(D$8,'Asset Returns'!$1:$1,0),4),1,"")),INDIRECT("'Asset Returns'!"&amp;SUBSTITUTE(ADDRESS(1,MATCH($B15,'Asset Returns'!$1:$1,0),4),1,"")&amp;":"&amp;SUBSTITUTE(ADDRESS(1,MATCH($B15,'Asset Returns'!$1:$1,0),4),1,""))))</f>
        <v>1.5143672187904636E-3</v>
      </c>
      <c r="E15" s="70">
        <f ca="1">IF(OR(E$8="",$B15=""),"",_xlfn.COVARIANCE.S(INDIRECT("'Asset Returns'!"&amp;SUBSTITUTE(ADDRESS(1,MATCH(E$8,'Asset Returns'!$1:$1,0),4),1,"")&amp;":"&amp;SUBSTITUTE(ADDRESS(1,MATCH(E$8,'Asset Returns'!$1:$1,0),4),1,"")),INDIRECT("'Asset Returns'!"&amp;SUBSTITUTE(ADDRESS(1,MATCH($B15,'Asset Returns'!$1:$1,0),4),1,"")&amp;":"&amp;SUBSTITUTE(ADDRESS(1,MATCH($B15,'Asset Returns'!$1:$1,0),4),1,""))))</f>
        <v>2.0269278908943145E-3</v>
      </c>
      <c r="F15" s="70">
        <f ca="1">IF(OR(F$8="",$B15=""),"",_xlfn.COVARIANCE.S(INDIRECT("'Asset Returns'!"&amp;SUBSTITUTE(ADDRESS(1,MATCH(F$8,'Asset Returns'!$1:$1,0),4),1,"")&amp;":"&amp;SUBSTITUTE(ADDRESS(1,MATCH(F$8,'Asset Returns'!$1:$1,0),4),1,"")),INDIRECT("'Asset Returns'!"&amp;SUBSTITUTE(ADDRESS(1,MATCH($B15,'Asset Returns'!$1:$1,0),4),1,"")&amp;":"&amp;SUBSTITUTE(ADDRESS(1,MATCH($B15,'Asset Returns'!$1:$1,0),4),1,""))))</f>
        <v>1.5371403535446428E-3</v>
      </c>
      <c r="G15" s="70">
        <f ca="1">IF(OR(G$8="",$B15=""),"",_xlfn.COVARIANCE.S(INDIRECT("'Asset Returns'!"&amp;SUBSTITUTE(ADDRESS(1,MATCH(G$8,'Asset Returns'!$1:$1,0),4),1,"")&amp;":"&amp;SUBSTITUTE(ADDRESS(1,MATCH(G$8,'Asset Returns'!$1:$1,0),4),1,"")),INDIRECT("'Asset Returns'!"&amp;SUBSTITUTE(ADDRESS(1,MATCH($B15,'Asset Returns'!$1:$1,0),4),1,"")&amp;":"&amp;SUBSTITUTE(ADDRESS(1,MATCH($B15,'Asset Returns'!$1:$1,0),4),1,""))))</f>
        <v>1.4320649935010291E-3</v>
      </c>
      <c r="H15" s="70">
        <f ca="1">IF(OR(H$8="",$B15=""),"",_xlfn.COVARIANCE.S(INDIRECT("'Asset Returns'!"&amp;SUBSTITUTE(ADDRESS(1,MATCH(H$8,'Asset Returns'!$1:$1,0),4),1,"")&amp;":"&amp;SUBSTITUTE(ADDRESS(1,MATCH(H$8,'Asset Returns'!$1:$1,0),4),1,"")),INDIRECT("'Asset Returns'!"&amp;SUBSTITUTE(ADDRESS(1,MATCH($B15,'Asset Returns'!$1:$1,0),4),1,"")&amp;":"&amp;SUBSTITUTE(ADDRESS(1,MATCH($B15,'Asset Returns'!$1:$1,0),4),1,""))))</f>
        <v>2.6243258279405957E-3</v>
      </c>
      <c r="I15" s="70">
        <f ca="1">IF(OR(I$8="",$B15=""),"",_xlfn.COVARIANCE.S(INDIRECT("'Asset Returns'!"&amp;SUBSTITUTE(ADDRESS(1,MATCH(I$8,'Asset Returns'!$1:$1,0),4),1,"")&amp;":"&amp;SUBSTITUTE(ADDRESS(1,MATCH(I$8,'Asset Returns'!$1:$1,0),4),1,"")),INDIRECT("'Asset Returns'!"&amp;SUBSTITUTE(ADDRESS(1,MATCH($B15,'Asset Returns'!$1:$1,0),4),1,"")&amp;":"&amp;SUBSTITUTE(ADDRESS(1,MATCH($B15,'Asset Returns'!$1:$1,0),4),1,""))))</f>
        <v>4.4460883542948009E-3</v>
      </c>
      <c r="J15" s="70">
        <f ca="1">IF(OR(J$8="",$B15=""),"",_xlfn.COVARIANCE.S(INDIRECT("'Asset Returns'!"&amp;SUBSTITUTE(ADDRESS(1,MATCH(J$8,'Asset Returns'!$1:$1,0),4),1,"")&amp;":"&amp;SUBSTITUTE(ADDRESS(1,MATCH(J$8,'Asset Returns'!$1:$1,0),4),1,"")),INDIRECT("'Asset Returns'!"&amp;SUBSTITUTE(ADDRESS(1,MATCH($B15,'Asset Returns'!$1:$1,0),4),1,"")&amp;":"&amp;SUBSTITUTE(ADDRESS(1,MATCH($B15,'Asset Returns'!$1:$1,0),4),1,""))))</f>
        <v>1.5863032328249701E-3</v>
      </c>
      <c r="K15" s="70">
        <f ca="1">IF(OR(K$8="",$B15=""),"",_xlfn.COVARIANCE.S(INDIRECT("'Asset Returns'!"&amp;SUBSTITUTE(ADDRESS(1,MATCH(K$8,'Asset Returns'!$1:$1,0),4),1,"")&amp;":"&amp;SUBSTITUTE(ADDRESS(1,MATCH(K$8,'Asset Returns'!$1:$1,0),4),1,"")),INDIRECT("'Asset Returns'!"&amp;SUBSTITUTE(ADDRESS(1,MATCH($B15,'Asset Returns'!$1:$1,0),4),1,"")&amp;":"&amp;SUBSTITUTE(ADDRESS(1,MATCH($B15,'Asset Returns'!$1:$1,0),4),1,""))))</f>
        <v>1.536992557572411E-3</v>
      </c>
      <c r="L15" s="70">
        <f ca="1">IF(OR(L$8="",$B15=""),"",_xlfn.COVARIANCE.S(INDIRECT("'Asset Returns'!"&amp;SUBSTITUTE(ADDRESS(1,MATCH(L$8,'Asset Returns'!$1:$1,0),4),1,"")&amp;":"&amp;SUBSTITUTE(ADDRESS(1,MATCH(L$8,'Asset Returns'!$1:$1,0),4),1,"")),INDIRECT("'Asset Returns'!"&amp;SUBSTITUTE(ADDRESS(1,MATCH($B15,'Asset Returns'!$1:$1,0),4),1,"")&amp;":"&amp;SUBSTITUTE(ADDRESS(1,MATCH($B15,'Asset Returns'!$1:$1,0),4),1,""))))</f>
        <v>1.2837250969851691E-3</v>
      </c>
      <c r="M15" s="70" t="str">
        <f ca="1">IF(OR(M$8="",$B15=""),"",_xlfn.COVARIANCE.S(INDIRECT("'Asset Returns'!"&amp;SUBSTITUTE(ADDRESS(1,MATCH(M$8,'Asset Returns'!$1:$1,0),4),1,"")&amp;":"&amp;SUBSTITUTE(ADDRESS(1,MATCH(M$8,'Asset Returns'!$1:$1,0),4),1,"")),INDIRECT("'Asset Returns'!"&amp;SUBSTITUTE(ADDRESS(1,MATCH($B15,'Asset Returns'!$1:$1,0),4),1,"")&amp;":"&amp;SUBSTITUTE(ADDRESS(1,MATCH($B15,'Asset Returns'!$1:$1,0),4),1,""))))</f>
        <v/>
      </c>
      <c r="N15" s="70" t="str">
        <f ca="1">IF(OR(N$8="",$B15=""),"",_xlfn.COVARIANCE.S(INDIRECT("'Asset Returns'!"&amp;SUBSTITUTE(ADDRESS(1,MATCH(N$8,'Asset Returns'!$1:$1,0),4),1,"")&amp;":"&amp;SUBSTITUTE(ADDRESS(1,MATCH(N$8,'Asset Returns'!$1:$1,0),4),1,"")),INDIRECT("'Asset Returns'!"&amp;SUBSTITUTE(ADDRESS(1,MATCH($B15,'Asset Returns'!$1:$1,0),4),1,"")&amp;":"&amp;SUBSTITUTE(ADDRESS(1,MATCH($B15,'Asset Returns'!$1:$1,0),4),1,""))))</f>
        <v/>
      </c>
      <c r="O15" s="70" t="str">
        <f ca="1">IF(OR(O$8="",$B15=""),"",_xlfn.COVARIANCE.S(INDIRECT("'Asset Returns'!"&amp;SUBSTITUTE(ADDRESS(1,MATCH(O$8,'Asset Returns'!$1:$1,0),4),1,"")&amp;":"&amp;SUBSTITUTE(ADDRESS(1,MATCH(O$8,'Asset Returns'!$1:$1,0),4),1,"")),INDIRECT("'Asset Returns'!"&amp;SUBSTITUTE(ADDRESS(1,MATCH($B15,'Asset Returns'!$1:$1,0),4),1,"")&amp;":"&amp;SUBSTITUTE(ADDRESS(1,MATCH($B15,'Asset Returns'!$1:$1,0),4),1,""))))</f>
        <v/>
      </c>
      <c r="P15" s="70" t="str">
        <f ca="1">IF(OR(P$8="",$B15=""),"",_xlfn.COVARIANCE.S(INDIRECT("'Asset Returns'!"&amp;SUBSTITUTE(ADDRESS(1,MATCH(P$8,'Asset Returns'!$1:$1,0),4),1,"")&amp;":"&amp;SUBSTITUTE(ADDRESS(1,MATCH(P$8,'Asset Returns'!$1:$1,0),4),1,"")),INDIRECT("'Asset Returns'!"&amp;SUBSTITUTE(ADDRESS(1,MATCH($B15,'Asset Returns'!$1:$1,0),4),1,"")&amp;":"&amp;SUBSTITUTE(ADDRESS(1,MATCH($B15,'Asset Returns'!$1:$1,0),4),1,""))))</f>
        <v/>
      </c>
      <c r="Q15" s="70" t="str">
        <f ca="1">IF(OR(Q$8="",$B15=""),"",_xlfn.COVARIANCE.S(INDIRECT("'Asset Returns'!"&amp;SUBSTITUTE(ADDRESS(1,MATCH(Q$8,'Asset Returns'!$1:$1,0),4),1,"")&amp;":"&amp;SUBSTITUTE(ADDRESS(1,MATCH(Q$8,'Asset Returns'!$1:$1,0),4),1,"")),INDIRECT("'Asset Returns'!"&amp;SUBSTITUTE(ADDRESS(1,MATCH($B15,'Asset Returns'!$1:$1,0),4),1,"")&amp;":"&amp;SUBSTITUTE(ADDRESS(1,MATCH($B15,'Asset Returns'!$1:$1,0),4),1,""))))</f>
        <v/>
      </c>
      <c r="R15" s="70" t="str">
        <f ca="1">IF(OR(R$8="",$B15=""),"",_xlfn.COVARIANCE.S(INDIRECT("'Asset Returns'!"&amp;SUBSTITUTE(ADDRESS(1,MATCH(R$8,'Asset Returns'!$1:$1,0),4),1,"")&amp;":"&amp;SUBSTITUTE(ADDRESS(1,MATCH(R$8,'Asset Returns'!$1:$1,0),4),1,"")),INDIRECT("'Asset Returns'!"&amp;SUBSTITUTE(ADDRESS(1,MATCH($B15,'Asset Returns'!$1:$1,0),4),1,"")&amp;":"&amp;SUBSTITUTE(ADDRESS(1,MATCH($B15,'Asset Returns'!$1:$1,0),4),1,""))))</f>
        <v/>
      </c>
      <c r="S15" s="70" t="str">
        <f ca="1">IF(OR(S$8="",$B15=""),"",_xlfn.COVARIANCE.S(INDIRECT("'Asset Returns'!"&amp;SUBSTITUTE(ADDRESS(1,MATCH(S$8,'Asset Returns'!$1:$1,0),4),1,"")&amp;":"&amp;SUBSTITUTE(ADDRESS(1,MATCH(S$8,'Asset Returns'!$1:$1,0),4),1,"")),INDIRECT("'Asset Returns'!"&amp;SUBSTITUTE(ADDRESS(1,MATCH($B15,'Asset Returns'!$1:$1,0),4),1,"")&amp;":"&amp;SUBSTITUTE(ADDRESS(1,MATCH($B15,'Asset Returns'!$1:$1,0),4),1,""))))</f>
        <v/>
      </c>
      <c r="T15" s="70" t="str">
        <f ca="1">IF(OR(T$8="",$B15=""),"",_xlfn.COVARIANCE.S(INDIRECT("'Asset Returns'!"&amp;SUBSTITUTE(ADDRESS(1,MATCH(T$8,'Asset Returns'!$1:$1,0),4),1,"")&amp;":"&amp;SUBSTITUTE(ADDRESS(1,MATCH(T$8,'Asset Returns'!$1:$1,0),4),1,"")),INDIRECT("'Asset Returns'!"&amp;SUBSTITUTE(ADDRESS(1,MATCH($B15,'Asset Returns'!$1:$1,0),4),1,"")&amp;":"&amp;SUBSTITUTE(ADDRESS(1,MATCH($B15,'Asset Returns'!$1:$1,0),4),1,""))))</f>
        <v/>
      </c>
      <c r="U15" s="70" t="str">
        <f ca="1">IF(OR(U$8="",$B15=""),"",_xlfn.COVARIANCE.S(INDIRECT("'Asset Returns'!"&amp;SUBSTITUTE(ADDRESS(1,MATCH(U$8,'Asset Returns'!$1:$1,0),4),1,"")&amp;":"&amp;SUBSTITUTE(ADDRESS(1,MATCH(U$8,'Asset Returns'!$1:$1,0),4),1,"")),INDIRECT("'Asset Returns'!"&amp;SUBSTITUTE(ADDRESS(1,MATCH($B15,'Asset Returns'!$1:$1,0),4),1,"")&amp;":"&amp;SUBSTITUTE(ADDRESS(1,MATCH($B15,'Asset Returns'!$1:$1,0),4),1,""))))</f>
        <v/>
      </c>
      <c r="V15" s="70" t="str">
        <f ca="1">IF(OR(V$8="",$B15=""),"",_xlfn.COVARIANCE.S(INDIRECT("'Asset Returns'!"&amp;SUBSTITUTE(ADDRESS(1,MATCH(V$8,'Asset Returns'!$1:$1,0),4),1,"")&amp;":"&amp;SUBSTITUTE(ADDRESS(1,MATCH(V$8,'Asset Returns'!$1:$1,0),4),1,"")),INDIRECT("'Asset Returns'!"&amp;SUBSTITUTE(ADDRESS(1,MATCH($B15,'Asset Returns'!$1:$1,0),4),1,"")&amp;":"&amp;SUBSTITUTE(ADDRESS(1,MATCH($B15,'Asset Returns'!$1:$1,0),4),1,""))))</f>
        <v/>
      </c>
      <c r="W15" s="70" t="str">
        <f ca="1">IF(OR(W$8="",$B15=""),"",_xlfn.COVARIANCE.S(INDIRECT("'Asset Returns'!"&amp;SUBSTITUTE(ADDRESS(1,MATCH(W$8,'Asset Returns'!$1:$1,0),4),1,"")&amp;":"&amp;SUBSTITUTE(ADDRESS(1,MATCH(W$8,'Asset Returns'!$1:$1,0),4),1,"")),INDIRECT("'Asset Returns'!"&amp;SUBSTITUTE(ADDRESS(1,MATCH($B15,'Asset Returns'!$1:$1,0),4),1,"")&amp;":"&amp;SUBSTITUTE(ADDRESS(1,MATCH($B15,'Asset Returns'!$1:$1,0),4),1,""))))</f>
        <v/>
      </c>
      <c r="X15" s="70" t="str">
        <f ca="1">IF(OR(X$8="",$B15=""),"",_xlfn.COVARIANCE.S(INDIRECT("'Asset Returns'!"&amp;SUBSTITUTE(ADDRESS(1,MATCH(X$8,'Asset Returns'!$1:$1,0),4),1,"")&amp;":"&amp;SUBSTITUTE(ADDRESS(1,MATCH(X$8,'Asset Returns'!$1:$1,0),4),1,"")),INDIRECT("'Asset Returns'!"&amp;SUBSTITUTE(ADDRESS(1,MATCH($B15,'Asset Returns'!$1:$1,0),4),1,"")&amp;":"&amp;SUBSTITUTE(ADDRESS(1,MATCH($B15,'Asset Returns'!$1:$1,0),4),1,""))))</f>
        <v/>
      </c>
      <c r="Y15" s="70" t="str">
        <f ca="1">IF(OR(Y$8="",$B15=""),"",_xlfn.COVARIANCE.S(INDIRECT("'Asset Returns'!"&amp;SUBSTITUTE(ADDRESS(1,MATCH(Y$8,'Asset Returns'!$1:$1,0),4),1,"")&amp;":"&amp;SUBSTITUTE(ADDRESS(1,MATCH(Y$8,'Asset Returns'!$1:$1,0),4),1,"")),INDIRECT("'Asset Returns'!"&amp;SUBSTITUTE(ADDRESS(1,MATCH($B15,'Asset Returns'!$1:$1,0),4),1,"")&amp;":"&amp;SUBSTITUTE(ADDRESS(1,MATCH($B15,'Asset Returns'!$1:$1,0),4),1,""))))</f>
        <v/>
      </c>
      <c r="Z15" s="70" t="str">
        <f ca="1">IF(OR(Z$8="",$B15=""),"",_xlfn.COVARIANCE.S(INDIRECT("'Asset Returns'!"&amp;SUBSTITUTE(ADDRESS(1,MATCH(Z$8,'Asset Returns'!$1:$1,0),4),1,"")&amp;":"&amp;SUBSTITUTE(ADDRESS(1,MATCH(Z$8,'Asset Returns'!$1:$1,0),4),1,"")),INDIRECT("'Asset Returns'!"&amp;SUBSTITUTE(ADDRESS(1,MATCH($B15,'Asset Returns'!$1:$1,0),4),1,"")&amp;":"&amp;SUBSTITUTE(ADDRESS(1,MATCH($B15,'Asset Returns'!$1:$1,0),4),1,""))))</f>
        <v/>
      </c>
      <c r="AA15" s="70" t="str">
        <f ca="1">IF(OR(AA$8="",$B15=""),"",_xlfn.COVARIANCE.S(INDIRECT("'Asset Returns'!"&amp;SUBSTITUTE(ADDRESS(1,MATCH(AA$8,'Asset Returns'!$1:$1,0),4),1,"")&amp;":"&amp;SUBSTITUTE(ADDRESS(1,MATCH(AA$8,'Asset Returns'!$1:$1,0),4),1,"")),INDIRECT("'Asset Returns'!"&amp;SUBSTITUTE(ADDRESS(1,MATCH($B15,'Asset Returns'!$1:$1,0),4),1,"")&amp;":"&amp;SUBSTITUTE(ADDRESS(1,MATCH($B15,'Asset Returns'!$1:$1,0),4),1,""))))</f>
        <v/>
      </c>
      <c r="AB15" s="96">
        <v>8333</v>
      </c>
      <c r="AC15" s="48">
        <f t="shared" si="0"/>
        <v>8.3331666633332663E-2</v>
      </c>
      <c r="AE15" s="207"/>
      <c r="AF15" s="207"/>
      <c r="AG15" s="207"/>
      <c r="AH15" s="207"/>
      <c r="AI15" s="207"/>
      <c r="AJ15" s="207"/>
      <c r="AK15" s="207"/>
      <c r="AL15" s="207"/>
      <c r="AM15" s="207"/>
    </row>
    <row r="16" spans="1:39" x14ac:dyDescent="0.25">
      <c r="A16" s="47"/>
      <c r="B16" s="92" t="s">
        <v>131</v>
      </c>
      <c r="C16" s="69">
        <f ca="1">IF(OR(C$8="",$B16=""),"",_xlfn.COVARIANCE.S(INDIRECT("'Asset Returns'!"&amp;SUBSTITUTE(ADDRESS(1,MATCH(C$8,'Asset Returns'!$1:$1,0),4),1,"")&amp;":"&amp;SUBSTITUTE(ADDRESS(1,MATCH(C$8,'Asset Returns'!$1:$1,0),4),1,"")),INDIRECT("'Asset Returns'!"&amp;SUBSTITUTE(ADDRESS(1,MATCH($B16,'Asset Returns'!$1:$1,0),4),1,"")&amp;":"&amp;SUBSTITUTE(ADDRESS(1,MATCH($B16,'Asset Returns'!$1:$1,0),4),1,""))))</f>
        <v>1.1818069444406807E-3</v>
      </c>
      <c r="D16" s="70">
        <f ca="1">IF(OR(D$8="",$B16=""),"",_xlfn.COVARIANCE.S(INDIRECT("'Asset Returns'!"&amp;SUBSTITUTE(ADDRESS(1,MATCH(D$8,'Asset Returns'!$1:$1,0),4),1,"")&amp;":"&amp;SUBSTITUTE(ADDRESS(1,MATCH(D$8,'Asset Returns'!$1:$1,0),4),1,"")),INDIRECT("'Asset Returns'!"&amp;SUBSTITUTE(ADDRESS(1,MATCH($B16,'Asset Returns'!$1:$1,0),4),1,"")&amp;":"&amp;SUBSTITUTE(ADDRESS(1,MATCH($B16,'Asset Returns'!$1:$1,0),4),1,""))))</f>
        <v>1.419669140456952E-3</v>
      </c>
      <c r="E16" s="70">
        <f ca="1">IF(OR(E$8="",$B16=""),"",_xlfn.COVARIANCE.S(INDIRECT("'Asset Returns'!"&amp;SUBSTITUTE(ADDRESS(1,MATCH(E$8,'Asset Returns'!$1:$1,0),4),1,"")&amp;":"&amp;SUBSTITUTE(ADDRESS(1,MATCH(E$8,'Asset Returns'!$1:$1,0),4),1,"")),INDIRECT("'Asset Returns'!"&amp;SUBSTITUTE(ADDRESS(1,MATCH($B16,'Asset Returns'!$1:$1,0),4),1,"")&amp;":"&amp;SUBSTITUTE(ADDRESS(1,MATCH($B16,'Asset Returns'!$1:$1,0),4),1,""))))</f>
        <v>1.6194527634961842E-3</v>
      </c>
      <c r="F16" s="70">
        <f ca="1">IF(OR(F$8="",$B16=""),"",_xlfn.COVARIANCE.S(INDIRECT("'Asset Returns'!"&amp;SUBSTITUTE(ADDRESS(1,MATCH(F$8,'Asset Returns'!$1:$1,0),4),1,"")&amp;":"&amp;SUBSTITUTE(ADDRESS(1,MATCH(F$8,'Asset Returns'!$1:$1,0),4),1,"")),INDIRECT("'Asset Returns'!"&amp;SUBSTITUTE(ADDRESS(1,MATCH($B16,'Asset Returns'!$1:$1,0),4),1,"")&amp;":"&amp;SUBSTITUTE(ADDRESS(1,MATCH($B16,'Asset Returns'!$1:$1,0),4),1,""))))</f>
        <v>2.4951223526450002E-3</v>
      </c>
      <c r="G16" s="70">
        <f ca="1">IF(OR(G$8="",$B16=""),"",_xlfn.COVARIANCE.S(INDIRECT("'Asset Returns'!"&amp;SUBSTITUTE(ADDRESS(1,MATCH(G$8,'Asset Returns'!$1:$1,0),4),1,"")&amp;":"&amp;SUBSTITUTE(ADDRESS(1,MATCH(G$8,'Asset Returns'!$1:$1,0),4),1,"")),INDIRECT("'Asset Returns'!"&amp;SUBSTITUTE(ADDRESS(1,MATCH($B16,'Asset Returns'!$1:$1,0),4),1,"")&amp;":"&amp;SUBSTITUTE(ADDRESS(1,MATCH($B16,'Asset Returns'!$1:$1,0),4),1,""))))</f>
        <v>1.2724459922677797E-3</v>
      </c>
      <c r="H16" s="70">
        <f ca="1">IF(OR(H$8="",$B16=""),"",_xlfn.COVARIANCE.S(INDIRECT("'Asset Returns'!"&amp;SUBSTITUTE(ADDRESS(1,MATCH(H$8,'Asset Returns'!$1:$1,0),4),1,"")&amp;":"&amp;SUBSTITUTE(ADDRESS(1,MATCH(H$8,'Asset Returns'!$1:$1,0),4),1,"")),INDIRECT("'Asset Returns'!"&amp;SUBSTITUTE(ADDRESS(1,MATCH($B16,'Asset Returns'!$1:$1,0),4),1,"")&amp;":"&amp;SUBSTITUTE(ADDRESS(1,MATCH($B16,'Asset Returns'!$1:$1,0),4),1,""))))</f>
        <v>1.722518561789713E-3</v>
      </c>
      <c r="I16" s="70">
        <f ca="1">IF(OR(I$8="",$B16=""),"",_xlfn.COVARIANCE.S(INDIRECT("'Asset Returns'!"&amp;SUBSTITUTE(ADDRESS(1,MATCH(I$8,'Asset Returns'!$1:$1,0),4),1,"")&amp;":"&amp;SUBSTITUTE(ADDRESS(1,MATCH(I$8,'Asset Returns'!$1:$1,0),4),1,"")),INDIRECT("'Asset Returns'!"&amp;SUBSTITUTE(ADDRESS(1,MATCH($B16,'Asset Returns'!$1:$1,0),4),1,"")&amp;":"&amp;SUBSTITUTE(ADDRESS(1,MATCH($B16,'Asset Returns'!$1:$1,0),4),1,""))))</f>
        <v>1.5863032328249701E-3</v>
      </c>
      <c r="J16" s="70">
        <f ca="1">IF(OR(J$8="",$B16=""),"",_xlfn.COVARIANCE.S(INDIRECT("'Asset Returns'!"&amp;SUBSTITUTE(ADDRESS(1,MATCH(J$8,'Asset Returns'!$1:$1,0),4),1,"")&amp;":"&amp;SUBSTITUTE(ADDRESS(1,MATCH(J$8,'Asset Returns'!$1:$1,0),4),1,"")),INDIRECT("'Asset Returns'!"&amp;SUBSTITUTE(ADDRESS(1,MATCH($B16,'Asset Returns'!$1:$1,0),4),1,"")&amp;":"&amp;SUBSTITUTE(ADDRESS(1,MATCH($B16,'Asset Returns'!$1:$1,0),4),1,""))))</f>
        <v>5.3207829970905399E-3</v>
      </c>
      <c r="K16" s="70">
        <f ca="1">IF(OR(K$8="",$B16=""),"",_xlfn.COVARIANCE.S(INDIRECT("'Asset Returns'!"&amp;SUBSTITUTE(ADDRESS(1,MATCH(K$8,'Asset Returns'!$1:$1,0),4),1,"")&amp;":"&amp;SUBSTITUTE(ADDRESS(1,MATCH(K$8,'Asset Returns'!$1:$1,0),4),1,"")),INDIRECT("'Asset Returns'!"&amp;SUBSTITUTE(ADDRESS(1,MATCH($B16,'Asset Returns'!$1:$1,0),4),1,"")&amp;":"&amp;SUBSTITUTE(ADDRESS(1,MATCH($B16,'Asset Returns'!$1:$1,0),4),1,""))))</f>
        <v>1.0915542421668424E-3</v>
      </c>
      <c r="L16" s="70">
        <f ca="1">IF(OR(L$8="",$B16=""),"",_xlfn.COVARIANCE.S(INDIRECT("'Asset Returns'!"&amp;SUBSTITUTE(ADDRESS(1,MATCH(L$8,'Asset Returns'!$1:$1,0),4),1,"")&amp;":"&amp;SUBSTITUTE(ADDRESS(1,MATCH(L$8,'Asset Returns'!$1:$1,0),4),1,"")),INDIRECT("'Asset Returns'!"&amp;SUBSTITUTE(ADDRESS(1,MATCH($B16,'Asset Returns'!$1:$1,0),4),1,"")&amp;":"&amp;SUBSTITUTE(ADDRESS(1,MATCH($B16,'Asset Returns'!$1:$1,0),4),1,""))))</f>
        <v>9.8444033908700527E-4</v>
      </c>
      <c r="M16" s="70" t="str">
        <f ca="1">IF(OR(M$8="",$B16=""),"",_xlfn.COVARIANCE.S(INDIRECT("'Asset Returns'!"&amp;SUBSTITUTE(ADDRESS(1,MATCH(M$8,'Asset Returns'!$1:$1,0),4),1,"")&amp;":"&amp;SUBSTITUTE(ADDRESS(1,MATCH(M$8,'Asset Returns'!$1:$1,0),4),1,"")),INDIRECT("'Asset Returns'!"&amp;SUBSTITUTE(ADDRESS(1,MATCH($B16,'Asset Returns'!$1:$1,0),4),1,"")&amp;":"&amp;SUBSTITUTE(ADDRESS(1,MATCH($B16,'Asset Returns'!$1:$1,0),4),1,""))))</f>
        <v/>
      </c>
      <c r="N16" s="70" t="str">
        <f ca="1">IF(OR(N$8="",$B16=""),"",_xlfn.COVARIANCE.S(INDIRECT("'Asset Returns'!"&amp;SUBSTITUTE(ADDRESS(1,MATCH(N$8,'Asset Returns'!$1:$1,0),4),1,"")&amp;":"&amp;SUBSTITUTE(ADDRESS(1,MATCH(N$8,'Asset Returns'!$1:$1,0),4),1,"")),INDIRECT("'Asset Returns'!"&amp;SUBSTITUTE(ADDRESS(1,MATCH($B16,'Asset Returns'!$1:$1,0),4),1,"")&amp;":"&amp;SUBSTITUTE(ADDRESS(1,MATCH($B16,'Asset Returns'!$1:$1,0),4),1,""))))</f>
        <v/>
      </c>
      <c r="O16" s="70" t="str">
        <f ca="1">IF(OR(O$8="",$B16=""),"",_xlfn.COVARIANCE.S(INDIRECT("'Asset Returns'!"&amp;SUBSTITUTE(ADDRESS(1,MATCH(O$8,'Asset Returns'!$1:$1,0),4),1,"")&amp;":"&amp;SUBSTITUTE(ADDRESS(1,MATCH(O$8,'Asset Returns'!$1:$1,0),4),1,"")),INDIRECT("'Asset Returns'!"&amp;SUBSTITUTE(ADDRESS(1,MATCH($B16,'Asset Returns'!$1:$1,0),4),1,"")&amp;":"&amp;SUBSTITUTE(ADDRESS(1,MATCH($B16,'Asset Returns'!$1:$1,0),4),1,""))))</f>
        <v/>
      </c>
      <c r="P16" s="70" t="str">
        <f ca="1">IF(OR(P$8="",$B16=""),"",_xlfn.COVARIANCE.S(INDIRECT("'Asset Returns'!"&amp;SUBSTITUTE(ADDRESS(1,MATCH(P$8,'Asset Returns'!$1:$1,0),4),1,"")&amp;":"&amp;SUBSTITUTE(ADDRESS(1,MATCH(P$8,'Asset Returns'!$1:$1,0),4),1,"")),INDIRECT("'Asset Returns'!"&amp;SUBSTITUTE(ADDRESS(1,MATCH($B16,'Asset Returns'!$1:$1,0),4),1,"")&amp;":"&amp;SUBSTITUTE(ADDRESS(1,MATCH($B16,'Asset Returns'!$1:$1,0),4),1,""))))</f>
        <v/>
      </c>
      <c r="Q16" s="70" t="str">
        <f ca="1">IF(OR(Q$8="",$B16=""),"",_xlfn.COVARIANCE.S(INDIRECT("'Asset Returns'!"&amp;SUBSTITUTE(ADDRESS(1,MATCH(Q$8,'Asset Returns'!$1:$1,0),4),1,"")&amp;":"&amp;SUBSTITUTE(ADDRESS(1,MATCH(Q$8,'Asset Returns'!$1:$1,0),4),1,"")),INDIRECT("'Asset Returns'!"&amp;SUBSTITUTE(ADDRESS(1,MATCH($B16,'Asset Returns'!$1:$1,0),4),1,"")&amp;":"&amp;SUBSTITUTE(ADDRESS(1,MATCH($B16,'Asset Returns'!$1:$1,0),4),1,""))))</f>
        <v/>
      </c>
      <c r="R16" s="70" t="str">
        <f ca="1">IF(OR(R$8="",$B16=""),"",_xlfn.COVARIANCE.S(INDIRECT("'Asset Returns'!"&amp;SUBSTITUTE(ADDRESS(1,MATCH(R$8,'Asset Returns'!$1:$1,0),4),1,"")&amp;":"&amp;SUBSTITUTE(ADDRESS(1,MATCH(R$8,'Asset Returns'!$1:$1,0),4),1,"")),INDIRECT("'Asset Returns'!"&amp;SUBSTITUTE(ADDRESS(1,MATCH($B16,'Asset Returns'!$1:$1,0),4),1,"")&amp;":"&amp;SUBSTITUTE(ADDRESS(1,MATCH($B16,'Asset Returns'!$1:$1,0),4),1,""))))</f>
        <v/>
      </c>
      <c r="S16" s="70" t="str">
        <f ca="1">IF(OR(S$8="",$B16=""),"",_xlfn.COVARIANCE.S(INDIRECT("'Asset Returns'!"&amp;SUBSTITUTE(ADDRESS(1,MATCH(S$8,'Asset Returns'!$1:$1,0),4),1,"")&amp;":"&amp;SUBSTITUTE(ADDRESS(1,MATCH(S$8,'Asset Returns'!$1:$1,0),4),1,"")),INDIRECT("'Asset Returns'!"&amp;SUBSTITUTE(ADDRESS(1,MATCH($B16,'Asset Returns'!$1:$1,0),4),1,"")&amp;":"&amp;SUBSTITUTE(ADDRESS(1,MATCH($B16,'Asset Returns'!$1:$1,0),4),1,""))))</f>
        <v/>
      </c>
      <c r="T16" s="70" t="str">
        <f ca="1">IF(OR(T$8="",$B16=""),"",_xlfn.COVARIANCE.S(INDIRECT("'Asset Returns'!"&amp;SUBSTITUTE(ADDRESS(1,MATCH(T$8,'Asset Returns'!$1:$1,0),4),1,"")&amp;":"&amp;SUBSTITUTE(ADDRESS(1,MATCH(T$8,'Asset Returns'!$1:$1,0),4),1,"")),INDIRECT("'Asset Returns'!"&amp;SUBSTITUTE(ADDRESS(1,MATCH($B16,'Asset Returns'!$1:$1,0),4),1,"")&amp;":"&amp;SUBSTITUTE(ADDRESS(1,MATCH($B16,'Asset Returns'!$1:$1,0),4),1,""))))</f>
        <v/>
      </c>
      <c r="U16" s="70" t="str">
        <f ca="1">IF(OR(U$8="",$B16=""),"",_xlfn.COVARIANCE.S(INDIRECT("'Asset Returns'!"&amp;SUBSTITUTE(ADDRESS(1,MATCH(U$8,'Asset Returns'!$1:$1,0),4),1,"")&amp;":"&amp;SUBSTITUTE(ADDRESS(1,MATCH(U$8,'Asset Returns'!$1:$1,0),4),1,"")),INDIRECT("'Asset Returns'!"&amp;SUBSTITUTE(ADDRESS(1,MATCH($B16,'Asset Returns'!$1:$1,0),4),1,"")&amp;":"&amp;SUBSTITUTE(ADDRESS(1,MATCH($B16,'Asset Returns'!$1:$1,0),4),1,""))))</f>
        <v/>
      </c>
      <c r="V16" s="70" t="str">
        <f ca="1">IF(OR(V$8="",$B16=""),"",_xlfn.COVARIANCE.S(INDIRECT("'Asset Returns'!"&amp;SUBSTITUTE(ADDRESS(1,MATCH(V$8,'Asset Returns'!$1:$1,0),4),1,"")&amp;":"&amp;SUBSTITUTE(ADDRESS(1,MATCH(V$8,'Asset Returns'!$1:$1,0),4),1,"")),INDIRECT("'Asset Returns'!"&amp;SUBSTITUTE(ADDRESS(1,MATCH($B16,'Asset Returns'!$1:$1,0),4),1,"")&amp;":"&amp;SUBSTITUTE(ADDRESS(1,MATCH($B16,'Asset Returns'!$1:$1,0),4),1,""))))</f>
        <v/>
      </c>
      <c r="W16" s="70" t="str">
        <f ca="1">IF(OR(W$8="",$B16=""),"",_xlfn.COVARIANCE.S(INDIRECT("'Asset Returns'!"&amp;SUBSTITUTE(ADDRESS(1,MATCH(W$8,'Asset Returns'!$1:$1,0),4),1,"")&amp;":"&amp;SUBSTITUTE(ADDRESS(1,MATCH(W$8,'Asset Returns'!$1:$1,0),4),1,"")),INDIRECT("'Asset Returns'!"&amp;SUBSTITUTE(ADDRESS(1,MATCH($B16,'Asset Returns'!$1:$1,0),4),1,"")&amp;":"&amp;SUBSTITUTE(ADDRESS(1,MATCH($B16,'Asset Returns'!$1:$1,0),4),1,""))))</f>
        <v/>
      </c>
      <c r="X16" s="70" t="str">
        <f ca="1">IF(OR(X$8="",$B16=""),"",_xlfn.COVARIANCE.S(INDIRECT("'Asset Returns'!"&amp;SUBSTITUTE(ADDRESS(1,MATCH(X$8,'Asset Returns'!$1:$1,0),4),1,"")&amp;":"&amp;SUBSTITUTE(ADDRESS(1,MATCH(X$8,'Asset Returns'!$1:$1,0),4),1,"")),INDIRECT("'Asset Returns'!"&amp;SUBSTITUTE(ADDRESS(1,MATCH($B16,'Asset Returns'!$1:$1,0),4),1,"")&amp;":"&amp;SUBSTITUTE(ADDRESS(1,MATCH($B16,'Asset Returns'!$1:$1,0),4),1,""))))</f>
        <v/>
      </c>
      <c r="Y16" s="70" t="str">
        <f ca="1">IF(OR(Y$8="",$B16=""),"",_xlfn.COVARIANCE.S(INDIRECT("'Asset Returns'!"&amp;SUBSTITUTE(ADDRESS(1,MATCH(Y$8,'Asset Returns'!$1:$1,0),4),1,"")&amp;":"&amp;SUBSTITUTE(ADDRESS(1,MATCH(Y$8,'Asset Returns'!$1:$1,0),4),1,"")),INDIRECT("'Asset Returns'!"&amp;SUBSTITUTE(ADDRESS(1,MATCH($B16,'Asset Returns'!$1:$1,0),4),1,"")&amp;":"&amp;SUBSTITUTE(ADDRESS(1,MATCH($B16,'Asset Returns'!$1:$1,0),4),1,""))))</f>
        <v/>
      </c>
      <c r="Z16" s="70" t="str">
        <f ca="1">IF(OR(Z$8="",$B16=""),"",_xlfn.COVARIANCE.S(INDIRECT("'Asset Returns'!"&amp;SUBSTITUTE(ADDRESS(1,MATCH(Z$8,'Asset Returns'!$1:$1,0),4),1,"")&amp;":"&amp;SUBSTITUTE(ADDRESS(1,MATCH(Z$8,'Asset Returns'!$1:$1,0),4),1,"")),INDIRECT("'Asset Returns'!"&amp;SUBSTITUTE(ADDRESS(1,MATCH($B16,'Asset Returns'!$1:$1,0),4),1,"")&amp;":"&amp;SUBSTITUTE(ADDRESS(1,MATCH($B16,'Asset Returns'!$1:$1,0),4),1,""))))</f>
        <v/>
      </c>
      <c r="AA16" s="70" t="str">
        <f ca="1">IF(OR(AA$8="",$B16=""),"",_xlfn.COVARIANCE.S(INDIRECT("'Asset Returns'!"&amp;SUBSTITUTE(ADDRESS(1,MATCH(AA$8,'Asset Returns'!$1:$1,0),4),1,"")&amp;":"&amp;SUBSTITUTE(ADDRESS(1,MATCH(AA$8,'Asset Returns'!$1:$1,0),4),1,"")),INDIRECT("'Asset Returns'!"&amp;SUBSTITUTE(ADDRESS(1,MATCH($B16,'Asset Returns'!$1:$1,0),4),1,"")&amp;":"&amp;SUBSTITUTE(ADDRESS(1,MATCH($B16,'Asset Returns'!$1:$1,0),4),1,""))))</f>
        <v/>
      </c>
      <c r="AB16" s="96">
        <v>8333</v>
      </c>
      <c r="AC16" s="48">
        <f t="shared" si="0"/>
        <v>8.3331666633332663E-2</v>
      </c>
      <c r="AE16" s="207"/>
      <c r="AF16" s="207"/>
      <c r="AG16" s="207"/>
      <c r="AH16" s="207"/>
      <c r="AI16" s="207"/>
      <c r="AJ16" s="207"/>
      <c r="AK16" s="207"/>
      <c r="AL16" s="207"/>
      <c r="AM16" s="207"/>
    </row>
    <row r="17" spans="1:39" x14ac:dyDescent="0.25">
      <c r="A17" s="47"/>
      <c r="B17" s="92" t="s">
        <v>141</v>
      </c>
      <c r="C17" s="69">
        <f ca="1">IF(OR(C$8="",$B17=""),"",_xlfn.COVARIANCE.S(INDIRECT("'Asset Returns'!"&amp;SUBSTITUTE(ADDRESS(1,MATCH(C$8,'Asset Returns'!$1:$1,0),4),1,"")&amp;":"&amp;SUBSTITUTE(ADDRESS(1,MATCH(C$8,'Asset Returns'!$1:$1,0),4),1,"")),INDIRECT("'Asset Returns'!"&amp;SUBSTITUTE(ADDRESS(1,MATCH($B17,'Asset Returns'!$1:$1,0),4),1,"")&amp;":"&amp;SUBSTITUTE(ADDRESS(1,MATCH($B17,'Asset Returns'!$1:$1,0),4),1,""))))</f>
        <v>9.7502376092702906E-4</v>
      </c>
      <c r="D17" s="70">
        <f ca="1">IF(OR(D$8="",$B17=""),"",_xlfn.COVARIANCE.S(INDIRECT("'Asset Returns'!"&amp;SUBSTITUTE(ADDRESS(1,MATCH(D$8,'Asset Returns'!$1:$1,0),4),1,"")&amp;":"&amp;SUBSTITUTE(ADDRESS(1,MATCH(D$8,'Asset Returns'!$1:$1,0),4),1,"")),INDIRECT("'Asset Returns'!"&amp;SUBSTITUTE(ADDRESS(1,MATCH($B17,'Asset Returns'!$1:$1,0),4),1,"")&amp;":"&amp;SUBSTITUTE(ADDRESS(1,MATCH($B17,'Asset Returns'!$1:$1,0),4),1,""))))</f>
        <v>1.0328728595611731E-3</v>
      </c>
      <c r="E17" s="70">
        <f ca="1">IF(OR(E$8="",$B17=""),"",_xlfn.COVARIANCE.S(INDIRECT("'Asset Returns'!"&amp;SUBSTITUTE(ADDRESS(1,MATCH(E$8,'Asset Returns'!$1:$1,0),4),1,"")&amp;":"&amp;SUBSTITUTE(ADDRESS(1,MATCH(E$8,'Asset Returns'!$1:$1,0),4),1,"")),INDIRECT("'Asset Returns'!"&amp;SUBSTITUTE(ADDRESS(1,MATCH($B17,'Asset Returns'!$1:$1,0),4),1,"")&amp;":"&amp;SUBSTITUTE(ADDRESS(1,MATCH($B17,'Asset Returns'!$1:$1,0),4),1,""))))</f>
        <v>1.4469643618335362E-3</v>
      </c>
      <c r="F17" s="70">
        <f ca="1">IF(OR(F$8="",$B17=""),"",_xlfn.COVARIANCE.S(INDIRECT("'Asset Returns'!"&amp;SUBSTITUTE(ADDRESS(1,MATCH(F$8,'Asset Returns'!$1:$1,0),4),1,"")&amp;":"&amp;SUBSTITUTE(ADDRESS(1,MATCH(F$8,'Asset Returns'!$1:$1,0),4),1,"")),INDIRECT("'Asset Returns'!"&amp;SUBSTITUTE(ADDRESS(1,MATCH($B17,'Asset Returns'!$1:$1,0),4),1,"")&amp;":"&amp;SUBSTITUTE(ADDRESS(1,MATCH($B17,'Asset Returns'!$1:$1,0),4),1,""))))</f>
        <v>1.2397217420615069E-3</v>
      </c>
      <c r="G17" s="70">
        <f ca="1">IF(OR(G$8="",$B17=""),"",_xlfn.COVARIANCE.S(INDIRECT("'Asset Returns'!"&amp;SUBSTITUTE(ADDRESS(1,MATCH(G$8,'Asset Returns'!$1:$1,0),4),1,"")&amp;":"&amp;SUBSTITUTE(ADDRESS(1,MATCH(G$8,'Asset Returns'!$1:$1,0),4),1,"")),INDIRECT("'Asset Returns'!"&amp;SUBSTITUTE(ADDRESS(1,MATCH($B17,'Asset Returns'!$1:$1,0),4),1,"")&amp;":"&amp;SUBSTITUTE(ADDRESS(1,MATCH($B17,'Asset Returns'!$1:$1,0),4),1,""))))</f>
        <v>8.1791141943415586E-4</v>
      </c>
      <c r="H17" s="70">
        <f ca="1">IF(OR(H$8="",$B17=""),"",_xlfn.COVARIANCE.S(INDIRECT("'Asset Returns'!"&amp;SUBSTITUTE(ADDRESS(1,MATCH(H$8,'Asset Returns'!$1:$1,0),4),1,"")&amp;":"&amp;SUBSTITUTE(ADDRESS(1,MATCH(H$8,'Asset Returns'!$1:$1,0),4),1,"")),INDIRECT("'Asset Returns'!"&amp;SUBSTITUTE(ADDRESS(1,MATCH($B17,'Asset Returns'!$1:$1,0),4),1,"")&amp;":"&amp;SUBSTITUTE(ADDRESS(1,MATCH($B17,'Asset Returns'!$1:$1,0),4),1,""))))</f>
        <v>1.493228487132191E-3</v>
      </c>
      <c r="I17" s="70">
        <f ca="1">IF(OR(I$8="",$B17=""),"",_xlfn.COVARIANCE.S(INDIRECT("'Asset Returns'!"&amp;SUBSTITUTE(ADDRESS(1,MATCH(I$8,'Asset Returns'!$1:$1,0),4),1,"")&amp;":"&amp;SUBSTITUTE(ADDRESS(1,MATCH(I$8,'Asset Returns'!$1:$1,0),4),1,"")),INDIRECT("'Asset Returns'!"&amp;SUBSTITUTE(ADDRESS(1,MATCH($B17,'Asset Returns'!$1:$1,0),4),1,"")&amp;":"&amp;SUBSTITUTE(ADDRESS(1,MATCH($B17,'Asset Returns'!$1:$1,0),4),1,""))))</f>
        <v>1.536992557572411E-3</v>
      </c>
      <c r="J17" s="70">
        <f ca="1">IF(OR(J$8="",$B17=""),"",_xlfn.COVARIANCE.S(INDIRECT("'Asset Returns'!"&amp;SUBSTITUTE(ADDRESS(1,MATCH(J$8,'Asset Returns'!$1:$1,0),4),1,"")&amp;":"&amp;SUBSTITUTE(ADDRESS(1,MATCH(J$8,'Asset Returns'!$1:$1,0),4),1,"")),INDIRECT("'Asset Returns'!"&amp;SUBSTITUTE(ADDRESS(1,MATCH($B17,'Asset Returns'!$1:$1,0),4),1,"")&amp;":"&amp;SUBSTITUTE(ADDRESS(1,MATCH($B17,'Asset Returns'!$1:$1,0),4),1,""))))</f>
        <v>1.0915542421668424E-3</v>
      </c>
      <c r="K17" s="70">
        <f ca="1">IF(OR(K$8="",$B17=""),"",_xlfn.COVARIANCE.S(INDIRECT("'Asset Returns'!"&amp;SUBSTITUTE(ADDRESS(1,MATCH(K$8,'Asset Returns'!$1:$1,0),4),1,"")&amp;":"&amp;SUBSTITUTE(ADDRESS(1,MATCH(K$8,'Asset Returns'!$1:$1,0),4),1,"")),INDIRECT("'Asset Returns'!"&amp;SUBSTITUTE(ADDRESS(1,MATCH($B17,'Asset Returns'!$1:$1,0),4),1,"")&amp;":"&amp;SUBSTITUTE(ADDRESS(1,MATCH($B17,'Asset Returns'!$1:$1,0),4),1,""))))</f>
        <v>2.3348975210109816E-3</v>
      </c>
      <c r="L17" s="70">
        <f ca="1">IF(OR(L$8="",$B17=""),"",_xlfn.COVARIANCE.S(INDIRECT("'Asset Returns'!"&amp;SUBSTITUTE(ADDRESS(1,MATCH(L$8,'Asset Returns'!$1:$1,0),4),1,"")&amp;":"&amp;SUBSTITUTE(ADDRESS(1,MATCH(L$8,'Asset Returns'!$1:$1,0),4),1,"")),INDIRECT("'Asset Returns'!"&amp;SUBSTITUTE(ADDRESS(1,MATCH($B17,'Asset Returns'!$1:$1,0),4),1,"")&amp;":"&amp;SUBSTITUTE(ADDRESS(1,MATCH($B17,'Asset Returns'!$1:$1,0),4),1,""))))</f>
        <v>1.0841045511312463E-3</v>
      </c>
      <c r="M17" s="70" t="str">
        <f ca="1">IF(OR(M$8="",$B17=""),"",_xlfn.COVARIANCE.S(INDIRECT("'Asset Returns'!"&amp;SUBSTITUTE(ADDRESS(1,MATCH(M$8,'Asset Returns'!$1:$1,0),4),1,"")&amp;":"&amp;SUBSTITUTE(ADDRESS(1,MATCH(M$8,'Asset Returns'!$1:$1,0),4),1,"")),INDIRECT("'Asset Returns'!"&amp;SUBSTITUTE(ADDRESS(1,MATCH($B17,'Asset Returns'!$1:$1,0),4),1,"")&amp;":"&amp;SUBSTITUTE(ADDRESS(1,MATCH($B17,'Asset Returns'!$1:$1,0),4),1,""))))</f>
        <v/>
      </c>
      <c r="N17" s="70" t="str">
        <f ca="1">IF(OR(N$8="",$B17=""),"",_xlfn.COVARIANCE.S(INDIRECT("'Asset Returns'!"&amp;SUBSTITUTE(ADDRESS(1,MATCH(N$8,'Asset Returns'!$1:$1,0),4),1,"")&amp;":"&amp;SUBSTITUTE(ADDRESS(1,MATCH(N$8,'Asset Returns'!$1:$1,0),4),1,"")),INDIRECT("'Asset Returns'!"&amp;SUBSTITUTE(ADDRESS(1,MATCH($B17,'Asset Returns'!$1:$1,0),4),1,"")&amp;":"&amp;SUBSTITUTE(ADDRESS(1,MATCH($B17,'Asset Returns'!$1:$1,0),4),1,""))))</f>
        <v/>
      </c>
      <c r="O17" s="70" t="str">
        <f ca="1">IF(OR(O$8="",$B17=""),"",_xlfn.COVARIANCE.S(INDIRECT("'Asset Returns'!"&amp;SUBSTITUTE(ADDRESS(1,MATCH(O$8,'Asset Returns'!$1:$1,0),4),1,"")&amp;":"&amp;SUBSTITUTE(ADDRESS(1,MATCH(O$8,'Asset Returns'!$1:$1,0),4),1,"")),INDIRECT("'Asset Returns'!"&amp;SUBSTITUTE(ADDRESS(1,MATCH($B17,'Asset Returns'!$1:$1,0),4),1,"")&amp;":"&amp;SUBSTITUTE(ADDRESS(1,MATCH($B17,'Asset Returns'!$1:$1,0),4),1,""))))</f>
        <v/>
      </c>
      <c r="P17" s="70" t="str">
        <f ca="1">IF(OR(P$8="",$B17=""),"",_xlfn.COVARIANCE.S(INDIRECT("'Asset Returns'!"&amp;SUBSTITUTE(ADDRESS(1,MATCH(P$8,'Asset Returns'!$1:$1,0),4),1,"")&amp;":"&amp;SUBSTITUTE(ADDRESS(1,MATCH(P$8,'Asset Returns'!$1:$1,0),4),1,"")),INDIRECT("'Asset Returns'!"&amp;SUBSTITUTE(ADDRESS(1,MATCH($B17,'Asset Returns'!$1:$1,0),4),1,"")&amp;":"&amp;SUBSTITUTE(ADDRESS(1,MATCH($B17,'Asset Returns'!$1:$1,0),4),1,""))))</f>
        <v/>
      </c>
      <c r="Q17" s="70" t="str">
        <f ca="1">IF(OR(Q$8="",$B17=""),"",_xlfn.COVARIANCE.S(INDIRECT("'Asset Returns'!"&amp;SUBSTITUTE(ADDRESS(1,MATCH(Q$8,'Asset Returns'!$1:$1,0),4),1,"")&amp;":"&amp;SUBSTITUTE(ADDRESS(1,MATCH(Q$8,'Asset Returns'!$1:$1,0),4),1,"")),INDIRECT("'Asset Returns'!"&amp;SUBSTITUTE(ADDRESS(1,MATCH($B17,'Asset Returns'!$1:$1,0),4),1,"")&amp;":"&amp;SUBSTITUTE(ADDRESS(1,MATCH($B17,'Asset Returns'!$1:$1,0),4),1,""))))</f>
        <v/>
      </c>
      <c r="R17" s="70" t="str">
        <f ca="1">IF(OR(R$8="",$B17=""),"",_xlfn.COVARIANCE.S(INDIRECT("'Asset Returns'!"&amp;SUBSTITUTE(ADDRESS(1,MATCH(R$8,'Asset Returns'!$1:$1,0),4),1,"")&amp;":"&amp;SUBSTITUTE(ADDRESS(1,MATCH(R$8,'Asset Returns'!$1:$1,0),4),1,"")),INDIRECT("'Asset Returns'!"&amp;SUBSTITUTE(ADDRESS(1,MATCH($B17,'Asset Returns'!$1:$1,0),4),1,"")&amp;":"&amp;SUBSTITUTE(ADDRESS(1,MATCH($B17,'Asset Returns'!$1:$1,0),4),1,""))))</f>
        <v/>
      </c>
      <c r="S17" s="70" t="str">
        <f ca="1">IF(OR(S$8="",$B17=""),"",_xlfn.COVARIANCE.S(INDIRECT("'Asset Returns'!"&amp;SUBSTITUTE(ADDRESS(1,MATCH(S$8,'Asset Returns'!$1:$1,0),4),1,"")&amp;":"&amp;SUBSTITUTE(ADDRESS(1,MATCH(S$8,'Asset Returns'!$1:$1,0),4),1,"")),INDIRECT("'Asset Returns'!"&amp;SUBSTITUTE(ADDRESS(1,MATCH($B17,'Asset Returns'!$1:$1,0),4),1,"")&amp;":"&amp;SUBSTITUTE(ADDRESS(1,MATCH($B17,'Asset Returns'!$1:$1,0),4),1,""))))</f>
        <v/>
      </c>
      <c r="T17" s="70" t="str">
        <f ca="1">IF(OR(T$8="",$B17=""),"",_xlfn.COVARIANCE.S(INDIRECT("'Asset Returns'!"&amp;SUBSTITUTE(ADDRESS(1,MATCH(T$8,'Asset Returns'!$1:$1,0),4),1,"")&amp;":"&amp;SUBSTITUTE(ADDRESS(1,MATCH(T$8,'Asset Returns'!$1:$1,0),4),1,"")),INDIRECT("'Asset Returns'!"&amp;SUBSTITUTE(ADDRESS(1,MATCH($B17,'Asset Returns'!$1:$1,0),4),1,"")&amp;":"&amp;SUBSTITUTE(ADDRESS(1,MATCH($B17,'Asset Returns'!$1:$1,0),4),1,""))))</f>
        <v/>
      </c>
      <c r="U17" s="70" t="str">
        <f ca="1">IF(OR(U$8="",$B17=""),"",_xlfn.COVARIANCE.S(INDIRECT("'Asset Returns'!"&amp;SUBSTITUTE(ADDRESS(1,MATCH(U$8,'Asset Returns'!$1:$1,0),4),1,"")&amp;":"&amp;SUBSTITUTE(ADDRESS(1,MATCH(U$8,'Asset Returns'!$1:$1,0),4),1,"")),INDIRECT("'Asset Returns'!"&amp;SUBSTITUTE(ADDRESS(1,MATCH($B17,'Asset Returns'!$1:$1,0),4),1,"")&amp;":"&amp;SUBSTITUTE(ADDRESS(1,MATCH($B17,'Asset Returns'!$1:$1,0),4),1,""))))</f>
        <v/>
      </c>
      <c r="V17" s="70" t="str">
        <f ca="1">IF(OR(V$8="",$B17=""),"",_xlfn.COVARIANCE.S(INDIRECT("'Asset Returns'!"&amp;SUBSTITUTE(ADDRESS(1,MATCH(V$8,'Asset Returns'!$1:$1,0),4),1,"")&amp;":"&amp;SUBSTITUTE(ADDRESS(1,MATCH(V$8,'Asset Returns'!$1:$1,0),4),1,"")),INDIRECT("'Asset Returns'!"&amp;SUBSTITUTE(ADDRESS(1,MATCH($B17,'Asset Returns'!$1:$1,0),4),1,"")&amp;":"&amp;SUBSTITUTE(ADDRESS(1,MATCH($B17,'Asset Returns'!$1:$1,0),4),1,""))))</f>
        <v/>
      </c>
      <c r="W17" s="70" t="str">
        <f ca="1">IF(OR(W$8="",$B17=""),"",_xlfn.COVARIANCE.S(INDIRECT("'Asset Returns'!"&amp;SUBSTITUTE(ADDRESS(1,MATCH(W$8,'Asset Returns'!$1:$1,0),4),1,"")&amp;":"&amp;SUBSTITUTE(ADDRESS(1,MATCH(W$8,'Asset Returns'!$1:$1,0),4),1,"")),INDIRECT("'Asset Returns'!"&amp;SUBSTITUTE(ADDRESS(1,MATCH($B17,'Asset Returns'!$1:$1,0),4),1,"")&amp;":"&amp;SUBSTITUTE(ADDRESS(1,MATCH($B17,'Asset Returns'!$1:$1,0),4),1,""))))</f>
        <v/>
      </c>
      <c r="X17" s="70" t="str">
        <f ca="1">IF(OR(X$8="",$B17=""),"",_xlfn.COVARIANCE.S(INDIRECT("'Asset Returns'!"&amp;SUBSTITUTE(ADDRESS(1,MATCH(X$8,'Asset Returns'!$1:$1,0),4),1,"")&amp;":"&amp;SUBSTITUTE(ADDRESS(1,MATCH(X$8,'Asset Returns'!$1:$1,0),4),1,"")),INDIRECT("'Asset Returns'!"&amp;SUBSTITUTE(ADDRESS(1,MATCH($B17,'Asset Returns'!$1:$1,0),4),1,"")&amp;":"&amp;SUBSTITUTE(ADDRESS(1,MATCH($B17,'Asset Returns'!$1:$1,0),4),1,""))))</f>
        <v/>
      </c>
      <c r="Y17" s="70" t="str">
        <f ca="1">IF(OR(Y$8="",$B17=""),"",_xlfn.COVARIANCE.S(INDIRECT("'Asset Returns'!"&amp;SUBSTITUTE(ADDRESS(1,MATCH(Y$8,'Asset Returns'!$1:$1,0),4),1,"")&amp;":"&amp;SUBSTITUTE(ADDRESS(1,MATCH(Y$8,'Asset Returns'!$1:$1,0),4),1,"")),INDIRECT("'Asset Returns'!"&amp;SUBSTITUTE(ADDRESS(1,MATCH($B17,'Asset Returns'!$1:$1,0),4),1,"")&amp;":"&amp;SUBSTITUTE(ADDRESS(1,MATCH($B17,'Asset Returns'!$1:$1,0),4),1,""))))</f>
        <v/>
      </c>
      <c r="Z17" s="70" t="str">
        <f ca="1">IF(OR(Z$8="",$B17=""),"",_xlfn.COVARIANCE.S(INDIRECT("'Asset Returns'!"&amp;SUBSTITUTE(ADDRESS(1,MATCH(Z$8,'Asset Returns'!$1:$1,0),4),1,"")&amp;":"&amp;SUBSTITUTE(ADDRESS(1,MATCH(Z$8,'Asset Returns'!$1:$1,0),4),1,"")),INDIRECT("'Asset Returns'!"&amp;SUBSTITUTE(ADDRESS(1,MATCH($B17,'Asset Returns'!$1:$1,0),4),1,"")&amp;":"&amp;SUBSTITUTE(ADDRESS(1,MATCH($B17,'Asset Returns'!$1:$1,0),4),1,""))))</f>
        <v/>
      </c>
      <c r="AA17" s="70" t="str">
        <f ca="1">IF(OR(AA$8="",$B17=""),"",_xlfn.COVARIANCE.S(INDIRECT("'Asset Returns'!"&amp;SUBSTITUTE(ADDRESS(1,MATCH(AA$8,'Asset Returns'!$1:$1,0),4),1,"")&amp;":"&amp;SUBSTITUTE(ADDRESS(1,MATCH(AA$8,'Asset Returns'!$1:$1,0),4),1,"")),INDIRECT("'Asset Returns'!"&amp;SUBSTITUTE(ADDRESS(1,MATCH($B17,'Asset Returns'!$1:$1,0),4),1,"")&amp;":"&amp;SUBSTITUTE(ADDRESS(1,MATCH($B17,'Asset Returns'!$1:$1,0),4),1,""))))</f>
        <v/>
      </c>
      <c r="AB17" s="96">
        <v>8333</v>
      </c>
      <c r="AC17" s="48">
        <f t="shared" si="0"/>
        <v>8.3331666633332663E-2</v>
      </c>
      <c r="AD17" s="4"/>
      <c r="AE17" s="207"/>
      <c r="AF17" s="207"/>
      <c r="AG17" s="207"/>
      <c r="AH17" s="207"/>
      <c r="AI17" s="207"/>
      <c r="AJ17" s="207"/>
      <c r="AK17" s="207"/>
      <c r="AL17" s="207"/>
      <c r="AM17" s="207"/>
    </row>
    <row r="18" spans="1:39" x14ac:dyDescent="0.25">
      <c r="A18" s="47"/>
      <c r="B18" s="92" t="s">
        <v>61</v>
      </c>
      <c r="C18" s="69">
        <f ca="1">IF(OR(C$8="",$B18=""),"",_xlfn.COVARIANCE.S(INDIRECT("'Asset Returns'!"&amp;SUBSTITUTE(ADDRESS(1,MATCH(C$8,'Asset Returns'!$1:$1,0),4),1,"")&amp;":"&amp;SUBSTITUTE(ADDRESS(1,MATCH(C$8,'Asset Returns'!$1:$1,0),4),1,"")),INDIRECT("'Asset Returns'!"&amp;SUBSTITUTE(ADDRESS(1,MATCH($B18,'Asset Returns'!$1:$1,0),4),1,"")&amp;":"&amp;SUBSTITUTE(ADDRESS(1,MATCH($B18,'Asset Returns'!$1:$1,0),4),1,""))))</f>
        <v>9.1555616370094363E-4</v>
      </c>
      <c r="D18" s="70">
        <f ca="1">IF(OR(D$8="",$B18=""),"",_xlfn.COVARIANCE.S(INDIRECT("'Asset Returns'!"&amp;SUBSTITUTE(ADDRESS(1,MATCH(D$8,'Asset Returns'!$1:$1,0),4),1,"")&amp;":"&amp;SUBSTITUTE(ADDRESS(1,MATCH(D$8,'Asset Returns'!$1:$1,0),4),1,"")),INDIRECT("'Asset Returns'!"&amp;SUBSTITUTE(ADDRESS(1,MATCH($B18,'Asset Returns'!$1:$1,0),4),1,"")&amp;":"&amp;SUBSTITUTE(ADDRESS(1,MATCH($B18,'Asset Returns'!$1:$1,0),4),1,""))))</f>
        <v>1.1748056528422207E-3</v>
      </c>
      <c r="E18" s="70">
        <f ca="1">IF(OR(E$8="",$B18=""),"",_xlfn.COVARIANCE.S(INDIRECT("'Asset Returns'!"&amp;SUBSTITUTE(ADDRESS(1,MATCH(E$8,'Asset Returns'!$1:$1,0),4),1,"")&amp;":"&amp;SUBSTITUTE(ADDRESS(1,MATCH(E$8,'Asset Returns'!$1:$1,0),4),1,"")),INDIRECT("'Asset Returns'!"&amp;SUBSTITUTE(ADDRESS(1,MATCH($B18,'Asset Returns'!$1:$1,0),4),1,"")&amp;":"&amp;SUBSTITUTE(ADDRESS(1,MATCH($B18,'Asset Returns'!$1:$1,0),4),1,""))))</f>
        <v>1.6362155727217564E-3</v>
      </c>
      <c r="F18" s="70">
        <f ca="1">IF(OR(F$8="",$B18=""),"",_xlfn.COVARIANCE.S(INDIRECT("'Asset Returns'!"&amp;SUBSTITUTE(ADDRESS(1,MATCH(F$8,'Asset Returns'!$1:$1,0),4),1,"")&amp;":"&amp;SUBSTITUTE(ADDRESS(1,MATCH(F$8,'Asset Returns'!$1:$1,0),4),1,"")),INDIRECT("'Asset Returns'!"&amp;SUBSTITUTE(ADDRESS(1,MATCH($B18,'Asset Returns'!$1:$1,0),4),1,"")&amp;":"&amp;SUBSTITUTE(ADDRESS(1,MATCH($B18,'Asset Returns'!$1:$1,0),4),1,""))))</f>
        <v>1.2740953084269583E-3</v>
      </c>
      <c r="G18" s="70">
        <f ca="1">IF(OR(G$8="",$B18=""),"",_xlfn.COVARIANCE.S(INDIRECT("'Asset Returns'!"&amp;SUBSTITUTE(ADDRESS(1,MATCH(G$8,'Asset Returns'!$1:$1,0),4),1,"")&amp;":"&amp;SUBSTITUTE(ADDRESS(1,MATCH(G$8,'Asset Returns'!$1:$1,0),4),1,"")),INDIRECT("'Asset Returns'!"&amp;SUBSTITUTE(ADDRESS(1,MATCH($B18,'Asset Returns'!$1:$1,0),4),1,"")&amp;":"&amp;SUBSTITUTE(ADDRESS(1,MATCH($B18,'Asset Returns'!$1:$1,0),4),1,""))))</f>
        <v>5.9843086736175734E-4</v>
      </c>
      <c r="H18" s="70">
        <f ca="1">IF(OR(H$8="",$B18=""),"",_xlfn.COVARIANCE.S(INDIRECT("'Asset Returns'!"&amp;SUBSTITUTE(ADDRESS(1,MATCH(H$8,'Asset Returns'!$1:$1,0),4),1,"")&amp;":"&amp;SUBSTITUTE(ADDRESS(1,MATCH(H$8,'Asset Returns'!$1:$1,0),4),1,"")),INDIRECT("'Asset Returns'!"&amp;SUBSTITUTE(ADDRESS(1,MATCH($B18,'Asset Returns'!$1:$1,0),4),1,"")&amp;":"&amp;SUBSTITUTE(ADDRESS(1,MATCH($B18,'Asset Returns'!$1:$1,0),4),1,""))))</f>
        <v>1.443289084025961E-3</v>
      </c>
      <c r="I18" s="70">
        <f ca="1">IF(OR(I$8="",$B18=""),"",_xlfn.COVARIANCE.S(INDIRECT("'Asset Returns'!"&amp;SUBSTITUTE(ADDRESS(1,MATCH(I$8,'Asset Returns'!$1:$1,0),4),1,"")&amp;":"&amp;SUBSTITUTE(ADDRESS(1,MATCH(I$8,'Asset Returns'!$1:$1,0),4),1,"")),INDIRECT("'Asset Returns'!"&amp;SUBSTITUTE(ADDRESS(1,MATCH($B18,'Asset Returns'!$1:$1,0),4),1,"")&amp;":"&amp;SUBSTITUTE(ADDRESS(1,MATCH($B18,'Asset Returns'!$1:$1,0),4),1,""))))</f>
        <v>1.2837250969851691E-3</v>
      </c>
      <c r="J18" s="70">
        <f ca="1">IF(OR(J$8="",$B18=""),"",_xlfn.COVARIANCE.S(INDIRECT("'Asset Returns'!"&amp;SUBSTITUTE(ADDRESS(1,MATCH(J$8,'Asset Returns'!$1:$1,0),4),1,"")&amp;":"&amp;SUBSTITUTE(ADDRESS(1,MATCH(J$8,'Asset Returns'!$1:$1,0),4),1,"")),INDIRECT("'Asset Returns'!"&amp;SUBSTITUTE(ADDRESS(1,MATCH($B18,'Asset Returns'!$1:$1,0),4),1,"")&amp;":"&amp;SUBSTITUTE(ADDRESS(1,MATCH($B18,'Asset Returns'!$1:$1,0),4),1,""))))</f>
        <v>9.8444033908700527E-4</v>
      </c>
      <c r="K18" s="70">
        <f ca="1">IF(OR(K$8="",$B18=""),"",_xlfn.COVARIANCE.S(INDIRECT("'Asset Returns'!"&amp;SUBSTITUTE(ADDRESS(1,MATCH(K$8,'Asset Returns'!$1:$1,0),4),1,"")&amp;":"&amp;SUBSTITUTE(ADDRESS(1,MATCH(K$8,'Asset Returns'!$1:$1,0),4),1,"")),INDIRECT("'Asset Returns'!"&amp;SUBSTITUTE(ADDRESS(1,MATCH($B18,'Asset Returns'!$1:$1,0),4),1,"")&amp;":"&amp;SUBSTITUTE(ADDRESS(1,MATCH($B18,'Asset Returns'!$1:$1,0),4),1,""))))</f>
        <v>1.0841045511312463E-3</v>
      </c>
      <c r="L18" s="70">
        <f ca="1">IF(OR(L$8="",$B18=""),"",_xlfn.COVARIANCE.S(INDIRECT("'Asset Returns'!"&amp;SUBSTITUTE(ADDRESS(1,MATCH(L$8,'Asset Returns'!$1:$1,0),4),1,"")&amp;":"&amp;SUBSTITUTE(ADDRESS(1,MATCH(L$8,'Asset Returns'!$1:$1,0),4),1,"")),INDIRECT("'Asset Returns'!"&amp;SUBSTITUTE(ADDRESS(1,MATCH($B18,'Asset Returns'!$1:$1,0),4),1,"")&amp;":"&amp;SUBSTITUTE(ADDRESS(1,MATCH($B18,'Asset Returns'!$1:$1,0),4),1,""))))</f>
        <v>3.5717534862219564E-3</v>
      </c>
      <c r="M18" s="70" t="str">
        <f ca="1">IF(OR(M$8="",$B18=""),"",_xlfn.COVARIANCE.S(INDIRECT("'Asset Returns'!"&amp;SUBSTITUTE(ADDRESS(1,MATCH(M$8,'Asset Returns'!$1:$1,0),4),1,"")&amp;":"&amp;SUBSTITUTE(ADDRESS(1,MATCH(M$8,'Asset Returns'!$1:$1,0),4),1,"")),INDIRECT("'Asset Returns'!"&amp;SUBSTITUTE(ADDRESS(1,MATCH($B18,'Asset Returns'!$1:$1,0),4),1,"")&amp;":"&amp;SUBSTITUTE(ADDRESS(1,MATCH($B18,'Asset Returns'!$1:$1,0),4),1,""))))</f>
        <v/>
      </c>
      <c r="N18" s="70" t="str">
        <f ca="1">IF(OR(N$8="",$B18=""),"",_xlfn.COVARIANCE.S(INDIRECT("'Asset Returns'!"&amp;SUBSTITUTE(ADDRESS(1,MATCH(N$8,'Asset Returns'!$1:$1,0),4),1,"")&amp;":"&amp;SUBSTITUTE(ADDRESS(1,MATCH(N$8,'Asset Returns'!$1:$1,0),4),1,"")),INDIRECT("'Asset Returns'!"&amp;SUBSTITUTE(ADDRESS(1,MATCH($B18,'Asset Returns'!$1:$1,0),4),1,"")&amp;":"&amp;SUBSTITUTE(ADDRESS(1,MATCH($B18,'Asset Returns'!$1:$1,0),4),1,""))))</f>
        <v/>
      </c>
      <c r="O18" s="70" t="str">
        <f ca="1">IF(OR(O$8="",$B18=""),"",_xlfn.COVARIANCE.S(INDIRECT("'Asset Returns'!"&amp;SUBSTITUTE(ADDRESS(1,MATCH(O$8,'Asset Returns'!$1:$1,0),4),1,"")&amp;":"&amp;SUBSTITUTE(ADDRESS(1,MATCH(O$8,'Asset Returns'!$1:$1,0),4),1,"")),INDIRECT("'Asset Returns'!"&amp;SUBSTITUTE(ADDRESS(1,MATCH($B18,'Asset Returns'!$1:$1,0),4),1,"")&amp;":"&amp;SUBSTITUTE(ADDRESS(1,MATCH($B18,'Asset Returns'!$1:$1,0),4),1,""))))</f>
        <v/>
      </c>
      <c r="P18" s="70" t="str">
        <f ca="1">IF(OR(P$8="",$B18=""),"",_xlfn.COVARIANCE.S(INDIRECT("'Asset Returns'!"&amp;SUBSTITUTE(ADDRESS(1,MATCH(P$8,'Asset Returns'!$1:$1,0),4),1,"")&amp;":"&amp;SUBSTITUTE(ADDRESS(1,MATCH(P$8,'Asset Returns'!$1:$1,0),4),1,"")),INDIRECT("'Asset Returns'!"&amp;SUBSTITUTE(ADDRESS(1,MATCH($B18,'Asset Returns'!$1:$1,0),4),1,"")&amp;":"&amp;SUBSTITUTE(ADDRESS(1,MATCH($B18,'Asset Returns'!$1:$1,0),4),1,""))))</f>
        <v/>
      </c>
      <c r="Q18" s="70" t="str">
        <f ca="1">IF(OR(Q$8="",$B18=""),"",_xlfn.COVARIANCE.S(INDIRECT("'Asset Returns'!"&amp;SUBSTITUTE(ADDRESS(1,MATCH(Q$8,'Asset Returns'!$1:$1,0),4),1,"")&amp;":"&amp;SUBSTITUTE(ADDRESS(1,MATCH(Q$8,'Asset Returns'!$1:$1,0),4),1,"")),INDIRECT("'Asset Returns'!"&amp;SUBSTITUTE(ADDRESS(1,MATCH($B18,'Asset Returns'!$1:$1,0),4),1,"")&amp;":"&amp;SUBSTITUTE(ADDRESS(1,MATCH($B18,'Asset Returns'!$1:$1,0),4),1,""))))</f>
        <v/>
      </c>
      <c r="R18" s="70" t="str">
        <f ca="1">IF(OR(R$8="",$B18=""),"",_xlfn.COVARIANCE.S(INDIRECT("'Asset Returns'!"&amp;SUBSTITUTE(ADDRESS(1,MATCH(R$8,'Asset Returns'!$1:$1,0),4),1,"")&amp;":"&amp;SUBSTITUTE(ADDRESS(1,MATCH(R$8,'Asset Returns'!$1:$1,0),4),1,"")),INDIRECT("'Asset Returns'!"&amp;SUBSTITUTE(ADDRESS(1,MATCH($B18,'Asset Returns'!$1:$1,0),4),1,"")&amp;":"&amp;SUBSTITUTE(ADDRESS(1,MATCH($B18,'Asset Returns'!$1:$1,0),4),1,""))))</f>
        <v/>
      </c>
      <c r="S18" s="70" t="str">
        <f ca="1">IF(OR(S$8="",$B18=""),"",_xlfn.COVARIANCE.S(INDIRECT("'Asset Returns'!"&amp;SUBSTITUTE(ADDRESS(1,MATCH(S$8,'Asset Returns'!$1:$1,0),4),1,"")&amp;":"&amp;SUBSTITUTE(ADDRESS(1,MATCH(S$8,'Asset Returns'!$1:$1,0),4),1,"")),INDIRECT("'Asset Returns'!"&amp;SUBSTITUTE(ADDRESS(1,MATCH($B18,'Asset Returns'!$1:$1,0),4),1,"")&amp;":"&amp;SUBSTITUTE(ADDRESS(1,MATCH($B18,'Asset Returns'!$1:$1,0),4),1,""))))</f>
        <v/>
      </c>
      <c r="T18" s="70" t="str">
        <f ca="1">IF(OR(T$8="",$B18=""),"",_xlfn.COVARIANCE.S(INDIRECT("'Asset Returns'!"&amp;SUBSTITUTE(ADDRESS(1,MATCH(T$8,'Asset Returns'!$1:$1,0),4),1,"")&amp;":"&amp;SUBSTITUTE(ADDRESS(1,MATCH(T$8,'Asset Returns'!$1:$1,0),4),1,"")),INDIRECT("'Asset Returns'!"&amp;SUBSTITUTE(ADDRESS(1,MATCH($B18,'Asset Returns'!$1:$1,0),4),1,"")&amp;":"&amp;SUBSTITUTE(ADDRESS(1,MATCH($B18,'Asset Returns'!$1:$1,0),4),1,""))))</f>
        <v/>
      </c>
      <c r="U18" s="70" t="str">
        <f ca="1">IF(OR(U$8="",$B18=""),"",_xlfn.COVARIANCE.S(INDIRECT("'Asset Returns'!"&amp;SUBSTITUTE(ADDRESS(1,MATCH(U$8,'Asset Returns'!$1:$1,0),4),1,"")&amp;":"&amp;SUBSTITUTE(ADDRESS(1,MATCH(U$8,'Asset Returns'!$1:$1,0),4),1,"")),INDIRECT("'Asset Returns'!"&amp;SUBSTITUTE(ADDRESS(1,MATCH($B18,'Asset Returns'!$1:$1,0),4),1,"")&amp;":"&amp;SUBSTITUTE(ADDRESS(1,MATCH($B18,'Asset Returns'!$1:$1,0),4),1,""))))</f>
        <v/>
      </c>
      <c r="V18" s="70" t="str">
        <f ca="1">IF(OR(V$8="",$B18=""),"",_xlfn.COVARIANCE.S(INDIRECT("'Asset Returns'!"&amp;SUBSTITUTE(ADDRESS(1,MATCH(V$8,'Asset Returns'!$1:$1,0),4),1,"")&amp;":"&amp;SUBSTITUTE(ADDRESS(1,MATCH(V$8,'Asset Returns'!$1:$1,0),4),1,"")),INDIRECT("'Asset Returns'!"&amp;SUBSTITUTE(ADDRESS(1,MATCH($B18,'Asset Returns'!$1:$1,0),4),1,"")&amp;":"&amp;SUBSTITUTE(ADDRESS(1,MATCH($B18,'Asset Returns'!$1:$1,0),4),1,""))))</f>
        <v/>
      </c>
      <c r="W18" s="70" t="str">
        <f ca="1">IF(OR(W$8="",$B18=""),"",_xlfn.COVARIANCE.S(INDIRECT("'Asset Returns'!"&amp;SUBSTITUTE(ADDRESS(1,MATCH(W$8,'Asset Returns'!$1:$1,0),4),1,"")&amp;":"&amp;SUBSTITUTE(ADDRESS(1,MATCH(W$8,'Asset Returns'!$1:$1,0),4),1,"")),INDIRECT("'Asset Returns'!"&amp;SUBSTITUTE(ADDRESS(1,MATCH($B18,'Asset Returns'!$1:$1,0),4),1,"")&amp;":"&amp;SUBSTITUTE(ADDRESS(1,MATCH($B18,'Asset Returns'!$1:$1,0),4),1,""))))</f>
        <v/>
      </c>
      <c r="X18" s="70" t="str">
        <f ca="1">IF(OR(X$8="",$B18=""),"",_xlfn.COVARIANCE.S(INDIRECT("'Asset Returns'!"&amp;SUBSTITUTE(ADDRESS(1,MATCH(X$8,'Asset Returns'!$1:$1,0),4),1,"")&amp;":"&amp;SUBSTITUTE(ADDRESS(1,MATCH(X$8,'Asset Returns'!$1:$1,0),4),1,"")),INDIRECT("'Asset Returns'!"&amp;SUBSTITUTE(ADDRESS(1,MATCH($B18,'Asset Returns'!$1:$1,0),4),1,"")&amp;":"&amp;SUBSTITUTE(ADDRESS(1,MATCH($B18,'Asset Returns'!$1:$1,0),4),1,""))))</f>
        <v/>
      </c>
      <c r="Y18" s="70" t="str">
        <f ca="1">IF(OR(Y$8="",$B18=""),"",_xlfn.COVARIANCE.S(INDIRECT("'Asset Returns'!"&amp;SUBSTITUTE(ADDRESS(1,MATCH(Y$8,'Asset Returns'!$1:$1,0),4),1,"")&amp;":"&amp;SUBSTITUTE(ADDRESS(1,MATCH(Y$8,'Asset Returns'!$1:$1,0),4),1,"")),INDIRECT("'Asset Returns'!"&amp;SUBSTITUTE(ADDRESS(1,MATCH($B18,'Asset Returns'!$1:$1,0),4),1,"")&amp;":"&amp;SUBSTITUTE(ADDRESS(1,MATCH($B18,'Asset Returns'!$1:$1,0),4),1,""))))</f>
        <v/>
      </c>
      <c r="Z18" s="70" t="str">
        <f ca="1">IF(OR(Z$8="",$B18=""),"",_xlfn.COVARIANCE.S(INDIRECT("'Asset Returns'!"&amp;SUBSTITUTE(ADDRESS(1,MATCH(Z$8,'Asset Returns'!$1:$1,0),4),1,"")&amp;":"&amp;SUBSTITUTE(ADDRESS(1,MATCH(Z$8,'Asset Returns'!$1:$1,0),4),1,"")),INDIRECT("'Asset Returns'!"&amp;SUBSTITUTE(ADDRESS(1,MATCH($B18,'Asset Returns'!$1:$1,0),4),1,"")&amp;":"&amp;SUBSTITUTE(ADDRESS(1,MATCH($B18,'Asset Returns'!$1:$1,0),4),1,""))))</f>
        <v/>
      </c>
      <c r="AA18" s="70" t="str">
        <f ca="1">IF(OR(AA$8="",$B18=""),"",_xlfn.COVARIANCE.S(INDIRECT("'Asset Returns'!"&amp;SUBSTITUTE(ADDRESS(1,MATCH(AA$8,'Asset Returns'!$1:$1,0),4),1,"")&amp;":"&amp;SUBSTITUTE(ADDRESS(1,MATCH(AA$8,'Asset Returns'!$1:$1,0),4),1,"")),INDIRECT("'Asset Returns'!"&amp;SUBSTITUTE(ADDRESS(1,MATCH($B18,'Asset Returns'!$1:$1,0),4),1,"")&amp;":"&amp;SUBSTITUTE(ADDRESS(1,MATCH($B18,'Asset Returns'!$1:$1,0),4),1,""))))</f>
        <v/>
      </c>
      <c r="AB18" s="96">
        <v>8333</v>
      </c>
      <c r="AC18" s="48">
        <f t="shared" si="0"/>
        <v>8.3331666633332663E-2</v>
      </c>
      <c r="AE18" s="207"/>
      <c r="AF18" s="207"/>
      <c r="AG18" s="207"/>
      <c r="AH18" s="207"/>
      <c r="AI18" s="207"/>
      <c r="AJ18" s="207"/>
      <c r="AK18" s="207"/>
      <c r="AL18" s="207"/>
      <c r="AM18" s="207"/>
    </row>
    <row r="19" spans="1:39" x14ac:dyDescent="0.25">
      <c r="A19" s="47"/>
      <c r="B19" s="92"/>
      <c r="C19" s="69" t="str">
        <f ca="1">IF(OR(C$8="",$B19=""),"",_xlfn.COVARIANCE.S(INDIRECT("'Asset Returns'!"&amp;SUBSTITUTE(ADDRESS(1,MATCH(C$8,'Asset Returns'!$1:$1,0),4),1,"")&amp;":"&amp;SUBSTITUTE(ADDRESS(1,MATCH(C$8,'Asset Returns'!$1:$1,0),4),1,"")),INDIRECT("'Asset Returns'!"&amp;SUBSTITUTE(ADDRESS(1,MATCH($B19,'Asset Returns'!$1:$1,0),4),1,"")&amp;":"&amp;SUBSTITUTE(ADDRESS(1,MATCH($B19,'Asset Returns'!$1:$1,0),4),1,""))))</f>
        <v/>
      </c>
      <c r="D19" s="70" t="str">
        <f ca="1">IF(OR(D$8="",$B19=""),"",_xlfn.COVARIANCE.S(INDIRECT("'Asset Returns'!"&amp;SUBSTITUTE(ADDRESS(1,MATCH(D$8,'Asset Returns'!$1:$1,0),4),1,"")&amp;":"&amp;SUBSTITUTE(ADDRESS(1,MATCH(D$8,'Asset Returns'!$1:$1,0),4),1,"")),INDIRECT("'Asset Returns'!"&amp;SUBSTITUTE(ADDRESS(1,MATCH($B19,'Asset Returns'!$1:$1,0),4),1,"")&amp;":"&amp;SUBSTITUTE(ADDRESS(1,MATCH($B19,'Asset Returns'!$1:$1,0),4),1,""))))</f>
        <v/>
      </c>
      <c r="E19" s="70" t="str">
        <f ca="1">IF(OR(E$8="",$B19=""),"",_xlfn.COVARIANCE.S(INDIRECT("'Asset Returns'!"&amp;SUBSTITUTE(ADDRESS(1,MATCH(E$8,'Asset Returns'!$1:$1,0),4),1,"")&amp;":"&amp;SUBSTITUTE(ADDRESS(1,MATCH(E$8,'Asset Returns'!$1:$1,0),4),1,"")),INDIRECT("'Asset Returns'!"&amp;SUBSTITUTE(ADDRESS(1,MATCH($B19,'Asset Returns'!$1:$1,0),4),1,"")&amp;":"&amp;SUBSTITUTE(ADDRESS(1,MATCH($B19,'Asset Returns'!$1:$1,0),4),1,""))))</f>
        <v/>
      </c>
      <c r="F19" s="70" t="str">
        <f ca="1">IF(OR(F$8="",$B19=""),"",_xlfn.COVARIANCE.S(INDIRECT("'Asset Returns'!"&amp;SUBSTITUTE(ADDRESS(1,MATCH(F$8,'Asset Returns'!$1:$1,0),4),1,"")&amp;":"&amp;SUBSTITUTE(ADDRESS(1,MATCH(F$8,'Asset Returns'!$1:$1,0),4),1,"")),INDIRECT("'Asset Returns'!"&amp;SUBSTITUTE(ADDRESS(1,MATCH($B19,'Asset Returns'!$1:$1,0),4),1,"")&amp;":"&amp;SUBSTITUTE(ADDRESS(1,MATCH($B19,'Asset Returns'!$1:$1,0),4),1,""))))</f>
        <v/>
      </c>
      <c r="G19" s="70" t="str">
        <f ca="1">IF(OR(G$8="",$B19=""),"",_xlfn.COVARIANCE.S(INDIRECT("'Asset Returns'!"&amp;SUBSTITUTE(ADDRESS(1,MATCH(G$8,'Asset Returns'!$1:$1,0),4),1,"")&amp;":"&amp;SUBSTITUTE(ADDRESS(1,MATCH(G$8,'Asset Returns'!$1:$1,0),4),1,"")),INDIRECT("'Asset Returns'!"&amp;SUBSTITUTE(ADDRESS(1,MATCH($B19,'Asset Returns'!$1:$1,0),4),1,"")&amp;":"&amp;SUBSTITUTE(ADDRESS(1,MATCH($B19,'Asset Returns'!$1:$1,0),4),1,""))))</f>
        <v/>
      </c>
      <c r="H19" s="70" t="str">
        <f ca="1">IF(OR(H$8="",$B19=""),"",_xlfn.COVARIANCE.S(INDIRECT("'Asset Returns'!"&amp;SUBSTITUTE(ADDRESS(1,MATCH(H$8,'Asset Returns'!$1:$1,0),4),1,"")&amp;":"&amp;SUBSTITUTE(ADDRESS(1,MATCH(H$8,'Asset Returns'!$1:$1,0),4),1,"")),INDIRECT("'Asset Returns'!"&amp;SUBSTITUTE(ADDRESS(1,MATCH($B19,'Asset Returns'!$1:$1,0),4),1,"")&amp;":"&amp;SUBSTITUTE(ADDRESS(1,MATCH($B19,'Asset Returns'!$1:$1,0),4),1,""))))</f>
        <v/>
      </c>
      <c r="I19" s="70" t="str">
        <f ca="1">IF(OR(I$8="",$B19=""),"",_xlfn.COVARIANCE.S(INDIRECT("'Asset Returns'!"&amp;SUBSTITUTE(ADDRESS(1,MATCH(I$8,'Asset Returns'!$1:$1,0),4),1,"")&amp;":"&amp;SUBSTITUTE(ADDRESS(1,MATCH(I$8,'Asset Returns'!$1:$1,0),4),1,"")),INDIRECT("'Asset Returns'!"&amp;SUBSTITUTE(ADDRESS(1,MATCH($B19,'Asset Returns'!$1:$1,0),4),1,"")&amp;":"&amp;SUBSTITUTE(ADDRESS(1,MATCH($B19,'Asset Returns'!$1:$1,0),4),1,""))))</f>
        <v/>
      </c>
      <c r="J19" s="70" t="str">
        <f ca="1">IF(OR(J$8="",$B19=""),"",_xlfn.COVARIANCE.S(INDIRECT("'Asset Returns'!"&amp;SUBSTITUTE(ADDRESS(1,MATCH(J$8,'Asset Returns'!$1:$1,0),4),1,"")&amp;":"&amp;SUBSTITUTE(ADDRESS(1,MATCH(J$8,'Asset Returns'!$1:$1,0),4),1,"")),INDIRECT("'Asset Returns'!"&amp;SUBSTITUTE(ADDRESS(1,MATCH($B19,'Asset Returns'!$1:$1,0),4),1,"")&amp;":"&amp;SUBSTITUTE(ADDRESS(1,MATCH($B19,'Asset Returns'!$1:$1,0),4),1,""))))</f>
        <v/>
      </c>
      <c r="K19" s="70" t="str">
        <f ca="1">IF(OR(K$8="",$B19=""),"",_xlfn.COVARIANCE.S(INDIRECT("'Asset Returns'!"&amp;SUBSTITUTE(ADDRESS(1,MATCH(K$8,'Asset Returns'!$1:$1,0),4),1,"")&amp;":"&amp;SUBSTITUTE(ADDRESS(1,MATCH(K$8,'Asset Returns'!$1:$1,0),4),1,"")),INDIRECT("'Asset Returns'!"&amp;SUBSTITUTE(ADDRESS(1,MATCH($B19,'Asset Returns'!$1:$1,0),4),1,"")&amp;":"&amp;SUBSTITUTE(ADDRESS(1,MATCH($B19,'Asset Returns'!$1:$1,0),4),1,""))))</f>
        <v/>
      </c>
      <c r="L19" s="70" t="str">
        <f ca="1">IF(OR(L$8="",$B19=""),"",_xlfn.COVARIANCE.S(INDIRECT("'Asset Returns'!"&amp;SUBSTITUTE(ADDRESS(1,MATCH(L$8,'Asset Returns'!$1:$1,0),4),1,"")&amp;":"&amp;SUBSTITUTE(ADDRESS(1,MATCH(L$8,'Asset Returns'!$1:$1,0),4),1,"")),INDIRECT("'Asset Returns'!"&amp;SUBSTITUTE(ADDRESS(1,MATCH($B19,'Asset Returns'!$1:$1,0),4),1,"")&amp;":"&amp;SUBSTITUTE(ADDRESS(1,MATCH($B19,'Asset Returns'!$1:$1,0),4),1,""))))</f>
        <v/>
      </c>
      <c r="M19" s="70" t="str">
        <f ca="1">IF(OR(M$8="",$B19=""),"",_xlfn.COVARIANCE.S(INDIRECT("'Asset Returns'!"&amp;SUBSTITUTE(ADDRESS(1,MATCH(M$8,'Asset Returns'!$1:$1,0),4),1,"")&amp;":"&amp;SUBSTITUTE(ADDRESS(1,MATCH(M$8,'Asset Returns'!$1:$1,0),4),1,"")),INDIRECT("'Asset Returns'!"&amp;SUBSTITUTE(ADDRESS(1,MATCH($B19,'Asset Returns'!$1:$1,0),4),1,"")&amp;":"&amp;SUBSTITUTE(ADDRESS(1,MATCH($B19,'Asset Returns'!$1:$1,0),4),1,""))))</f>
        <v/>
      </c>
      <c r="N19" s="70" t="str">
        <f ca="1">IF(OR(N$8="",$B19=""),"",_xlfn.COVARIANCE.S(INDIRECT("'Asset Returns'!"&amp;SUBSTITUTE(ADDRESS(1,MATCH(N$8,'Asset Returns'!$1:$1,0),4),1,"")&amp;":"&amp;SUBSTITUTE(ADDRESS(1,MATCH(N$8,'Asset Returns'!$1:$1,0),4),1,"")),INDIRECT("'Asset Returns'!"&amp;SUBSTITUTE(ADDRESS(1,MATCH($B19,'Asset Returns'!$1:$1,0),4),1,"")&amp;":"&amp;SUBSTITUTE(ADDRESS(1,MATCH($B19,'Asset Returns'!$1:$1,0),4),1,""))))</f>
        <v/>
      </c>
      <c r="O19" s="70" t="str">
        <f ca="1">IF(OR(O$8="",$B19=""),"",_xlfn.COVARIANCE.S(INDIRECT("'Asset Returns'!"&amp;SUBSTITUTE(ADDRESS(1,MATCH(O$8,'Asset Returns'!$1:$1,0),4),1,"")&amp;":"&amp;SUBSTITUTE(ADDRESS(1,MATCH(O$8,'Asset Returns'!$1:$1,0),4),1,"")),INDIRECT("'Asset Returns'!"&amp;SUBSTITUTE(ADDRESS(1,MATCH($B19,'Asset Returns'!$1:$1,0),4),1,"")&amp;":"&amp;SUBSTITUTE(ADDRESS(1,MATCH($B19,'Asset Returns'!$1:$1,0),4),1,""))))</f>
        <v/>
      </c>
      <c r="P19" s="70" t="str">
        <f ca="1">IF(OR(P$8="",$B19=""),"",_xlfn.COVARIANCE.S(INDIRECT("'Asset Returns'!"&amp;SUBSTITUTE(ADDRESS(1,MATCH(P$8,'Asset Returns'!$1:$1,0),4),1,"")&amp;":"&amp;SUBSTITUTE(ADDRESS(1,MATCH(P$8,'Asset Returns'!$1:$1,0),4),1,"")),INDIRECT("'Asset Returns'!"&amp;SUBSTITUTE(ADDRESS(1,MATCH($B19,'Asset Returns'!$1:$1,0),4),1,"")&amp;":"&amp;SUBSTITUTE(ADDRESS(1,MATCH($B19,'Asset Returns'!$1:$1,0),4),1,""))))</f>
        <v/>
      </c>
      <c r="Q19" s="70" t="str">
        <f ca="1">IF(OR(Q$8="",$B19=""),"",_xlfn.COVARIANCE.S(INDIRECT("'Asset Returns'!"&amp;SUBSTITUTE(ADDRESS(1,MATCH(Q$8,'Asset Returns'!$1:$1,0),4),1,"")&amp;":"&amp;SUBSTITUTE(ADDRESS(1,MATCH(Q$8,'Asset Returns'!$1:$1,0),4),1,"")),INDIRECT("'Asset Returns'!"&amp;SUBSTITUTE(ADDRESS(1,MATCH($B19,'Asset Returns'!$1:$1,0),4),1,"")&amp;":"&amp;SUBSTITUTE(ADDRESS(1,MATCH($B19,'Asset Returns'!$1:$1,0),4),1,""))))</f>
        <v/>
      </c>
      <c r="R19" s="70" t="str">
        <f ca="1">IF(OR(R$8="",$B19=""),"",_xlfn.COVARIANCE.S(INDIRECT("'Asset Returns'!"&amp;SUBSTITUTE(ADDRESS(1,MATCH(R$8,'Asset Returns'!$1:$1,0),4),1,"")&amp;":"&amp;SUBSTITUTE(ADDRESS(1,MATCH(R$8,'Asset Returns'!$1:$1,0),4),1,"")),INDIRECT("'Asset Returns'!"&amp;SUBSTITUTE(ADDRESS(1,MATCH($B19,'Asset Returns'!$1:$1,0),4),1,"")&amp;":"&amp;SUBSTITUTE(ADDRESS(1,MATCH($B19,'Asset Returns'!$1:$1,0),4),1,""))))</f>
        <v/>
      </c>
      <c r="S19" s="70" t="str">
        <f ca="1">IF(OR(S$8="",$B19=""),"",_xlfn.COVARIANCE.S(INDIRECT("'Asset Returns'!"&amp;SUBSTITUTE(ADDRESS(1,MATCH(S$8,'Asset Returns'!$1:$1,0),4),1,"")&amp;":"&amp;SUBSTITUTE(ADDRESS(1,MATCH(S$8,'Asset Returns'!$1:$1,0),4),1,"")),INDIRECT("'Asset Returns'!"&amp;SUBSTITUTE(ADDRESS(1,MATCH($B19,'Asset Returns'!$1:$1,0),4),1,"")&amp;":"&amp;SUBSTITUTE(ADDRESS(1,MATCH($B19,'Asset Returns'!$1:$1,0),4),1,""))))</f>
        <v/>
      </c>
      <c r="T19" s="70" t="str">
        <f ca="1">IF(OR(T$8="",$B19=""),"",_xlfn.COVARIANCE.S(INDIRECT("'Asset Returns'!"&amp;SUBSTITUTE(ADDRESS(1,MATCH(T$8,'Asset Returns'!$1:$1,0),4),1,"")&amp;":"&amp;SUBSTITUTE(ADDRESS(1,MATCH(T$8,'Asset Returns'!$1:$1,0),4),1,"")),INDIRECT("'Asset Returns'!"&amp;SUBSTITUTE(ADDRESS(1,MATCH($B19,'Asset Returns'!$1:$1,0),4),1,"")&amp;":"&amp;SUBSTITUTE(ADDRESS(1,MATCH($B19,'Asset Returns'!$1:$1,0),4),1,""))))</f>
        <v/>
      </c>
      <c r="U19" s="70" t="str">
        <f ca="1">IF(OR(U$8="",$B19=""),"",_xlfn.COVARIANCE.S(INDIRECT("'Asset Returns'!"&amp;SUBSTITUTE(ADDRESS(1,MATCH(U$8,'Asset Returns'!$1:$1,0),4),1,"")&amp;":"&amp;SUBSTITUTE(ADDRESS(1,MATCH(U$8,'Asset Returns'!$1:$1,0),4),1,"")),INDIRECT("'Asset Returns'!"&amp;SUBSTITUTE(ADDRESS(1,MATCH($B19,'Asset Returns'!$1:$1,0),4),1,"")&amp;":"&amp;SUBSTITUTE(ADDRESS(1,MATCH($B19,'Asset Returns'!$1:$1,0),4),1,""))))</f>
        <v/>
      </c>
      <c r="V19" s="70" t="str">
        <f ca="1">IF(OR(V$8="",$B19=""),"",_xlfn.COVARIANCE.S(INDIRECT("'Asset Returns'!"&amp;SUBSTITUTE(ADDRESS(1,MATCH(V$8,'Asset Returns'!$1:$1,0),4),1,"")&amp;":"&amp;SUBSTITUTE(ADDRESS(1,MATCH(V$8,'Asset Returns'!$1:$1,0),4),1,"")),INDIRECT("'Asset Returns'!"&amp;SUBSTITUTE(ADDRESS(1,MATCH($B19,'Asset Returns'!$1:$1,0),4),1,"")&amp;":"&amp;SUBSTITUTE(ADDRESS(1,MATCH($B19,'Asset Returns'!$1:$1,0),4),1,""))))</f>
        <v/>
      </c>
      <c r="W19" s="70" t="str">
        <f ca="1">IF(OR(W$8="",$B19=""),"",_xlfn.COVARIANCE.S(INDIRECT("'Asset Returns'!"&amp;SUBSTITUTE(ADDRESS(1,MATCH(W$8,'Asset Returns'!$1:$1,0),4),1,"")&amp;":"&amp;SUBSTITUTE(ADDRESS(1,MATCH(W$8,'Asset Returns'!$1:$1,0),4),1,"")),INDIRECT("'Asset Returns'!"&amp;SUBSTITUTE(ADDRESS(1,MATCH($B19,'Asset Returns'!$1:$1,0),4),1,"")&amp;":"&amp;SUBSTITUTE(ADDRESS(1,MATCH($B19,'Asset Returns'!$1:$1,0),4),1,""))))</f>
        <v/>
      </c>
      <c r="X19" s="70" t="str">
        <f ca="1">IF(OR(X$8="",$B19=""),"",_xlfn.COVARIANCE.S(INDIRECT("'Asset Returns'!"&amp;SUBSTITUTE(ADDRESS(1,MATCH(X$8,'Asset Returns'!$1:$1,0),4),1,"")&amp;":"&amp;SUBSTITUTE(ADDRESS(1,MATCH(X$8,'Asset Returns'!$1:$1,0),4),1,"")),INDIRECT("'Asset Returns'!"&amp;SUBSTITUTE(ADDRESS(1,MATCH($B19,'Asset Returns'!$1:$1,0),4),1,"")&amp;":"&amp;SUBSTITUTE(ADDRESS(1,MATCH($B19,'Asset Returns'!$1:$1,0),4),1,""))))</f>
        <v/>
      </c>
      <c r="Y19" s="70" t="str">
        <f ca="1">IF(OR(Y$8="",$B19=""),"",_xlfn.COVARIANCE.S(INDIRECT("'Asset Returns'!"&amp;SUBSTITUTE(ADDRESS(1,MATCH(Y$8,'Asset Returns'!$1:$1,0),4),1,"")&amp;":"&amp;SUBSTITUTE(ADDRESS(1,MATCH(Y$8,'Asset Returns'!$1:$1,0),4),1,"")),INDIRECT("'Asset Returns'!"&amp;SUBSTITUTE(ADDRESS(1,MATCH($B19,'Asset Returns'!$1:$1,0),4),1,"")&amp;":"&amp;SUBSTITUTE(ADDRESS(1,MATCH($B19,'Asset Returns'!$1:$1,0),4),1,""))))</f>
        <v/>
      </c>
      <c r="Z19" s="70" t="str">
        <f ca="1">IF(OR(Z$8="",$B19=""),"",_xlfn.COVARIANCE.S(INDIRECT("'Asset Returns'!"&amp;SUBSTITUTE(ADDRESS(1,MATCH(Z$8,'Asset Returns'!$1:$1,0),4),1,"")&amp;":"&amp;SUBSTITUTE(ADDRESS(1,MATCH(Z$8,'Asset Returns'!$1:$1,0),4),1,"")),INDIRECT("'Asset Returns'!"&amp;SUBSTITUTE(ADDRESS(1,MATCH($B19,'Asset Returns'!$1:$1,0),4),1,"")&amp;":"&amp;SUBSTITUTE(ADDRESS(1,MATCH($B19,'Asset Returns'!$1:$1,0),4),1,""))))</f>
        <v/>
      </c>
      <c r="AA19" s="70" t="str">
        <f ca="1">IF(OR(AA$8="",$B19=""),"",_xlfn.COVARIANCE.S(INDIRECT("'Asset Returns'!"&amp;SUBSTITUTE(ADDRESS(1,MATCH(AA$8,'Asset Returns'!$1:$1,0),4),1,"")&amp;":"&amp;SUBSTITUTE(ADDRESS(1,MATCH(AA$8,'Asset Returns'!$1:$1,0),4),1,"")),INDIRECT("'Asset Returns'!"&amp;SUBSTITUTE(ADDRESS(1,MATCH($B19,'Asset Returns'!$1:$1,0),4),1,"")&amp;":"&amp;SUBSTITUTE(ADDRESS(1,MATCH($B19,'Asset Returns'!$1:$1,0),4),1,""))))</f>
        <v/>
      </c>
      <c r="AB19" s="96"/>
      <c r="AC19" s="48" t="str">
        <f t="shared" si="0"/>
        <v/>
      </c>
    </row>
    <row r="20" spans="1:39" x14ac:dyDescent="0.25">
      <c r="A20" s="47"/>
      <c r="B20" s="92"/>
      <c r="C20" s="69" t="str">
        <f ca="1">IF(OR(C$8="",$B20=""),"",_xlfn.COVARIANCE.S(INDIRECT("'Asset Returns'!"&amp;SUBSTITUTE(ADDRESS(1,MATCH(C$8,'Asset Returns'!$1:$1,0),4),1,"")&amp;":"&amp;SUBSTITUTE(ADDRESS(1,MATCH(C$8,'Asset Returns'!$1:$1,0),4),1,"")),INDIRECT("'Asset Returns'!"&amp;SUBSTITUTE(ADDRESS(1,MATCH($B20,'Asset Returns'!$1:$1,0),4),1,"")&amp;":"&amp;SUBSTITUTE(ADDRESS(1,MATCH($B20,'Asset Returns'!$1:$1,0),4),1,""))))</f>
        <v/>
      </c>
      <c r="D20" s="70" t="str">
        <f ca="1">IF(OR(D$8="",$B20=""),"",_xlfn.COVARIANCE.S(INDIRECT("'Asset Returns'!"&amp;SUBSTITUTE(ADDRESS(1,MATCH(D$8,'Asset Returns'!$1:$1,0),4),1,"")&amp;":"&amp;SUBSTITUTE(ADDRESS(1,MATCH(D$8,'Asset Returns'!$1:$1,0),4),1,"")),INDIRECT("'Asset Returns'!"&amp;SUBSTITUTE(ADDRESS(1,MATCH($B20,'Asset Returns'!$1:$1,0),4),1,"")&amp;":"&amp;SUBSTITUTE(ADDRESS(1,MATCH($B20,'Asset Returns'!$1:$1,0),4),1,""))))</f>
        <v/>
      </c>
      <c r="E20" s="70" t="str">
        <f ca="1">IF(OR(E$8="",$B20=""),"",_xlfn.COVARIANCE.S(INDIRECT("'Asset Returns'!"&amp;SUBSTITUTE(ADDRESS(1,MATCH(E$8,'Asset Returns'!$1:$1,0),4),1,"")&amp;":"&amp;SUBSTITUTE(ADDRESS(1,MATCH(E$8,'Asset Returns'!$1:$1,0),4),1,"")),INDIRECT("'Asset Returns'!"&amp;SUBSTITUTE(ADDRESS(1,MATCH($B20,'Asset Returns'!$1:$1,0),4),1,"")&amp;":"&amp;SUBSTITUTE(ADDRESS(1,MATCH($B20,'Asset Returns'!$1:$1,0),4),1,""))))</f>
        <v/>
      </c>
      <c r="F20" s="70" t="str">
        <f ca="1">IF(OR(F$8="",$B20=""),"",_xlfn.COVARIANCE.S(INDIRECT("'Asset Returns'!"&amp;SUBSTITUTE(ADDRESS(1,MATCH(F$8,'Asset Returns'!$1:$1,0),4),1,"")&amp;":"&amp;SUBSTITUTE(ADDRESS(1,MATCH(F$8,'Asset Returns'!$1:$1,0),4),1,"")),INDIRECT("'Asset Returns'!"&amp;SUBSTITUTE(ADDRESS(1,MATCH($B20,'Asset Returns'!$1:$1,0),4),1,"")&amp;":"&amp;SUBSTITUTE(ADDRESS(1,MATCH($B20,'Asset Returns'!$1:$1,0),4),1,""))))</f>
        <v/>
      </c>
      <c r="G20" s="70" t="str">
        <f ca="1">IF(OR(G$8="",$B20=""),"",_xlfn.COVARIANCE.S(INDIRECT("'Asset Returns'!"&amp;SUBSTITUTE(ADDRESS(1,MATCH(G$8,'Asset Returns'!$1:$1,0),4),1,"")&amp;":"&amp;SUBSTITUTE(ADDRESS(1,MATCH(G$8,'Asset Returns'!$1:$1,0),4),1,"")),INDIRECT("'Asset Returns'!"&amp;SUBSTITUTE(ADDRESS(1,MATCH($B20,'Asset Returns'!$1:$1,0),4),1,"")&amp;":"&amp;SUBSTITUTE(ADDRESS(1,MATCH($B20,'Asset Returns'!$1:$1,0),4),1,""))))</f>
        <v/>
      </c>
      <c r="H20" s="70" t="str">
        <f ca="1">IF(OR(H$8="",$B20=""),"",_xlfn.COVARIANCE.S(INDIRECT("'Asset Returns'!"&amp;SUBSTITUTE(ADDRESS(1,MATCH(H$8,'Asset Returns'!$1:$1,0),4),1,"")&amp;":"&amp;SUBSTITUTE(ADDRESS(1,MATCH(H$8,'Asset Returns'!$1:$1,0),4),1,"")),INDIRECT("'Asset Returns'!"&amp;SUBSTITUTE(ADDRESS(1,MATCH($B20,'Asset Returns'!$1:$1,0),4),1,"")&amp;":"&amp;SUBSTITUTE(ADDRESS(1,MATCH($B20,'Asset Returns'!$1:$1,0),4),1,""))))</f>
        <v/>
      </c>
      <c r="I20" s="70" t="str">
        <f ca="1">IF(OR(I$8="",$B20=""),"",_xlfn.COVARIANCE.S(INDIRECT("'Asset Returns'!"&amp;SUBSTITUTE(ADDRESS(1,MATCH(I$8,'Asset Returns'!$1:$1,0),4),1,"")&amp;":"&amp;SUBSTITUTE(ADDRESS(1,MATCH(I$8,'Asset Returns'!$1:$1,0),4),1,"")),INDIRECT("'Asset Returns'!"&amp;SUBSTITUTE(ADDRESS(1,MATCH($B20,'Asset Returns'!$1:$1,0),4),1,"")&amp;":"&amp;SUBSTITUTE(ADDRESS(1,MATCH($B20,'Asset Returns'!$1:$1,0),4),1,""))))</f>
        <v/>
      </c>
      <c r="J20" s="70" t="str">
        <f ca="1">IF(OR(J$8="",$B20=""),"",_xlfn.COVARIANCE.S(INDIRECT("'Asset Returns'!"&amp;SUBSTITUTE(ADDRESS(1,MATCH(J$8,'Asset Returns'!$1:$1,0),4),1,"")&amp;":"&amp;SUBSTITUTE(ADDRESS(1,MATCH(J$8,'Asset Returns'!$1:$1,0),4),1,"")),INDIRECT("'Asset Returns'!"&amp;SUBSTITUTE(ADDRESS(1,MATCH($B20,'Asset Returns'!$1:$1,0),4),1,"")&amp;":"&amp;SUBSTITUTE(ADDRESS(1,MATCH($B20,'Asset Returns'!$1:$1,0),4),1,""))))</f>
        <v/>
      </c>
      <c r="K20" s="70" t="str">
        <f ca="1">IF(OR(K$8="",$B20=""),"",_xlfn.COVARIANCE.S(INDIRECT("'Asset Returns'!"&amp;SUBSTITUTE(ADDRESS(1,MATCH(K$8,'Asset Returns'!$1:$1,0),4),1,"")&amp;":"&amp;SUBSTITUTE(ADDRESS(1,MATCH(K$8,'Asset Returns'!$1:$1,0),4),1,"")),INDIRECT("'Asset Returns'!"&amp;SUBSTITUTE(ADDRESS(1,MATCH($B20,'Asset Returns'!$1:$1,0),4),1,"")&amp;":"&amp;SUBSTITUTE(ADDRESS(1,MATCH($B20,'Asset Returns'!$1:$1,0),4),1,""))))</f>
        <v/>
      </c>
      <c r="L20" s="70" t="str">
        <f ca="1">IF(OR(L$8="",$B20=""),"",_xlfn.COVARIANCE.S(INDIRECT("'Asset Returns'!"&amp;SUBSTITUTE(ADDRESS(1,MATCH(L$8,'Asset Returns'!$1:$1,0),4),1,"")&amp;":"&amp;SUBSTITUTE(ADDRESS(1,MATCH(L$8,'Asset Returns'!$1:$1,0),4),1,"")),INDIRECT("'Asset Returns'!"&amp;SUBSTITUTE(ADDRESS(1,MATCH($B20,'Asset Returns'!$1:$1,0),4),1,"")&amp;":"&amp;SUBSTITUTE(ADDRESS(1,MATCH($B20,'Asset Returns'!$1:$1,0),4),1,""))))</f>
        <v/>
      </c>
      <c r="M20" s="70" t="str">
        <f ca="1">IF(OR(M$8="",$B20=""),"",_xlfn.COVARIANCE.S(INDIRECT("'Asset Returns'!"&amp;SUBSTITUTE(ADDRESS(1,MATCH(M$8,'Asset Returns'!$1:$1,0),4),1,"")&amp;":"&amp;SUBSTITUTE(ADDRESS(1,MATCH(M$8,'Asset Returns'!$1:$1,0),4),1,"")),INDIRECT("'Asset Returns'!"&amp;SUBSTITUTE(ADDRESS(1,MATCH($B20,'Asset Returns'!$1:$1,0),4),1,"")&amp;":"&amp;SUBSTITUTE(ADDRESS(1,MATCH($B20,'Asset Returns'!$1:$1,0),4),1,""))))</f>
        <v/>
      </c>
      <c r="N20" s="70" t="str">
        <f ca="1">IF(OR(N$8="",$B20=""),"",_xlfn.COVARIANCE.S(INDIRECT("'Asset Returns'!"&amp;SUBSTITUTE(ADDRESS(1,MATCH(N$8,'Asset Returns'!$1:$1,0),4),1,"")&amp;":"&amp;SUBSTITUTE(ADDRESS(1,MATCH(N$8,'Asset Returns'!$1:$1,0),4),1,"")),INDIRECT("'Asset Returns'!"&amp;SUBSTITUTE(ADDRESS(1,MATCH($B20,'Asset Returns'!$1:$1,0),4),1,"")&amp;":"&amp;SUBSTITUTE(ADDRESS(1,MATCH($B20,'Asset Returns'!$1:$1,0),4),1,""))))</f>
        <v/>
      </c>
      <c r="O20" s="70" t="str">
        <f ca="1">IF(OR(O$8="",$B20=""),"",_xlfn.COVARIANCE.S(INDIRECT("'Asset Returns'!"&amp;SUBSTITUTE(ADDRESS(1,MATCH(O$8,'Asset Returns'!$1:$1,0),4),1,"")&amp;":"&amp;SUBSTITUTE(ADDRESS(1,MATCH(O$8,'Asset Returns'!$1:$1,0),4),1,"")),INDIRECT("'Asset Returns'!"&amp;SUBSTITUTE(ADDRESS(1,MATCH($B20,'Asset Returns'!$1:$1,0),4),1,"")&amp;":"&amp;SUBSTITUTE(ADDRESS(1,MATCH($B20,'Asset Returns'!$1:$1,0),4),1,""))))</f>
        <v/>
      </c>
      <c r="P20" s="70" t="str">
        <f ca="1">IF(OR(P$8="",$B20=""),"",_xlfn.COVARIANCE.S(INDIRECT("'Asset Returns'!"&amp;SUBSTITUTE(ADDRESS(1,MATCH(P$8,'Asset Returns'!$1:$1,0),4),1,"")&amp;":"&amp;SUBSTITUTE(ADDRESS(1,MATCH(P$8,'Asset Returns'!$1:$1,0),4),1,"")),INDIRECT("'Asset Returns'!"&amp;SUBSTITUTE(ADDRESS(1,MATCH($B20,'Asset Returns'!$1:$1,0),4),1,"")&amp;":"&amp;SUBSTITUTE(ADDRESS(1,MATCH($B20,'Asset Returns'!$1:$1,0),4),1,""))))</f>
        <v/>
      </c>
      <c r="Q20" s="70" t="str">
        <f ca="1">IF(OR(Q$8="",$B20=""),"",_xlfn.COVARIANCE.S(INDIRECT("'Asset Returns'!"&amp;SUBSTITUTE(ADDRESS(1,MATCH(Q$8,'Asset Returns'!$1:$1,0),4),1,"")&amp;":"&amp;SUBSTITUTE(ADDRESS(1,MATCH(Q$8,'Asset Returns'!$1:$1,0),4),1,"")),INDIRECT("'Asset Returns'!"&amp;SUBSTITUTE(ADDRESS(1,MATCH($B20,'Asset Returns'!$1:$1,0),4),1,"")&amp;":"&amp;SUBSTITUTE(ADDRESS(1,MATCH($B20,'Asset Returns'!$1:$1,0),4),1,""))))</f>
        <v/>
      </c>
      <c r="R20" s="70" t="str">
        <f ca="1">IF(OR(R$8="",$B20=""),"",_xlfn.COVARIANCE.S(INDIRECT("'Asset Returns'!"&amp;SUBSTITUTE(ADDRESS(1,MATCH(R$8,'Asset Returns'!$1:$1,0),4),1,"")&amp;":"&amp;SUBSTITUTE(ADDRESS(1,MATCH(R$8,'Asset Returns'!$1:$1,0),4),1,"")),INDIRECT("'Asset Returns'!"&amp;SUBSTITUTE(ADDRESS(1,MATCH($B20,'Asset Returns'!$1:$1,0),4),1,"")&amp;":"&amp;SUBSTITUTE(ADDRESS(1,MATCH($B20,'Asset Returns'!$1:$1,0),4),1,""))))</f>
        <v/>
      </c>
      <c r="S20" s="70" t="str">
        <f ca="1">IF(OR(S$8="",$B20=""),"",_xlfn.COVARIANCE.S(INDIRECT("'Asset Returns'!"&amp;SUBSTITUTE(ADDRESS(1,MATCH(S$8,'Asset Returns'!$1:$1,0),4),1,"")&amp;":"&amp;SUBSTITUTE(ADDRESS(1,MATCH(S$8,'Asset Returns'!$1:$1,0),4),1,"")),INDIRECT("'Asset Returns'!"&amp;SUBSTITUTE(ADDRESS(1,MATCH($B20,'Asset Returns'!$1:$1,0),4),1,"")&amp;":"&amp;SUBSTITUTE(ADDRESS(1,MATCH($B20,'Asset Returns'!$1:$1,0),4),1,""))))</f>
        <v/>
      </c>
      <c r="T20" s="70" t="str">
        <f ca="1">IF(OR(T$8="",$B20=""),"",_xlfn.COVARIANCE.S(INDIRECT("'Asset Returns'!"&amp;SUBSTITUTE(ADDRESS(1,MATCH(T$8,'Asset Returns'!$1:$1,0),4),1,"")&amp;":"&amp;SUBSTITUTE(ADDRESS(1,MATCH(T$8,'Asset Returns'!$1:$1,0),4),1,"")),INDIRECT("'Asset Returns'!"&amp;SUBSTITUTE(ADDRESS(1,MATCH($B20,'Asset Returns'!$1:$1,0),4),1,"")&amp;":"&amp;SUBSTITUTE(ADDRESS(1,MATCH($B20,'Asset Returns'!$1:$1,0),4),1,""))))</f>
        <v/>
      </c>
      <c r="U20" s="70" t="str">
        <f ca="1">IF(OR(U$8="",$B20=""),"",_xlfn.COVARIANCE.S(INDIRECT("'Asset Returns'!"&amp;SUBSTITUTE(ADDRESS(1,MATCH(U$8,'Asset Returns'!$1:$1,0),4),1,"")&amp;":"&amp;SUBSTITUTE(ADDRESS(1,MATCH(U$8,'Asset Returns'!$1:$1,0),4),1,"")),INDIRECT("'Asset Returns'!"&amp;SUBSTITUTE(ADDRESS(1,MATCH($B20,'Asset Returns'!$1:$1,0),4),1,"")&amp;":"&amp;SUBSTITUTE(ADDRESS(1,MATCH($B20,'Asset Returns'!$1:$1,0),4),1,""))))</f>
        <v/>
      </c>
      <c r="V20" s="70" t="str">
        <f ca="1">IF(OR(V$8="",$B20=""),"",_xlfn.COVARIANCE.S(INDIRECT("'Asset Returns'!"&amp;SUBSTITUTE(ADDRESS(1,MATCH(V$8,'Asset Returns'!$1:$1,0),4),1,"")&amp;":"&amp;SUBSTITUTE(ADDRESS(1,MATCH(V$8,'Asset Returns'!$1:$1,0),4),1,"")),INDIRECT("'Asset Returns'!"&amp;SUBSTITUTE(ADDRESS(1,MATCH($B20,'Asset Returns'!$1:$1,0),4),1,"")&amp;":"&amp;SUBSTITUTE(ADDRESS(1,MATCH($B20,'Asset Returns'!$1:$1,0),4),1,""))))</f>
        <v/>
      </c>
      <c r="W20" s="70" t="str">
        <f ca="1">IF(OR(W$8="",$B20=""),"",_xlfn.COVARIANCE.S(INDIRECT("'Asset Returns'!"&amp;SUBSTITUTE(ADDRESS(1,MATCH(W$8,'Asset Returns'!$1:$1,0),4),1,"")&amp;":"&amp;SUBSTITUTE(ADDRESS(1,MATCH(W$8,'Asset Returns'!$1:$1,0),4),1,"")),INDIRECT("'Asset Returns'!"&amp;SUBSTITUTE(ADDRESS(1,MATCH($B20,'Asset Returns'!$1:$1,0),4),1,"")&amp;":"&amp;SUBSTITUTE(ADDRESS(1,MATCH($B20,'Asset Returns'!$1:$1,0),4),1,""))))</f>
        <v/>
      </c>
      <c r="X20" s="70" t="str">
        <f ca="1">IF(OR(X$8="",$B20=""),"",_xlfn.COVARIANCE.S(INDIRECT("'Asset Returns'!"&amp;SUBSTITUTE(ADDRESS(1,MATCH(X$8,'Asset Returns'!$1:$1,0),4),1,"")&amp;":"&amp;SUBSTITUTE(ADDRESS(1,MATCH(X$8,'Asset Returns'!$1:$1,0),4),1,"")),INDIRECT("'Asset Returns'!"&amp;SUBSTITUTE(ADDRESS(1,MATCH($B20,'Asset Returns'!$1:$1,0),4),1,"")&amp;":"&amp;SUBSTITUTE(ADDRESS(1,MATCH($B20,'Asset Returns'!$1:$1,0),4),1,""))))</f>
        <v/>
      </c>
      <c r="Y20" s="70" t="str">
        <f ca="1">IF(OR(Y$8="",$B20=""),"",_xlfn.COVARIANCE.S(INDIRECT("'Asset Returns'!"&amp;SUBSTITUTE(ADDRESS(1,MATCH(Y$8,'Asset Returns'!$1:$1,0),4),1,"")&amp;":"&amp;SUBSTITUTE(ADDRESS(1,MATCH(Y$8,'Asset Returns'!$1:$1,0),4),1,"")),INDIRECT("'Asset Returns'!"&amp;SUBSTITUTE(ADDRESS(1,MATCH($B20,'Asset Returns'!$1:$1,0),4),1,"")&amp;":"&amp;SUBSTITUTE(ADDRESS(1,MATCH($B20,'Asset Returns'!$1:$1,0),4),1,""))))</f>
        <v/>
      </c>
      <c r="Z20" s="70" t="str">
        <f ca="1">IF(OR(Z$8="",$B20=""),"",_xlfn.COVARIANCE.S(INDIRECT("'Asset Returns'!"&amp;SUBSTITUTE(ADDRESS(1,MATCH(Z$8,'Asset Returns'!$1:$1,0),4),1,"")&amp;":"&amp;SUBSTITUTE(ADDRESS(1,MATCH(Z$8,'Asset Returns'!$1:$1,0),4),1,"")),INDIRECT("'Asset Returns'!"&amp;SUBSTITUTE(ADDRESS(1,MATCH($B20,'Asset Returns'!$1:$1,0),4),1,"")&amp;":"&amp;SUBSTITUTE(ADDRESS(1,MATCH($B20,'Asset Returns'!$1:$1,0),4),1,""))))</f>
        <v/>
      </c>
      <c r="AA20" s="70" t="str">
        <f ca="1">IF(OR(AA$8="",$B20=""),"",_xlfn.COVARIANCE.S(INDIRECT("'Asset Returns'!"&amp;SUBSTITUTE(ADDRESS(1,MATCH(AA$8,'Asset Returns'!$1:$1,0),4),1,"")&amp;":"&amp;SUBSTITUTE(ADDRESS(1,MATCH(AA$8,'Asset Returns'!$1:$1,0),4),1,"")),INDIRECT("'Asset Returns'!"&amp;SUBSTITUTE(ADDRESS(1,MATCH($B20,'Asset Returns'!$1:$1,0),4),1,"")&amp;":"&amp;SUBSTITUTE(ADDRESS(1,MATCH($B20,'Asset Returns'!$1:$1,0),4),1,""))))</f>
        <v/>
      </c>
      <c r="AB20" s="96"/>
      <c r="AC20" s="48" t="str">
        <f t="shared" si="0"/>
        <v/>
      </c>
      <c r="AE20" s="3"/>
    </row>
    <row r="21" spans="1:39" x14ac:dyDescent="0.25">
      <c r="A21" s="47"/>
      <c r="B21" s="92"/>
      <c r="C21" s="69" t="str">
        <f ca="1">IF(OR(C$8="",$B21=""),"",_xlfn.COVARIANCE.S(INDIRECT("'Asset Returns'!"&amp;SUBSTITUTE(ADDRESS(1,MATCH(C$8,'Asset Returns'!$1:$1,0),4),1,"")&amp;":"&amp;SUBSTITUTE(ADDRESS(1,MATCH(C$8,'Asset Returns'!$1:$1,0),4),1,"")),INDIRECT("'Asset Returns'!"&amp;SUBSTITUTE(ADDRESS(1,MATCH($B21,'Asset Returns'!$1:$1,0),4),1,"")&amp;":"&amp;SUBSTITUTE(ADDRESS(1,MATCH($B21,'Asset Returns'!$1:$1,0),4),1,""))))</f>
        <v/>
      </c>
      <c r="D21" s="70" t="str">
        <f ca="1">IF(OR(D$8="",$B21=""),"",_xlfn.COVARIANCE.S(INDIRECT("'Asset Returns'!"&amp;SUBSTITUTE(ADDRESS(1,MATCH(D$8,'Asset Returns'!$1:$1,0),4),1,"")&amp;":"&amp;SUBSTITUTE(ADDRESS(1,MATCH(D$8,'Asset Returns'!$1:$1,0),4),1,"")),INDIRECT("'Asset Returns'!"&amp;SUBSTITUTE(ADDRESS(1,MATCH($B21,'Asset Returns'!$1:$1,0),4),1,"")&amp;":"&amp;SUBSTITUTE(ADDRESS(1,MATCH($B21,'Asset Returns'!$1:$1,0),4),1,""))))</f>
        <v/>
      </c>
      <c r="E21" s="70" t="str">
        <f ca="1">IF(OR(E$8="",$B21=""),"",_xlfn.COVARIANCE.S(INDIRECT("'Asset Returns'!"&amp;SUBSTITUTE(ADDRESS(1,MATCH(E$8,'Asset Returns'!$1:$1,0),4),1,"")&amp;":"&amp;SUBSTITUTE(ADDRESS(1,MATCH(E$8,'Asset Returns'!$1:$1,0),4),1,"")),INDIRECT("'Asset Returns'!"&amp;SUBSTITUTE(ADDRESS(1,MATCH($B21,'Asset Returns'!$1:$1,0),4),1,"")&amp;":"&amp;SUBSTITUTE(ADDRESS(1,MATCH($B21,'Asset Returns'!$1:$1,0),4),1,""))))</f>
        <v/>
      </c>
      <c r="F21" s="70" t="str">
        <f ca="1">IF(OR(F$8="",$B21=""),"",_xlfn.COVARIANCE.S(INDIRECT("'Asset Returns'!"&amp;SUBSTITUTE(ADDRESS(1,MATCH(F$8,'Asset Returns'!$1:$1,0),4),1,"")&amp;":"&amp;SUBSTITUTE(ADDRESS(1,MATCH(F$8,'Asset Returns'!$1:$1,0),4),1,"")),INDIRECT("'Asset Returns'!"&amp;SUBSTITUTE(ADDRESS(1,MATCH($B21,'Asset Returns'!$1:$1,0),4),1,"")&amp;":"&amp;SUBSTITUTE(ADDRESS(1,MATCH($B21,'Asset Returns'!$1:$1,0),4),1,""))))</f>
        <v/>
      </c>
      <c r="G21" s="70" t="str">
        <f ca="1">IF(OR(G$8="",$B21=""),"",_xlfn.COVARIANCE.S(INDIRECT("'Asset Returns'!"&amp;SUBSTITUTE(ADDRESS(1,MATCH(G$8,'Asset Returns'!$1:$1,0),4),1,"")&amp;":"&amp;SUBSTITUTE(ADDRESS(1,MATCH(G$8,'Asset Returns'!$1:$1,0),4),1,"")),INDIRECT("'Asset Returns'!"&amp;SUBSTITUTE(ADDRESS(1,MATCH($B21,'Asset Returns'!$1:$1,0),4),1,"")&amp;":"&amp;SUBSTITUTE(ADDRESS(1,MATCH($B21,'Asset Returns'!$1:$1,0),4),1,""))))</f>
        <v/>
      </c>
      <c r="H21" s="70" t="str">
        <f ca="1">IF(OR(H$8="",$B21=""),"",_xlfn.COVARIANCE.S(INDIRECT("'Asset Returns'!"&amp;SUBSTITUTE(ADDRESS(1,MATCH(H$8,'Asset Returns'!$1:$1,0),4),1,"")&amp;":"&amp;SUBSTITUTE(ADDRESS(1,MATCH(H$8,'Asset Returns'!$1:$1,0),4),1,"")),INDIRECT("'Asset Returns'!"&amp;SUBSTITUTE(ADDRESS(1,MATCH($B21,'Asset Returns'!$1:$1,0),4),1,"")&amp;":"&amp;SUBSTITUTE(ADDRESS(1,MATCH($B21,'Asset Returns'!$1:$1,0),4),1,""))))</f>
        <v/>
      </c>
      <c r="I21" s="70" t="str">
        <f ca="1">IF(OR(I$8="",$B21=""),"",_xlfn.COVARIANCE.S(INDIRECT("'Asset Returns'!"&amp;SUBSTITUTE(ADDRESS(1,MATCH(I$8,'Asset Returns'!$1:$1,0),4),1,"")&amp;":"&amp;SUBSTITUTE(ADDRESS(1,MATCH(I$8,'Asset Returns'!$1:$1,0),4),1,"")),INDIRECT("'Asset Returns'!"&amp;SUBSTITUTE(ADDRESS(1,MATCH($B21,'Asset Returns'!$1:$1,0),4),1,"")&amp;":"&amp;SUBSTITUTE(ADDRESS(1,MATCH($B21,'Asset Returns'!$1:$1,0),4),1,""))))</f>
        <v/>
      </c>
      <c r="J21" s="70" t="str">
        <f ca="1">IF(OR(J$8="",$B21=""),"",_xlfn.COVARIANCE.S(INDIRECT("'Asset Returns'!"&amp;SUBSTITUTE(ADDRESS(1,MATCH(J$8,'Asset Returns'!$1:$1,0),4),1,"")&amp;":"&amp;SUBSTITUTE(ADDRESS(1,MATCH(J$8,'Asset Returns'!$1:$1,0),4),1,"")),INDIRECT("'Asset Returns'!"&amp;SUBSTITUTE(ADDRESS(1,MATCH($B21,'Asset Returns'!$1:$1,0),4),1,"")&amp;":"&amp;SUBSTITUTE(ADDRESS(1,MATCH($B21,'Asset Returns'!$1:$1,0),4),1,""))))</f>
        <v/>
      </c>
      <c r="K21" s="70" t="str">
        <f ca="1">IF(OR(K$8="",$B21=""),"",_xlfn.COVARIANCE.S(INDIRECT("'Asset Returns'!"&amp;SUBSTITUTE(ADDRESS(1,MATCH(K$8,'Asset Returns'!$1:$1,0),4),1,"")&amp;":"&amp;SUBSTITUTE(ADDRESS(1,MATCH(K$8,'Asset Returns'!$1:$1,0),4),1,"")),INDIRECT("'Asset Returns'!"&amp;SUBSTITUTE(ADDRESS(1,MATCH($B21,'Asset Returns'!$1:$1,0),4),1,"")&amp;":"&amp;SUBSTITUTE(ADDRESS(1,MATCH($B21,'Asset Returns'!$1:$1,0),4),1,""))))</f>
        <v/>
      </c>
      <c r="L21" s="70" t="str">
        <f ca="1">IF(OR(L$8="",$B21=""),"",_xlfn.COVARIANCE.S(INDIRECT("'Asset Returns'!"&amp;SUBSTITUTE(ADDRESS(1,MATCH(L$8,'Asset Returns'!$1:$1,0),4),1,"")&amp;":"&amp;SUBSTITUTE(ADDRESS(1,MATCH(L$8,'Asset Returns'!$1:$1,0),4),1,"")),INDIRECT("'Asset Returns'!"&amp;SUBSTITUTE(ADDRESS(1,MATCH($B21,'Asset Returns'!$1:$1,0),4),1,"")&amp;":"&amp;SUBSTITUTE(ADDRESS(1,MATCH($B21,'Asset Returns'!$1:$1,0),4),1,""))))</f>
        <v/>
      </c>
      <c r="M21" s="70" t="str">
        <f ca="1">IF(OR(M$8="",$B21=""),"",_xlfn.COVARIANCE.S(INDIRECT("'Asset Returns'!"&amp;SUBSTITUTE(ADDRESS(1,MATCH(M$8,'Asset Returns'!$1:$1,0),4),1,"")&amp;":"&amp;SUBSTITUTE(ADDRESS(1,MATCH(M$8,'Asset Returns'!$1:$1,0),4),1,"")),INDIRECT("'Asset Returns'!"&amp;SUBSTITUTE(ADDRESS(1,MATCH($B21,'Asset Returns'!$1:$1,0),4),1,"")&amp;":"&amp;SUBSTITUTE(ADDRESS(1,MATCH($B21,'Asset Returns'!$1:$1,0),4),1,""))))</f>
        <v/>
      </c>
      <c r="N21" s="70" t="str">
        <f ca="1">IF(OR(N$8="",$B21=""),"",_xlfn.COVARIANCE.S(INDIRECT("'Asset Returns'!"&amp;SUBSTITUTE(ADDRESS(1,MATCH(N$8,'Asset Returns'!$1:$1,0),4),1,"")&amp;":"&amp;SUBSTITUTE(ADDRESS(1,MATCH(N$8,'Asset Returns'!$1:$1,0),4),1,"")),INDIRECT("'Asset Returns'!"&amp;SUBSTITUTE(ADDRESS(1,MATCH($B21,'Asset Returns'!$1:$1,0),4),1,"")&amp;":"&amp;SUBSTITUTE(ADDRESS(1,MATCH($B21,'Asset Returns'!$1:$1,0),4),1,""))))</f>
        <v/>
      </c>
      <c r="O21" s="70" t="str">
        <f ca="1">IF(OR(O$8="",$B21=""),"",_xlfn.COVARIANCE.S(INDIRECT("'Asset Returns'!"&amp;SUBSTITUTE(ADDRESS(1,MATCH(O$8,'Asset Returns'!$1:$1,0),4),1,"")&amp;":"&amp;SUBSTITUTE(ADDRESS(1,MATCH(O$8,'Asset Returns'!$1:$1,0),4),1,"")),INDIRECT("'Asset Returns'!"&amp;SUBSTITUTE(ADDRESS(1,MATCH($B21,'Asset Returns'!$1:$1,0),4),1,"")&amp;":"&amp;SUBSTITUTE(ADDRESS(1,MATCH($B21,'Asset Returns'!$1:$1,0),4),1,""))))</f>
        <v/>
      </c>
      <c r="P21" s="70" t="str">
        <f ca="1">IF(OR(P$8="",$B21=""),"",_xlfn.COVARIANCE.S(INDIRECT("'Asset Returns'!"&amp;SUBSTITUTE(ADDRESS(1,MATCH(P$8,'Asset Returns'!$1:$1,0),4),1,"")&amp;":"&amp;SUBSTITUTE(ADDRESS(1,MATCH(P$8,'Asset Returns'!$1:$1,0),4),1,"")),INDIRECT("'Asset Returns'!"&amp;SUBSTITUTE(ADDRESS(1,MATCH($B21,'Asset Returns'!$1:$1,0),4),1,"")&amp;":"&amp;SUBSTITUTE(ADDRESS(1,MATCH($B21,'Asset Returns'!$1:$1,0),4),1,""))))</f>
        <v/>
      </c>
      <c r="Q21" s="70" t="str">
        <f ca="1">IF(OR(Q$8="",$B21=""),"",_xlfn.COVARIANCE.S(INDIRECT("'Asset Returns'!"&amp;SUBSTITUTE(ADDRESS(1,MATCH(Q$8,'Asset Returns'!$1:$1,0),4),1,"")&amp;":"&amp;SUBSTITUTE(ADDRESS(1,MATCH(Q$8,'Asset Returns'!$1:$1,0),4),1,"")),INDIRECT("'Asset Returns'!"&amp;SUBSTITUTE(ADDRESS(1,MATCH($B21,'Asset Returns'!$1:$1,0),4),1,"")&amp;":"&amp;SUBSTITUTE(ADDRESS(1,MATCH($B21,'Asset Returns'!$1:$1,0),4),1,""))))</f>
        <v/>
      </c>
      <c r="R21" s="70" t="str">
        <f ca="1">IF(OR(R$8="",$B21=""),"",_xlfn.COVARIANCE.S(INDIRECT("'Asset Returns'!"&amp;SUBSTITUTE(ADDRESS(1,MATCH(R$8,'Asset Returns'!$1:$1,0),4),1,"")&amp;":"&amp;SUBSTITUTE(ADDRESS(1,MATCH(R$8,'Asset Returns'!$1:$1,0),4),1,"")),INDIRECT("'Asset Returns'!"&amp;SUBSTITUTE(ADDRESS(1,MATCH($B21,'Asset Returns'!$1:$1,0),4),1,"")&amp;":"&amp;SUBSTITUTE(ADDRESS(1,MATCH($B21,'Asset Returns'!$1:$1,0),4),1,""))))</f>
        <v/>
      </c>
      <c r="S21" s="70" t="str">
        <f ca="1">IF(OR(S$8="",$B21=""),"",_xlfn.COVARIANCE.S(INDIRECT("'Asset Returns'!"&amp;SUBSTITUTE(ADDRESS(1,MATCH(S$8,'Asset Returns'!$1:$1,0),4),1,"")&amp;":"&amp;SUBSTITUTE(ADDRESS(1,MATCH(S$8,'Asset Returns'!$1:$1,0),4),1,"")),INDIRECT("'Asset Returns'!"&amp;SUBSTITUTE(ADDRESS(1,MATCH($B21,'Asset Returns'!$1:$1,0),4),1,"")&amp;":"&amp;SUBSTITUTE(ADDRESS(1,MATCH($B21,'Asset Returns'!$1:$1,0),4),1,""))))</f>
        <v/>
      </c>
      <c r="T21" s="70" t="str">
        <f ca="1">IF(OR(T$8="",$B21=""),"",_xlfn.COVARIANCE.S(INDIRECT("'Asset Returns'!"&amp;SUBSTITUTE(ADDRESS(1,MATCH(T$8,'Asset Returns'!$1:$1,0),4),1,"")&amp;":"&amp;SUBSTITUTE(ADDRESS(1,MATCH(T$8,'Asset Returns'!$1:$1,0),4),1,"")),INDIRECT("'Asset Returns'!"&amp;SUBSTITUTE(ADDRESS(1,MATCH($B21,'Asset Returns'!$1:$1,0),4),1,"")&amp;":"&amp;SUBSTITUTE(ADDRESS(1,MATCH($B21,'Asset Returns'!$1:$1,0),4),1,""))))</f>
        <v/>
      </c>
      <c r="U21" s="70" t="str">
        <f ca="1">IF(OR(U$8="",$B21=""),"",_xlfn.COVARIANCE.S(INDIRECT("'Asset Returns'!"&amp;SUBSTITUTE(ADDRESS(1,MATCH(U$8,'Asset Returns'!$1:$1,0),4),1,"")&amp;":"&amp;SUBSTITUTE(ADDRESS(1,MATCH(U$8,'Asset Returns'!$1:$1,0),4),1,"")),INDIRECT("'Asset Returns'!"&amp;SUBSTITUTE(ADDRESS(1,MATCH($B21,'Asset Returns'!$1:$1,0),4),1,"")&amp;":"&amp;SUBSTITUTE(ADDRESS(1,MATCH($B21,'Asset Returns'!$1:$1,0),4),1,""))))</f>
        <v/>
      </c>
      <c r="V21" s="70" t="str">
        <f ca="1">IF(OR(V$8="",$B21=""),"",_xlfn.COVARIANCE.S(INDIRECT("'Asset Returns'!"&amp;SUBSTITUTE(ADDRESS(1,MATCH(V$8,'Asset Returns'!$1:$1,0),4),1,"")&amp;":"&amp;SUBSTITUTE(ADDRESS(1,MATCH(V$8,'Asset Returns'!$1:$1,0),4),1,"")),INDIRECT("'Asset Returns'!"&amp;SUBSTITUTE(ADDRESS(1,MATCH($B21,'Asset Returns'!$1:$1,0),4),1,"")&amp;":"&amp;SUBSTITUTE(ADDRESS(1,MATCH($B21,'Asset Returns'!$1:$1,0),4),1,""))))</f>
        <v/>
      </c>
      <c r="W21" s="70" t="str">
        <f ca="1">IF(OR(W$8="",$B21=""),"",_xlfn.COVARIANCE.S(INDIRECT("'Asset Returns'!"&amp;SUBSTITUTE(ADDRESS(1,MATCH(W$8,'Asset Returns'!$1:$1,0),4),1,"")&amp;":"&amp;SUBSTITUTE(ADDRESS(1,MATCH(W$8,'Asset Returns'!$1:$1,0),4),1,"")),INDIRECT("'Asset Returns'!"&amp;SUBSTITUTE(ADDRESS(1,MATCH($B21,'Asset Returns'!$1:$1,0),4),1,"")&amp;":"&amp;SUBSTITUTE(ADDRESS(1,MATCH($B21,'Asset Returns'!$1:$1,0),4),1,""))))</f>
        <v/>
      </c>
      <c r="X21" s="70" t="str">
        <f ca="1">IF(OR(X$8="",$B21=""),"",_xlfn.COVARIANCE.S(INDIRECT("'Asset Returns'!"&amp;SUBSTITUTE(ADDRESS(1,MATCH(X$8,'Asset Returns'!$1:$1,0),4),1,"")&amp;":"&amp;SUBSTITUTE(ADDRESS(1,MATCH(X$8,'Asset Returns'!$1:$1,0),4),1,"")),INDIRECT("'Asset Returns'!"&amp;SUBSTITUTE(ADDRESS(1,MATCH($B21,'Asset Returns'!$1:$1,0),4),1,"")&amp;":"&amp;SUBSTITUTE(ADDRESS(1,MATCH($B21,'Asset Returns'!$1:$1,0),4),1,""))))</f>
        <v/>
      </c>
      <c r="Y21" s="70" t="str">
        <f ca="1">IF(OR(Y$8="",$B21=""),"",_xlfn.COVARIANCE.S(INDIRECT("'Asset Returns'!"&amp;SUBSTITUTE(ADDRESS(1,MATCH(Y$8,'Asset Returns'!$1:$1,0),4),1,"")&amp;":"&amp;SUBSTITUTE(ADDRESS(1,MATCH(Y$8,'Asset Returns'!$1:$1,0),4),1,"")),INDIRECT("'Asset Returns'!"&amp;SUBSTITUTE(ADDRESS(1,MATCH($B21,'Asset Returns'!$1:$1,0),4),1,"")&amp;":"&amp;SUBSTITUTE(ADDRESS(1,MATCH($B21,'Asset Returns'!$1:$1,0),4),1,""))))</f>
        <v/>
      </c>
      <c r="Z21" s="70" t="str">
        <f ca="1">IF(OR(Z$8="",$B21=""),"",_xlfn.COVARIANCE.S(INDIRECT("'Asset Returns'!"&amp;SUBSTITUTE(ADDRESS(1,MATCH(Z$8,'Asset Returns'!$1:$1,0),4),1,"")&amp;":"&amp;SUBSTITUTE(ADDRESS(1,MATCH(Z$8,'Asset Returns'!$1:$1,0),4),1,"")),INDIRECT("'Asset Returns'!"&amp;SUBSTITUTE(ADDRESS(1,MATCH($B21,'Asset Returns'!$1:$1,0),4),1,"")&amp;":"&amp;SUBSTITUTE(ADDRESS(1,MATCH($B21,'Asset Returns'!$1:$1,0),4),1,""))))</f>
        <v/>
      </c>
      <c r="AA21" s="70" t="str">
        <f ca="1">IF(OR(AA$8="",$B21=""),"",_xlfn.COVARIANCE.S(INDIRECT("'Asset Returns'!"&amp;SUBSTITUTE(ADDRESS(1,MATCH(AA$8,'Asset Returns'!$1:$1,0),4),1,"")&amp;":"&amp;SUBSTITUTE(ADDRESS(1,MATCH(AA$8,'Asset Returns'!$1:$1,0),4),1,"")),INDIRECT("'Asset Returns'!"&amp;SUBSTITUTE(ADDRESS(1,MATCH($B21,'Asset Returns'!$1:$1,0),4),1,"")&amp;":"&amp;SUBSTITUTE(ADDRESS(1,MATCH($B21,'Asset Returns'!$1:$1,0),4),1,""))))</f>
        <v/>
      </c>
      <c r="AB21" s="96"/>
      <c r="AC21" s="48" t="str">
        <f t="shared" si="0"/>
        <v/>
      </c>
      <c r="AE21" s="3"/>
    </row>
    <row r="22" spans="1:39" x14ac:dyDescent="0.25">
      <c r="A22" s="47"/>
      <c r="B22" s="92"/>
      <c r="C22" s="69" t="str">
        <f ca="1">IF(OR(C$8="",$B22=""),"",_xlfn.COVARIANCE.S(INDIRECT("'Asset Returns'!"&amp;SUBSTITUTE(ADDRESS(1,MATCH(C$8,'Asset Returns'!$1:$1,0),4),1,"")&amp;":"&amp;SUBSTITUTE(ADDRESS(1,MATCH(C$8,'Asset Returns'!$1:$1,0),4),1,"")),INDIRECT("'Asset Returns'!"&amp;SUBSTITUTE(ADDRESS(1,MATCH($B22,'Asset Returns'!$1:$1,0),4),1,"")&amp;":"&amp;SUBSTITUTE(ADDRESS(1,MATCH($B22,'Asset Returns'!$1:$1,0),4),1,""))))</f>
        <v/>
      </c>
      <c r="D22" s="70" t="str">
        <f ca="1">IF(OR(D$8="",$B22=""),"",_xlfn.COVARIANCE.S(INDIRECT("'Asset Returns'!"&amp;SUBSTITUTE(ADDRESS(1,MATCH(D$8,'Asset Returns'!$1:$1,0),4),1,"")&amp;":"&amp;SUBSTITUTE(ADDRESS(1,MATCH(D$8,'Asset Returns'!$1:$1,0),4),1,"")),INDIRECT("'Asset Returns'!"&amp;SUBSTITUTE(ADDRESS(1,MATCH($B22,'Asset Returns'!$1:$1,0),4),1,"")&amp;":"&amp;SUBSTITUTE(ADDRESS(1,MATCH($B22,'Asset Returns'!$1:$1,0),4),1,""))))</f>
        <v/>
      </c>
      <c r="E22" s="70" t="str">
        <f ca="1">IF(OR(E$8="",$B22=""),"",_xlfn.COVARIANCE.S(INDIRECT("'Asset Returns'!"&amp;SUBSTITUTE(ADDRESS(1,MATCH(E$8,'Asset Returns'!$1:$1,0),4),1,"")&amp;":"&amp;SUBSTITUTE(ADDRESS(1,MATCH(E$8,'Asset Returns'!$1:$1,0),4),1,"")),INDIRECT("'Asset Returns'!"&amp;SUBSTITUTE(ADDRESS(1,MATCH($B22,'Asset Returns'!$1:$1,0),4),1,"")&amp;":"&amp;SUBSTITUTE(ADDRESS(1,MATCH($B22,'Asset Returns'!$1:$1,0),4),1,""))))</f>
        <v/>
      </c>
      <c r="F22" s="70" t="str">
        <f ca="1">IF(OR(F$8="",$B22=""),"",_xlfn.COVARIANCE.S(INDIRECT("'Asset Returns'!"&amp;SUBSTITUTE(ADDRESS(1,MATCH(F$8,'Asset Returns'!$1:$1,0),4),1,"")&amp;":"&amp;SUBSTITUTE(ADDRESS(1,MATCH(F$8,'Asset Returns'!$1:$1,0),4),1,"")),INDIRECT("'Asset Returns'!"&amp;SUBSTITUTE(ADDRESS(1,MATCH($B22,'Asset Returns'!$1:$1,0),4),1,"")&amp;":"&amp;SUBSTITUTE(ADDRESS(1,MATCH($B22,'Asset Returns'!$1:$1,0),4),1,""))))</f>
        <v/>
      </c>
      <c r="G22" s="70" t="str">
        <f ca="1">IF(OR(G$8="",$B22=""),"",_xlfn.COVARIANCE.S(INDIRECT("'Asset Returns'!"&amp;SUBSTITUTE(ADDRESS(1,MATCH(G$8,'Asset Returns'!$1:$1,0),4),1,"")&amp;":"&amp;SUBSTITUTE(ADDRESS(1,MATCH(G$8,'Asset Returns'!$1:$1,0),4),1,"")),INDIRECT("'Asset Returns'!"&amp;SUBSTITUTE(ADDRESS(1,MATCH($B22,'Asset Returns'!$1:$1,0),4),1,"")&amp;":"&amp;SUBSTITUTE(ADDRESS(1,MATCH($B22,'Asset Returns'!$1:$1,0),4),1,""))))</f>
        <v/>
      </c>
      <c r="H22" s="70" t="str">
        <f ca="1">IF(OR(H$8="",$B22=""),"",_xlfn.COVARIANCE.S(INDIRECT("'Asset Returns'!"&amp;SUBSTITUTE(ADDRESS(1,MATCH(H$8,'Asset Returns'!$1:$1,0),4),1,"")&amp;":"&amp;SUBSTITUTE(ADDRESS(1,MATCH(H$8,'Asset Returns'!$1:$1,0),4),1,"")),INDIRECT("'Asset Returns'!"&amp;SUBSTITUTE(ADDRESS(1,MATCH($B22,'Asset Returns'!$1:$1,0),4),1,"")&amp;":"&amp;SUBSTITUTE(ADDRESS(1,MATCH($B22,'Asset Returns'!$1:$1,0),4),1,""))))</f>
        <v/>
      </c>
      <c r="I22" s="70" t="str">
        <f ca="1">IF(OR(I$8="",$B22=""),"",_xlfn.COVARIANCE.S(INDIRECT("'Asset Returns'!"&amp;SUBSTITUTE(ADDRESS(1,MATCH(I$8,'Asset Returns'!$1:$1,0),4),1,"")&amp;":"&amp;SUBSTITUTE(ADDRESS(1,MATCH(I$8,'Asset Returns'!$1:$1,0),4),1,"")),INDIRECT("'Asset Returns'!"&amp;SUBSTITUTE(ADDRESS(1,MATCH($B22,'Asset Returns'!$1:$1,0),4),1,"")&amp;":"&amp;SUBSTITUTE(ADDRESS(1,MATCH($B22,'Asset Returns'!$1:$1,0),4),1,""))))</f>
        <v/>
      </c>
      <c r="J22" s="70" t="str">
        <f ca="1">IF(OR(J$8="",$B22=""),"",_xlfn.COVARIANCE.S(INDIRECT("'Asset Returns'!"&amp;SUBSTITUTE(ADDRESS(1,MATCH(J$8,'Asset Returns'!$1:$1,0),4),1,"")&amp;":"&amp;SUBSTITUTE(ADDRESS(1,MATCH(J$8,'Asset Returns'!$1:$1,0),4),1,"")),INDIRECT("'Asset Returns'!"&amp;SUBSTITUTE(ADDRESS(1,MATCH($B22,'Asset Returns'!$1:$1,0),4),1,"")&amp;":"&amp;SUBSTITUTE(ADDRESS(1,MATCH($B22,'Asset Returns'!$1:$1,0),4),1,""))))</f>
        <v/>
      </c>
      <c r="K22" s="70" t="str">
        <f ca="1">IF(OR(K$8="",$B22=""),"",_xlfn.COVARIANCE.S(INDIRECT("'Asset Returns'!"&amp;SUBSTITUTE(ADDRESS(1,MATCH(K$8,'Asset Returns'!$1:$1,0),4),1,"")&amp;":"&amp;SUBSTITUTE(ADDRESS(1,MATCH(K$8,'Asset Returns'!$1:$1,0),4),1,"")),INDIRECT("'Asset Returns'!"&amp;SUBSTITUTE(ADDRESS(1,MATCH($B22,'Asset Returns'!$1:$1,0),4),1,"")&amp;":"&amp;SUBSTITUTE(ADDRESS(1,MATCH($B22,'Asset Returns'!$1:$1,0),4),1,""))))</f>
        <v/>
      </c>
      <c r="L22" s="70" t="str">
        <f ca="1">IF(OR(L$8="",$B22=""),"",_xlfn.COVARIANCE.S(INDIRECT("'Asset Returns'!"&amp;SUBSTITUTE(ADDRESS(1,MATCH(L$8,'Asset Returns'!$1:$1,0),4),1,"")&amp;":"&amp;SUBSTITUTE(ADDRESS(1,MATCH(L$8,'Asset Returns'!$1:$1,0),4),1,"")),INDIRECT("'Asset Returns'!"&amp;SUBSTITUTE(ADDRESS(1,MATCH($B22,'Asset Returns'!$1:$1,0),4),1,"")&amp;":"&amp;SUBSTITUTE(ADDRESS(1,MATCH($B22,'Asset Returns'!$1:$1,0),4),1,""))))</f>
        <v/>
      </c>
      <c r="M22" s="70" t="str">
        <f ca="1">IF(OR(M$8="",$B22=""),"",_xlfn.COVARIANCE.S(INDIRECT("'Asset Returns'!"&amp;SUBSTITUTE(ADDRESS(1,MATCH(M$8,'Asset Returns'!$1:$1,0),4),1,"")&amp;":"&amp;SUBSTITUTE(ADDRESS(1,MATCH(M$8,'Asset Returns'!$1:$1,0),4),1,"")),INDIRECT("'Asset Returns'!"&amp;SUBSTITUTE(ADDRESS(1,MATCH($B22,'Asset Returns'!$1:$1,0),4),1,"")&amp;":"&amp;SUBSTITUTE(ADDRESS(1,MATCH($B22,'Asset Returns'!$1:$1,0),4),1,""))))</f>
        <v/>
      </c>
      <c r="N22" s="70" t="str">
        <f ca="1">IF(OR(N$8="",$B22=""),"",_xlfn.COVARIANCE.S(INDIRECT("'Asset Returns'!"&amp;SUBSTITUTE(ADDRESS(1,MATCH(N$8,'Asset Returns'!$1:$1,0),4),1,"")&amp;":"&amp;SUBSTITUTE(ADDRESS(1,MATCH(N$8,'Asset Returns'!$1:$1,0),4),1,"")),INDIRECT("'Asset Returns'!"&amp;SUBSTITUTE(ADDRESS(1,MATCH($B22,'Asset Returns'!$1:$1,0),4),1,"")&amp;":"&amp;SUBSTITUTE(ADDRESS(1,MATCH($B22,'Asset Returns'!$1:$1,0),4),1,""))))</f>
        <v/>
      </c>
      <c r="O22" s="70" t="str">
        <f ca="1">IF(OR(O$8="",$B22=""),"",_xlfn.COVARIANCE.S(INDIRECT("'Asset Returns'!"&amp;SUBSTITUTE(ADDRESS(1,MATCH(O$8,'Asset Returns'!$1:$1,0),4),1,"")&amp;":"&amp;SUBSTITUTE(ADDRESS(1,MATCH(O$8,'Asset Returns'!$1:$1,0),4),1,"")),INDIRECT("'Asset Returns'!"&amp;SUBSTITUTE(ADDRESS(1,MATCH($B22,'Asset Returns'!$1:$1,0),4),1,"")&amp;":"&amp;SUBSTITUTE(ADDRESS(1,MATCH($B22,'Asset Returns'!$1:$1,0),4),1,""))))</f>
        <v/>
      </c>
      <c r="P22" s="70" t="str">
        <f ca="1">IF(OR(P$8="",$B22=""),"",_xlfn.COVARIANCE.S(INDIRECT("'Asset Returns'!"&amp;SUBSTITUTE(ADDRESS(1,MATCH(P$8,'Asset Returns'!$1:$1,0),4),1,"")&amp;":"&amp;SUBSTITUTE(ADDRESS(1,MATCH(P$8,'Asset Returns'!$1:$1,0),4),1,"")),INDIRECT("'Asset Returns'!"&amp;SUBSTITUTE(ADDRESS(1,MATCH($B22,'Asset Returns'!$1:$1,0),4),1,"")&amp;":"&amp;SUBSTITUTE(ADDRESS(1,MATCH($B22,'Asset Returns'!$1:$1,0),4),1,""))))</f>
        <v/>
      </c>
      <c r="Q22" s="70" t="str">
        <f ca="1">IF(OR(Q$8="",$B22=""),"",_xlfn.COVARIANCE.S(INDIRECT("'Asset Returns'!"&amp;SUBSTITUTE(ADDRESS(1,MATCH(Q$8,'Asset Returns'!$1:$1,0),4),1,"")&amp;":"&amp;SUBSTITUTE(ADDRESS(1,MATCH(Q$8,'Asset Returns'!$1:$1,0),4),1,"")),INDIRECT("'Asset Returns'!"&amp;SUBSTITUTE(ADDRESS(1,MATCH($B22,'Asset Returns'!$1:$1,0),4),1,"")&amp;":"&amp;SUBSTITUTE(ADDRESS(1,MATCH($B22,'Asset Returns'!$1:$1,0),4),1,""))))</f>
        <v/>
      </c>
      <c r="R22" s="70" t="str">
        <f ca="1">IF(OR(R$8="",$B22=""),"",_xlfn.COVARIANCE.S(INDIRECT("'Asset Returns'!"&amp;SUBSTITUTE(ADDRESS(1,MATCH(R$8,'Asset Returns'!$1:$1,0),4),1,"")&amp;":"&amp;SUBSTITUTE(ADDRESS(1,MATCH(R$8,'Asset Returns'!$1:$1,0),4),1,"")),INDIRECT("'Asset Returns'!"&amp;SUBSTITUTE(ADDRESS(1,MATCH($B22,'Asset Returns'!$1:$1,0),4),1,"")&amp;":"&amp;SUBSTITUTE(ADDRESS(1,MATCH($B22,'Asset Returns'!$1:$1,0),4),1,""))))</f>
        <v/>
      </c>
      <c r="S22" s="70" t="str">
        <f ca="1">IF(OR(S$8="",$B22=""),"",_xlfn.COVARIANCE.S(INDIRECT("'Asset Returns'!"&amp;SUBSTITUTE(ADDRESS(1,MATCH(S$8,'Asset Returns'!$1:$1,0),4),1,"")&amp;":"&amp;SUBSTITUTE(ADDRESS(1,MATCH(S$8,'Asset Returns'!$1:$1,0),4),1,"")),INDIRECT("'Asset Returns'!"&amp;SUBSTITUTE(ADDRESS(1,MATCH($B22,'Asset Returns'!$1:$1,0),4),1,"")&amp;":"&amp;SUBSTITUTE(ADDRESS(1,MATCH($B22,'Asset Returns'!$1:$1,0),4),1,""))))</f>
        <v/>
      </c>
      <c r="T22" s="70" t="str">
        <f ca="1">IF(OR(T$8="",$B22=""),"",_xlfn.COVARIANCE.S(INDIRECT("'Asset Returns'!"&amp;SUBSTITUTE(ADDRESS(1,MATCH(T$8,'Asset Returns'!$1:$1,0),4),1,"")&amp;":"&amp;SUBSTITUTE(ADDRESS(1,MATCH(T$8,'Asset Returns'!$1:$1,0),4),1,"")),INDIRECT("'Asset Returns'!"&amp;SUBSTITUTE(ADDRESS(1,MATCH($B22,'Asset Returns'!$1:$1,0),4),1,"")&amp;":"&amp;SUBSTITUTE(ADDRESS(1,MATCH($B22,'Asset Returns'!$1:$1,0),4),1,""))))</f>
        <v/>
      </c>
      <c r="U22" s="70" t="str">
        <f ca="1">IF(OR(U$8="",$B22=""),"",_xlfn.COVARIANCE.S(INDIRECT("'Asset Returns'!"&amp;SUBSTITUTE(ADDRESS(1,MATCH(U$8,'Asset Returns'!$1:$1,0),4),1,"")&amp;":"&amp;SUBSTITUTE(ADDRESS(1,MATCH(U$8,'Asset Returns'!$1:$1,0),4),1,"")),INDIRECT("'Asset Returns'!"&amp;SUBSTITUTE(ADDRESS(1,MATCH($B22,'Asset Returns'!$1:$1,0),4),1,"")&amp;":"&amp;SUBSTITUTE(ADDRESS(1,MATCH($B22,'Asset Returns'!$1:$1,0),4),1,""))))</f>
        <v/>
      </c>
      <c r="V22" s="70" t="str">
        <f ca="1">IF(OR(V$8="",$B22=""),"",_xlfn.COVARIANCE.S(INDIRECT("'Asset Returns'!"&amp;SUBSTITUTE(ADDRESS(1,MATCH(V$8,'Asset Returns'!$1:$1,0),4),1,"")&amp;":"&amp;SUBSTITUTE(ADDRESS(1,MATCH(V$8,'Asset Returns'!$1:$1,0),4),1,"")),INDIRECT("'Asset Returns'!"&amp;SUBSTITUTE(ADDRESS(1,MATCH($B22,'Asset Returns'!$1:$1,0),4),1,"")&amp;":"&amp;SUBSTITUTE(ADDRESS(1,MATCH($B22,'Asset Returns'!$1:$1,0),4),1,""))))</f>
        <v/>
      </c>
      <c r="W22" s="70" t="str">
        <f ca="1">IF(OR(W$8="",$B22=""),"",_xlfn.COVARIANCE.S(INDIRECT("'Asset Returns'!"&amp;SUBSTITUTE(ADDRESS(1,MATCH(W$8,'Asset Returns'!$1:$1,0),4),1,"")&amp;":"&amp;SUBSTITUTE(ADDRESS(1,MATCH(W$8,'Asset Returns'!$1:$1,0),4),1,"")),INDIRECT("'Asset Returns'!"&amp;SUBSTITUTE(ADDRESS(1,MATCH($B22,'Asset Returns'!$1:$1,0),4),1,"")&amp;":"&amp;SUBSTITUTE(ADDRESS(1,MATCH($B22,'Asset Returns'!$1:$1,0),4),1,""))))</f>
        <v/>
      </c>
      <c r="X22" s="70" t="str">
        <f ca="1">IF(OR(X$8="",$B22=""),"",_xlfn.COVARIANCE.S(INDIRECT("'Asset Returns'!"&amp;SUBSTITUTE(ADDRESS(1,MATCH(X$8,'Asset Returns'!$1:$1,0),4),1,"")&amp;":"&amp;SUBSTITUTE(ADDRESS(1,MATCH(X$8,'Asset Returns'!$1:$1,0),4),1,"")),INDIRECT("'Asset Returns'!"&amp;SUBSTITUTE(ADDRESS(1,MATCH($B22,'Asset Returns'!$1:$1,0),4),1,"")&amp;":"&amp;SUBSTITUTE(ADDRESS(1,MATCH($B22,'Asset Returns'!$1:$1,0),4),1,""))))</f>
        <v/>
      </c>
      <c r="Y22" s="70" t="str">
        <f ca="1">IF(OR(Y$8="",$B22=""),"",_xlfn.COVARIANCE.S(INDIRECT("'Asset Returns'!"&amp;SUBSTITUTE(ADDRESS(1,MATCH(Y$8,'Asset Returns'!$1:$1,0),4),1,"")&amp;":"&amp;SUBSTITUTE(ADDRESS(1,MATCH(Y$8,'Asset Returns'!$1:$1,0),4),1,"")),INDIRECT("'Asset Returns'!"&amp;SUBSTITUTE(ADDRESS(1,MATCH($B22,'Asset Returns'!$1:$1,0),4),1,"")&amp;":"&amp;SUBSTITUTE(ADDRESS(1,MATCH($B22,'Asset Returns'!$1:$1,0),4),1,""))))</f>
        <v/>
      </c>
      <c r="Z22" s="70" t="str">
        <f ca="1">IF(OR(Z$8="",$B22=""),"",_xlfn.COVARIANCE.S(INDIRECT("'Asset Returns'!"&amp;SUBSTITUTE(ADDRESS(1,MATCH(Z$8,'Asset Returns'!$1:$1,0),4),1,"")&amp;":"&amp;SUBSTITUTE(ADDRESS(1,MATCH(Z$8,'Asset Returns'!$1:$1,0),4),1,"")),INDIRECT("'Asset Returns'!"&amp;SUBSTITUTE(ADDRESS(1,MATCH($B22,'Asset Returns'!$1:$1,0),4),1,"")&amp;":"&amp;SUBSTITUTE(ADDRESS(1,MATCH($B22,'Asset Returns'!$1:$1,0),4),1,""))))</f>
        <v/>
      </c>
      <c r="AA22" s="70" t="str">
        <f ca="1">IF(OR(AA$8="",$B22=""),"",_xlfn.COVARIANCE.S(INDIRECT("'Asset Returns'!"&amp;SUBSTITUTE(ADDRESS(1,MATCH(AA$8,'Asset Returns'!$1:$1,0),4),1,"")&amp;":"&amp;SUBSTITUTE(ADDRESS(1,MATCH(AA$8,'Asset Returns'!$1:$1,0),4),1,"")),INDIRECT("'Asset Returns'!"&amp;SUBSTITUTE(ADDRESS(1,MATCH($B22,'Asset Returns'!$1:$1,0),4),1,"")&amp;":"&amp;SUBSTITUTE(ADDRESS(1,MATCH($B22,'Asset Returns'!$1:$1,0),4),1,""))))</f>
        <v/>
      </c>
      <c r="AB22" s="96"/>
      <c r="AC22" s="48" t="str">
        <f t="shared" si="0"/>
        <v/>
      </c>
    </row>
    <row r="23" spans="1:39" x14ac:dyDescent="0.25">
      <c r="A23" s="47"/>
      <c r="B23" s="92"/>
      <c r="C23" s="69" t="str">
        <f ca="1">IF(OR(C$8="",$B23=""),"",_xlfn.COVARIANCE.S(INDIRECT("'Asset Returns'!"&amp;SUBSTITUTE(ADDRESS(1,MATCH(C$8,'Asset Returns'!$1:$1,0),4),1,"")&amp;":"&amp;SUBSTITUTE(ADDRESS(1,MATCH(C$8,'Asset Returns'!$1:$1,0),4),1,"")),INDIRECT("'Asset Returns'!"&amp;SUBSTITUTE(ADDRESS(1,MATCH($B23,'Asset Returns'!$1:$1,0),4),1,"")&amp;":"&amp;SUBSTITUTE(ADDRESS(1,MATCH($B23,'Asset Returns'!$1:$1,0),4),1,""))))</f>
        <v/>
      </c>
      <c r="D23" s="70" t="str">
        <f ca="1">IF(OR(D$8="",$B23=""),"",_xlfn.COVARIANCE.S(INDIRECT("'Asset Returns'!"&amp;SUBSTITUTE(ADDRESS(1,MATCH(D$8,'Asset Returns'!$1:$1,0),4),1,"")&amp;":"&amp;SUBSTITUTE(ADDRESS(1,MATCH(D$8,'Asset Returns'!$1:$1,0),4),1,"")),INDIRECT("'Asset Returns'!"&amp;SUBSTITUTE(ADDRESS(1,MATCH($B23,'Asset Returns'!$1:$1,0),4),1,"")&amp;":"&amp;SUBSTITUTE(ADDRESS(1,MATCH($B23,'Asset Returns'!$1:$1,0),4),1,""))))</f>
        <v/>
      </c>
      <c r="E23" s="70" t="str">
        <f ca="1">IF(OR(E$8="",$B23=""),"",_xlfn.COVARIANCE.S(INDIRECT("'Asset Returns'!"&amp;SUBSTITUTE(ADDRESS(1,MATCH(E$8,'Asset Returns'!$1:$1,0),4),1,"")&amp;":"&amp;SUBSTITUTE(ADDRESS(1,MATCH(E$8,'Asset Returns'!$1:$1,0),4),1,"")),INDIRECT("'Asset Returns'!"&amp;SUBSTITUTE(ADDRESS(1,MATCH($B23,'Asset Returns'!$1:$1,0),4),1,"")&amp;":"&amp;SUBSTITUTE(ADDRESS(1,MATCH($B23,'Asset Returns'!$1:$1,0),4),1,""))))</f>
        <v/>
      </c>
      <c r="F23" s="70" t="str">
        <f ca="1">IF(OR(F$8="",$B23=""),"",_xlfn.COVARIANCE.S(INDIRECT("'Asset Returns'!"&amp;SUBSTITUTE(ADDRESS(1,MATCH(F$8,'Asset Returns'!$1:$1,0),4),1,"")&amp;":"&amp;SUBSTITUTE(ADDRESS(1,MATCH(F$8,'Asset Returns'!$1:$1,0),4),1,"")),INDIRECT("'Asset Returns'!"&amp;SUBSTITUTE(ADDRESS(1,MATCH($B23,'Asset Returns'!$1:$1,0),4),1,"")&amp;":"&amp;SUBSTITUTE(ADDRESS(1,MATCH($B23,'Asset Returns'!$1:$1,0),4),1,""))))</f>
        <v/>
      </c>
      <c r="G23" s="70" t="str">
        <f ca="1">IF(OR(G$8="",$B23=""),"",_xlfn.COVARIANCE.S(INDIRECT("'Asset Returns'!"&amp;SUBSTITUTE(ADDRESS(1,MATCH(G$8,'Asset Returns'!$1:$1,0),4),1,"")&amp;":"&amp;SUBSTITUTE(ADDRESS(1,MATCH(G$8,'Asset Returns'!$1:$1,0),4),1,"")),INDIRECT("'Asset Returns'!"&amp;SUBSTITUTE(ADDRESS(1,MATCH($B23,'Asset Returns'!$1:$1,0),4),1,"")&amp;":"&amp;SUBSTITUTE(ADDRESS(1,MATCH($B23,'Asset Returns'!$1:$1,0),4),1,""))))</f>
        <v/>
      </c>
      <c r="H23" s="70" t="str">
        <f ca="1">IF(OR(H$8="",$B23=""),"",_xlfn.COVARIANCE.S(INDIRECT("'Asset Returns'!"&amp;SUBSTITUTE(ADDRESS(1,MATCH(H$8,'Asset Returns'!$1:$1,0),4),1,"")&amp;":"&amp;SUBSTITUTE(ADDRESS(1,MATCH(H$8,'Asset Returns'!$1:$1,0),4),1,"")),INDIRECT("'Asset Returns'!"&amp;SUBSTITUTE(ADDRESS(1,MATCH($B23,'Asset Returns'!$1:$1,0),4),1,"")&amp;":"&amp;SUBSTITUTE(ADDRESS(1,MATCH($B23,'Asset Returns'!$1:$1,0),4),1,""))))</f>
        <v/>
      </c>
      <c r="I23" s="70" t="str">
        <f ca="1">IF(OR(I$8="",$B23=""),"",_xlfn.COVARIANCE.S(INDIRECT("'Asset Returns'!"&amp;SUBSTITUTE(ADDRESS(1,MATCH(I$8,'Asset Returns'!$1:$1,0),4),1,"")&amp;":"&amp;SUBSTITUTE(ADDRESS(1,MATCH(I$8,'Asset Returns'!$1:$1,0),4),1,"")),INDIRECT("'Asset Returns'!"&amp;SUBSTITUTE(ADDRESS(1,MATCH($B23,'Asset Returns'!$1:$1,0),4),1,"")&amp;":"&amp;SUBSTITUTE(ADDRESS(1,MATCH($B23,'Asset Returns'!$1:$1,0),4),1,""))))</f>
        <v/>
      </c>
      <c r="J23" s="70" t="str">
        <f ca="1">IF(OR(J$8="",$B23=""),"",_xlfn.COVARIANCE.S(INDIRECT("'Asset Returns'!"&amp;SUBSTITUTE(ADDRESS(1,MATCH(J$8,'Asset Returns'!$1:$1,0),4),1,"")&amp;":"&amp;SUBSTITUTE(ADDRESS(1,MATCH(J$8,'Asset Returns'!$1:$1,0),4),1,"")),INDIRECT("'Asset Returns'!"&amp;SUBSTITUTE(ADDRESS(1,MATCH($B23,'Asset Returns'!$1:$1,0),4),1,"")&amp;":"&amp;SUBSTITUTE(ADDRESS(1,MATCH($B23,'Asset Returns'!$1:$1,0),4),1,""))))</f>
        <v/>
      </c>
      <c r="K23" s="70" t="str">
        <f ca="1">IF(OR(K$8="",$B23=""),"",_xlfn.COVARIANCE.S(INDIRECT("'Asset Returns'!"&amp;SUBSTITUTE(ADDRESS(1,MATCH(K$8,'Asset Returns'!$1:$1,0),4),1,"")&amp;":"&amp;SUBSTITUTE(ADDRESS(1,MATCH(K$8,'Asset Returns'!$1:$1,0),4),1,"")),INDIRECT("'Asset Returns'!"&amp;SUBSTITUTE(ADDRESS(1,MATCH($B23,'Asset Returns'!$1:$1,0),4),1,"")&amp;":"&amp;SUBSTITUTE(ADDRESS(1,MATCH($B23,'Asset Returns'!$1:$1,0),4),1,""))))</f>
        <v/>
      </c>
      <c r="L23" s="70" t="str">
        <f ca="1">IF(OR(L$8="",$B23=""),"",_xlfn.COVARIANCE.S(INDIRECT("'Asset Returns'!"&amp;SUBSTITUTE(ADDRESS(1,MATCH(L$8,'Asset Returns'!$1:$1,0),4),1,"")&amp;":"&amp;SUBSTITUTE(ADDRESS(1,MATCH(L$8,'Asset Returns'!$1:$1,0),4),1,"")),INDIRECT("'Asset Returns'!"&amp;SUBSTITUTE(ADDRESS(1,MATCH($B23,'Asset Returns'!$1:$1,0),4),1,"")&amp;":"&amp;SUBSTITUTE(ADDRESS(1,MATCH($B23,'Asset Returns'!$1:$1,0),4),1,""))))</f>
        <v/>
      </c>
      <c r="M23" s="70" t="str">
        <f ca="1">IF(OR(M$8="",$B23=""),"",_xlfn.COVARIANCE.S(INDIRECT("'Asset Returns'!"&amp;SUBSTITUTE(ADDRESS(1,MATCH(M$8,'Asset Returns'!$1:$1,0),4),1,"")&amp;":"&amp;SUBSTITUTE(ADDRESS(1,MATCH(M$8,'Asset Returns'!$1:$1,0),4),1,"")),INDIRECT("'Asset Returns'!"&amp;SUBSTITUTE(ADDRESS(1,MATCH($B23,'Asset Returns'!$1:$1,0),4),1,"")&amp;":"&amp;SUBSTITUTE(ADDRESS(1,MATCH($B23,'Asset Returns'!$1:$1,0),4),1,""))))</f>
        <v/>
      </c>
      <c r="N23" s="70" t="str">
        <f ca="1">IF(OR(N$8="",$B23=""),"",_xlfn.COVARIANCE.S(INDIRECT("'Asset Returns'!"&amp;SUBSTITUTE(ADDRESS(1,MATCH(N$8,'Asset Returns'!$1:$1,0),4),1,"")&amp;":"&amp;SUBSTITUTE(ADDRESS(1,MATCH(N$8,'Asset Returns'!$1:$1,0),4),1,"")),INDIRECT("'Asset Returns'!"&amp;SUBSTITUTE(ADDRESS(1,MATCH($B23,'Asset Returns'!$1:$1,0),4),1,"")&amp;":"&amp;SUBSTITUTE(ADDRESS(1,MATCH($B23,'Asset Returns'!$1:$1,0),4),1,""))))</f>
        <v/>
      </c>
      <c r="O23" s="70" t="str">
        <f ca="1">IF(OR(O$8="",$B23=""),"",_xlfn.COVARIANCE.S(INDIRECT("'Asset Returns'!"&amp;SUBSTITUTE(ADDRESS(1,MATCH(O$8,'Asset Returns'!$1:$1,0),4),1,"")&amp;":"&amp;SUBSTITUTE(ADDRESS(1,MATCH(O$8,'Asset Returns'!$1:$1,0),4),1,"")),INDIRECT("'Asset Returns'!"&amp;SUBSTITUTE(ADDRESS(1,MATCH($B23,'Asset Returns'!$1:$1,0),4),1,"")&amp;":"&amp;SUBSTITUTE(ADDRESS(1,MATCH($B23,'Asset Returns'!$1:$1,0),4),1,""))))</f>
        <v/>
      </c>
      <c r="P23" s="70" t="str">
        <f ca="1">IF(OR(P$8="",$B23=""),"",_xlfn.COVARIANCE.S(INDIRECT("'Asset Returns'!"&amp;SUBSTITUTE(ADDRESS(1,MATCH(P$8,'Asset Returns'!$1:$1,0),4),1,"")&amp;":"&amp;SUBSTITUTE(ADDRESS(1,MATCH(P$8,'Asset Returns'!$1:$1,0),4),1,"")),INDIRECT("'Asset Returns'!"&amp;SUBSTITUTE(ADDRESS(1,MATCH($B23,'Asset Returns'!$1:$1,0),4),1,"")&amp;":"&amp;SUBSTITUTE(ADDRESS(1,MATCH($B23,'Asset Returns'!$1:$1,0),4),1,""))))</f>
        <v/>
      </c>
      <c r="Q23" s="70" t="str">
        <f ca="1">IF(OR(Q$8="",$B23=""),"",_xlfn.COVARIANCE.S(INDIRECT("'Asset Returns'!"&amp;SUBSTITUTE(ADDRESS(1,MATCH(Q$8,'Asset Returns'!$1:$1,0),4),1,"")&amp;":"&amp;SUBSTITUTE(ADDRESS(1,MATCH(Q$8,'Asset Returns'!$1:$1,0),4),1,"")),INDIRECT("'Asset Returns'!"&amp;SUBSTITUTE(ADDRESS(1,MATCH($B23,'Asset Returns'!$1:$1,0),4),1,"")&amp;":"&amp;SUBSTITUTE(ADDRESS(1,MATCH($B23,'Asset Returns'!$1:$1,0),4),1,""))))</f>
        <v/>
      </c>
      <c r="R23" s="70" t="str">
        <f ca="1">IF(OR(R$8="",$B23=""),"",_xlfn.COVARIANCE.S(INDIRECT("'Asset Returns'!"&amp;SUBSTITUTE(ADDRESS(1,MATCH(R$8,'Asset Returns'!$1:$1,0),4),1,"")&amp;":"&amp;SUBSTITUTE(ADDRESS(1,MATCH(R$8,'Asset Returns'!$1:$1,0),4),1,"")),INDIRECT("'Asset Returns'!"&amp;SUBSTITUTE(ADDRESS(1,MATCH($B23,'Asset Returns'!$1:$1,0),4),1,"")&amp;":"&amp;SUBSTITUTE(ADDRESS(1,MATCH($B23,'Asset Returns'!$1:$1,0),4),1,""))))</f>
        <v/>
      </c>
      <c r="S23" s="70" t="str">
        <f ca="1">IF(OR(S$8="",$B23=""),"",_xlfn.COVARIANCE.S(INDIRECT("'Asset Returns'!"&amp;SUBSTITUTE(ADDRESS(1,MATCH(S$8,'Asset Returns'!$1:$1,0),4),1,"")&amp;":"&amp;SUBSTITUTE(ADDRESS(1,MATCH(S$8,'Asset Returns'!$1:$1,0),4),1,"")),INDIRECT("'Asset Returns'!"&amp;SUBSTITUTE(ADDRESS(1,MATCH($B23,'Asset Returns'!$1:$1,0),4),1,"")&amp;":"&amp;SUBSTITUTE(ADDRESS(1,MATCH($B23,'Asset Returns'!$1:$1,0),4),1,""))))</f>
        <v/>
      </c>
      <c r="T23" s="70" t="str">
        <f ca="1">IF(OR(T$8="",$B23=""),"",_xlfn.COVARIANCE.S(INDIRECT("'Asset Returns'!"&amp;SUBSTITUTE(ADDRESS(1,MATCH(T$8,'Asset Returns'!$1:$1,0),4),1,"")&amp;":"&amp;SUBSTITUTE(ADDRESS(1,MATCH(T$8,'Asset Returns'!$1:$1,0),4),1,"")),INDIRECT("'Asset Returns'!"&amp;SUBSTITUTE(ADDRESS(1,MATCH($B23,'Asset Returns'!$1:$1,0),4),1,"")&amp;":"&amp;SUBSTITUTE(ADDRESS(1,MATCH($B23,'Asset Returns'!$1:$1,0),4),1,""))))</f>
        <v/>
      </c>
      <c r="U23" s="70" t="str">
        <f ca="1">IF(OR(U$8="",$B23=""),"",_xlfn.COVARIANCE.S(INDIRECT("'Asset Returns'!"&amp;SUBSTITUTE(ADDRESS(1,MATCH(U$8,'Asset Returns'!$1:$1,0),4),1,"")&amp;":"&amp;SUBSTITUTE(ADDRESS(1,MATCH(U$8,'Asset Returns'!$1:$1,0),4),1,"")),INDIRECT("'Asset Returns'!"&amp;SUBSTITUTE(ADDRESS(1,MATCH($B23,'Asset Returns'!$1:$1,0),4),1,"")&amp;":"&amp;SUBSTITUTE(ADDRESS(1,MATCH($B23,'Asset Returns'!$1:$1,0),4),1,""))))</f>
        <v/>
      </c>
      <c r="V23" s="70" t="str">
        <f ca="1">IF(OR(V$8="",$B23=""),"",_xlfn.COVARIANCE.S(INDIRECT("'Asset Returns'!"&amp;SUBSTITUTE(ADDRESS(1,MATCH(V$8,'Asset Returns'!$1:$1,0),4),1,"")&amp;":"&amp;SUBSTITUTE(ADDRESS(1,MATCH(V$8,'Asset Returns'!$1:$1,0),4),1,"")),INDIRECT("'Asset Returns'!"&amp;SUBSTITUTE(ADDRESS(1,MATCH($B23,'Asset Returns'!$1:$1,0),4),1,"")&amp;":"&amp;SUBSTITUTE(ADDRESS(1,MATCH($B23,'Asset Returns'!$1:$1,0),4),1,""))))</f>
        <v/>
      </c>
      <c r="W23" s="70" t="str">
        <f ca="1">IF(OR(W$8="",$B23=""),"",_xlfn.COVARIANCE.S(INDIRECT("'Asset Returns'!"&amp;SUBSTITUTE(ADDRESS(1,MATCH(W$8,'Asset Returns'!$1:$1,0),4),1,"")&amp;":"&amp;SUBSTITUTE(ADDRESS(1,MATCH(W$8,'Asset Returns'!$1:$1,0),4),1,"")),INDIRECT("'Asset Returns'!"&amp;SUBSTITUTE(ADDRESS(1,MATCH($B23,'Asset Returns'!$1:$1,0),4),1,"")&amp;":"&amp;SUBSTITUTE(ADDRESS(1,MATCH($B23,'Asset Returns'!$1:$1,0),4),1,""))))</f>
        <v/>
      </c>
      <c r="X23" s="70" t="str">
        <f ca="1">IF(OR(X$8="",$B23=""),"",_xlfn.COVARIANCE.S(INDIRECT("'Asset Returns'!"&amp;SUBSTITUTE(ADDRESS(1,MATCH(X$8,'Asset Returns'!$1:$1,0),4),1,"")&amp;":"&amp;SUBSTITUTE(ADDRESS(1,MATCH(X$8,'Asset Returns'!$1:$1,0),4),1,"")),INDIRECT("'Asset Returns'!"&amp;SUBSTITUTE(ADDRESS(1,MATCH($B23,'Asset Returns'!$1:$1,0),4),1,"")&amp;":"&amp;SUBSTITUTE(ADDRESS(1,MATCH($B23,'Asset Returns'!$1:$1,0),4),1,""))))</f>
        <v/>
      </c>
      <c r="Y23" s="70" t="str">
        <f ca="1">IF(OR(Y$8="",$B23=""),"",_xlfn.COVARIANCE.S(INDIRECT("'Asset Returns'!"&amp;SUBSTITUTE(ADDRESS(1,MATCH(Y$8,'Asset Returns'!$1:$1,0),4),1,"")&amp;":"&amp;SUBSTITUTE(ADDRESS(1,MATCH(Y$8,'Asset Returns'!$1:$1,0),4),1,"")),INDIRECT("'Asset Returns'!"&amp;SUBSTITUTE(ADDRESS(1,MATCH($B23,'Asset Returns'!$1:$1,0),4),1,"")&amp;":"&amp;SUBSTITUTE(ADDRESS(1,MATCH($B23,'Asset Returns'!$1:$1,0),4),1,""))))</f>
        <v/>
      </c>
      <c r="Z23" s="70" t="str">
        <f ca="1">IF(OR(Z$8="",$B23=""),"",_xlfn.COVARIANCE.S(INDIRECT("'Asset Returns'!"&amp;SUBSTITUTE(ADDRESS(1,MATCH(Z$8,'Asset Returns'!$1:$1,0),4),1,"")&amp;":"&amp;SUBSTITUTE(ADDRESS(1,MATCH(Z$8,'Asset Returns'!$1:$1,0),4),1,"")),INDIRECT("'Asset Returns'!"&amp;SUBSTITUTE(ADDRESS(1,MATCH($B23,'Asset Returns'!$1:$1,0),4),1,"")&amp;":"&amp;SUBSTITUTE(ADDRESS(1,MATCH($B23,'Asset Returns'!$1:$1,0),4),1,""))))</f>
        <v/>
      </c>
      <c r="AA23" s="70" t="str">
        <f ca="1">IF(OR(AA$8="",$B23=""),"",_xlfn.COVARIANCE.S(INDIRECT("'Asset Returns'!"&amp;SUBSTITUTE(ADDRESS(1,MATCH(AA$8,'Asset Returns'!$1:$1,0),4),1,"")&amp;":"&amp;SUBSTITUTE(ADDRESS(1,MATCH(AA$8,'Asset Returns'!$1:$1,0),4),1,"")),INDIRECT("'Asset Returns'!"&amp;SUBSTITUTE(ADDRESS(1,MATCH($B23,'Asset Returns'!$1:$1,0),4),1,"")&amp;":"&amp;SUBSTITUTE(ADDRESS(1,MATCH($B23,'Asset Returns'!$1:$1,0),4),1,""))))</f>
        <v/>
      </c>
      <c r="AB23" s="96"/>
      <c r="AC23" s="48" t="str">
        <f t="shared" si="0"/>
        <v/>
      </c>
      <c r="AD23" s="4"/>
      <c r="AF23" s="4"/>
    </row>
    <row r="24" spans="1:39" x14ac:dyDescent="0.25">
      <c r="A24" s="47"/>
      <c r="B24" s="93"/>
      <c r="C24" s="69" t="str">
        <f ca="1">IF(OR(C$8="",$B24=""),"",_xlfn.COVARIANCE.S(INDIRECT("'Asset Returns'!"&amp;SUBSTITUTE(ADDRESS(1,MATCH(C$8,'Asset Returns'!$1:$1,0),4),1,"")&amp;":"&amp;SUBSTITUTE(ADDRESS(1,MATCH(C$8,'Asset Returns'!$1:$1,0),4),1,"")),INDIRECT("'Asset Returns'!"&amp;SUBSTITUTE(ADDRESS(1,MATCH($B24,'Asset Returns'!$1:$1,0),4),1,"")&amp;":"&amp;SUBSTITUTE(ADDRESS(1,MATCH($B24,'Asset Returns'!$1:$1,0),4),1,""))))</f>
        <v/>
      </c>
      <c r="D24" s="70" t="str">
        <f ca="1">IF(OR(D$8="",$B24=""),"",_xlfn.COVARIANCE.S(INDIRECT("'Asset Returns'!"&amp;SUBSTITUTE(ADDRESS(1,MATCH(D$8,'Asset Returns'!$1:$1,0),4),1,"")&amp;":"&amp;SUBSTITUTE(ADDRESS(1,MATCH(D$8,'Asset Returns'!$1:$1,0),4),1,"")),INDIRECT("'Asset Returns'!"&amp;SUBSTITUTE(ADDRESS(1,MATCH($B24,'Asset Returns'!$1:$1,0),4),1,"")&amp;":"&amp;SUBSTITUTE(ADDRESS(1,MATCH($B24,'Asset Returns'!$1:$1,0),4),1,""))))</f>
        <v/>
      </c>
      <c r="E24" s="70" t="str">
        <f ca="1">IF(OR(E$8="",$B24=""),"",_xlfn.COVARIANCE.S(INDIRECT("'Asset Returns'!"&amp;SUBSTITUTE(ADDRESS(1,MATCH(E$8,'Asset Returns'!$1:$1,0),4),1,"")&amp;":"&amp;SUBSTITUTE(ADDRESS(1,MATCH(E$8,'Asset Returns'!$1:$1,0),4),1,"")),INDIRECT("'Asset Returns'!"&amp;SUBSTITUTE(ADDRESS(1,MATCH($B24,'Asset Returns'!$1:$1,0),4),1,"")&amp;":"&amp;SUBSTITUTE(ADDRESS(1,MATCH($B24,'Asset Returns'!$1:$1,0),4),1,""))))</f>
        <v/>
      </c>
      <c r="F24" s="70" t="str">
        <f ca="1">IF(OR(F$8="",$B24=""),"",_xlfn.COVARIANCE.S(INDIRECT("'Asset Returns'!"&amp;SUBSTITUTE(ADDRESS(1,MATCH(F$8,'Asset Returns'!$1:$1,0),4),1,"")&amp;":"&amp;SUBSTITUTE(ADDRESS(1,MATCH(F$8,'Asset Returns'!$1:$1,0),4),1,"")),INDIRECT("'Asset Returns'!"&amp;SUBSTITUTE(ADDRESS(1,MATCH($B24,'Asset Returns'!$1:$1,0),4),1,"")&amp;":"&amp;SUBSTITUTE(ADDRESS(1,MATCH($B24,'Asset Returns'!$1:$1,0),4),1,""))))</f>
        <v/>
      </c>
      <c r="G24" s="70" t="str">
        <f ca="1">IF(OR(G$8="",$B24=""),"",_xlfn.COVARIANCE.S(INDIRECT("'Asset Returns'!"&amp;SUBSTITUTE(ADDRESS(1,MATCH(G$8,'Asset Returns'!$1:$1,0),4),1,"")&amp;":"&amp;SUBSTITUTE(ADDRESS(1,MATCH(G$8,'Asset Returns'!$1:$1,0),4),1,"")),INDIRECT("'Asset Returns'!"&amp;SUBSTITUTE(ADDRESS(1,MATCH($B24,'Asset Returns'!$1:$1,0),4),1,"")&amp;":"&amp;SUBSTITUTE(ADDRESS(1,MATCH($B24,'Asset Returns'!$1:$1,0),4),1,""))))</f>
        <v/>
      </c>
      <c r="H24" s="70" t="str">
        <f ca="1">IF(OR(H$8="",$B24=""),"",_xlfn.COVARIANCE.S(INDIRECT("'Asset Returns'!"&amp;SUBSTITUTE(ADDRESS(1,MATCH(H$8,'Asset Returns'!$1:$1,0),4),1,"")&amp;":"&amp;SUBSTITUTE(ADDRESS(1,MATCH(H$8,'Asset Returns'!$1:$1,0),4),1,"")),INDIRECT("'Asset Returns'!"&amp;SUBSTITUTE(ADDRESS(1,MATCH($B24,'Asset Returns'!$1:$1,0),4),1,"")&amp;":"&amp;SUBSTITUTE(ADDRESS(1,MATCH($B24,'Asset Returns'!$1:$1,0),4),1,""))))</f>
        <v/>
      </c>
      <c r="I24" s="70" t="str">
        <f ca="1">IF(OR(I$8="",$B24=""),"",_xlfn.COVARIANCE.S(INDIRECT("'Asset Returns'!"&amp;SUBSTITUTE(ADDRESS(1,MATCH(I$8,'Asset Returns'!$1:$1,0),4),1,"")&amp;":"&amp;SUBSTITUTE(ADDRESS(1,MATCH(I$8,'Asset Returns'!$1:$1,0),4),1,"")),INDIRECT("'Asset Returns'!"&amp;SUBSTITUTE(ADDRESS(1,MATCH($B24,'Asset Returns'!$1:$1,0),4),1,"")&amp;":"&amp;SUBSTITUTE(ADDRESS(1,MATCH($B24,'Asset Returns'!$1:$1,0),4),1,""))))</f>
        <v/>
      </c>
      <c r="J24" s="70" t="str">
        <f ca="1">IF(OR(J$8="",$B24=""),"",_xlfn.COVARIANCE.S(INDIRECT("'Asset Returns'!"&amp;SUBSTITUTE(ADDRESS(1,MATCH(J$8,'Asset Returns'!$1:$1,0),4),1,"")&amp;":"&amp;SUBSTITUTE(ADDRESS(1,MATCH(J$8,'Asset Returns'!$1:$1,0),4),1,"")),INDIRECT("'Asset Returns'!"&amp;SUBSTITUTE(ADDRESS(1,MATCH($B24,'Asset Returns'!$1:$1,0),4),1,"")&amp;":"&amp;SUBSTITUTE(ADDRESS(1,MATCH($B24,'Asset Returns'!$1:$1,0),4),1,""))))</f>
        <v/>
      </c>
      <c r="K24" s="70" t="str">
        <f ca="1">IF(OR(K$8="",$B24=""),"",_xlfn.COVARIANCE.S(INDIRECT("'Asset Returns'!"&amp;SUBSTITUTE(ADDRESS(1,MATCH(K$8,'Asset Returns'!$1:$1,0),4),1,"")&amp;":"&amp;SUBSTITUTE(ADDRESS(1,MATCH(K$8,'Asset Returns'!$1:$1,0),4),1,"")),INDIRECT("'Asset Returns'!"&amp;SUBSTITUTE(ADDRESS(1,MATCH($B24,'Asset Returns'!$1:$1,0),4),1,"")&amp;":"&amp;SUBSTITUTE(ADDRESS(1,MATCH($B24,'Asset Returns'!$1:$1,0),4),1,""))))</f>
        <v/>
      </c>
      <c r="L24" s="70" t="str">
        <f ca="1">IF(OR(L$8="",$B24=""),"",_xlfn.COVARIANCE.S(INDIRECT("'Asset Returns'!"&amp;SUBSTITUTE(ADDRESS(1,MATCH(L$8,'Asset Returns'!$1:$1,0),4),1,"")&amp;":"&amp;SUBSTITUTE(ADDRESS(1,MATCH(L$8,'Asset Returns'!$1:$1,0),4),1,"")),INDIRECT("'Asset Returns'!"&amp;SUBSTITUTE(ADDRESS(1,MATCH($B24,'Asset Returns'!$1:$1,0),4),1,"")&amp;":"&amp;SUBSTITUTE(ADDRESS(1,MATCH($B24,'Asset Returns'!$1:$1,0),4),1,""))))</f>
        <v/>
      </c>
      <c r="M24" s="70" t="str">
        <f ca="1">IF(OR(M$8="",$B24=""),"",_xlfn.COVARIANCE.S(INDIRECT("'Asset Returns'!"&amp;SUBSTITUTE(ADDRESS(1,MATCH(M$8,'Asset Returns'!$1:$1,0),4),1,"")&amp;":"&amp;SUBSTITUTE(ADDRESS(1,MATCH(M$8,'Asset Returns'!$1:$1,0),4),1,"")),INDIRECT("'Asset Returns'!"&amp;SUBSTITUTE(ADDRESS(1,MATCH($B24,'Asset Returns'!$1:$1,0),4),1,"")&amp;":"&amp;SUBSTITUTE(ADDRESS(1,MATCH($B24,'Asset Returns'!$1:$1,0),4),1,""))))</f>
        <v/>
      </c>
      <c r="N24" s="70" t="str">
        <f ca="1">IF(OR(N$8="",$B24=""),"",_xlfn.COVARIANCE.S(INDIRECT("'Asset Returns'!"&amp;SUBSTITUTE(ADDRESS(1,MATCH(N$8,'Asset Returns'!$1:$1,0),4),1,"")&amp;":"&amp;SUBSTITUTE(ADDRESS(1,MATCH(N$8,'Asset Returns'!$1:$1,0),4),1,"")),INDIRECT("'Asset Returns'!"&amp;SUBSTITUTE(ADDRESS(1,MATCH($B24,'Asset Returns'!$1:$1,0),4),1,"")&amp;":"&amp;SUBSTITUTE(ADDRESS(1,MATCH($B24,'Asset Returns'!$1:$1,0),4),1,""))))</f>
        <v/>
      </c>
      <c r="O24" s="70" t="str">
        <f ca="1">IF(OR(O$8="",$B24=""),"",_xlfn.COVARIANCE.S(INDIRECT("'Asset Returns'!"&amp;SUBSTITUTE(ADDRESS(1,MATCH(O$8,'Asset Returns'!$1:$1,0),4),1,"")&amp;":"&amp;SUBSTITUTE(ADDRESS(1,MATCH(O$8,'Asset Returns'!$1:$1,0),4),1,"")),INDIRECT("'Asset Returns'!"&amp;SUBSTITUTE(ADDRESS(1,MATCH($B24,'Asset Returns'!$1:$1,0),4),1,"")&amp;":"&amp;SUBSTITUTE(ADDRESS(1,MATCH($B24,'Asset Returns'!$1:$1,0),4),1,""))))</f>
        <v/>
      </c>
      <c r="P24" s="70" t="str">
        <f ca="1">IF(OR(P$8="",$B24=""),"",_xlfn.COVARIANCE.S(INDIRECT("'Asset Returns'!"&amp;SUBSTITUTE(ADDRESS(1,MATCH(P$8,'Asset Returns'!$1:$1,0),4),1,"")&amp;":"&amp;SUBSTITUTE(ADDRESS(1,MATCH(P$8,'Asset Returns'!$1:$1,0),4),1,"")),INDIRECT("'Asset Returns'!"&amp;SUBSTITUTE(ADDRESS(1,MATCH($B24,'Asset Returns'!$1:$1,0),4),1,"")&amp;":"&amp;SUBSTITUTE(ADDRESS(1,MATCH($B24,'Asset Returns'!$1:$1,0),4),1,""))))</f>
        <v/>
      </c>
      <c r="Q24" s="70" t="str">
        <f ca="1">IF(OR(Q$8="",$B24=""),"",_xlfn.COVARIANCE.S(INDIRECT("'Asset Returns'!"&amp;SUBSTITUTE(ADDRESS(1,MATCH(Q$8,'Asset Returns'!$1:$1,0),4),1,"")&amp;":"&amp;SUBSTITUTE(ADDRESS(1,MATCH(Q$8,'Asset Returns'!$1:$1,0),4),1,"")),INDIRECT("'Asset Returns'!"&amp;SUBSTITUTE(ADDRESS(1,MATCH($B24,'Asset Returns'!$1:$1,0),4),1,"")&amp;":"&amp;SUBSTITUTE(ADDRESS(1,MATCH($B24,'Asset Returns'!$1:$1,0),4),1,""))))</f>
        <v/>
      </c>
      <c r="R24" s="70" t="str">
        <f ca="1">IF(OR(R$8="",$B24=""),"",_xlfn.COVARIANCE.S(INDIRECT("'Asset Returns'!"&amp;SUBSTITUTE(ADDRESS(1,MATCH(R$8,'Asset Returns'!$1:$1,0),4),1,"")&amp;":"&amp;SUBSTITUTE(ADDRESS(1,MATCH(R$8,'Asset Returns'!$1:$1,0),4),1,"")),INDIRECT("'Asset Returns'!"&amp;SUBSTITUTE(ADDRESS(1,MATCH($B24,'Asset Returns'!$1:$1,0),4),1,"")&amp;":"&amp;SUBSTITUTE(ADDRESS(1,MATCH($B24,'Asset Returns'!$1:$1,0),4),1,""))))</f>
        <v/>
      </c>
      <c r="S24" s="70" t="str">
        <f ca="1">IF(OR(S$8="",$B24=""),"",_xlfn.COVARIANCE.S(INDIRECT("'Asset Returns'!"&amp;SUBSTITUTE(ADDRESS(1,MATCH(S$8,'Asset Returns'!$1:$1,0),4),1,"")&amp;":"&amp;SUBSTITUTE(ADDRESS(1,MATCH(S$8,'Asset Returns'!$1:$1,0),4),1,"")),INDIRECT("'Asset Returns'!"&amp;SUBSTITUTE(ADDRESS(1,MATCH($B24,'Asset Returns'!$1:$1,0),4),1,"")&amp;":"&amp;SUBSTITUTE(ADDRESS(1,MATCH($B24,'Asset Returns'!$1:$1,0),4),1,""))))</f>
        <v/>
      </c>
      <c r="T24" s="70" t="str">
        <f ca="1">IF(OR(T$8="",$B24=""),"",_xlfn.COVARIANCE.S(INDIRECT("'Asset Returns'!"&amp;SUBSTITUTE(ADDRESS(1,MATCH(T$8,'Asset Returns'!$1:$1,0),4),1,"")&amp;":"&amp;SUBSTITUTE(ADDRESS(1,MATCH(T$8,'Asset Returns'!$1:$1,0),4),1,"")),INDIRECT("'Asset Returns'!"&amp;SUBSTITUTE(ADDRESS(1,MATCH($B24,'Asset Returns'!$1:$1,0),4),1,"")&amp;":"&amp;SUBSTITUTE(ADDRESS(1,MATCH($B24,'Asset Returns'!$1:$1,0),4),1,""))))</f>
        <v/>
      </c>
      <c r="U24" s="70" t="str">
        <f ca="1">IF(OR(U$8="",$B24=""),"",_xlfn.COVARIANCE.S(INDIRECT("'Asset Returns'!"&amp;SUBSTITUTE(ADDRESS(1,MATCH(U$8,'Asset Returns'!$1:$1,0),4),1,"")&amp;":"&amp;SUBSTITUTE(ADDRESS(1,MATCH(U$8,'Asset Returns'!$1:$1,0),4),1,"")),INDIRECT("'Asset Returns'!"&amp;SUBSTITUTE(ADDRESS(1,MATCH($B24,'Asset Returns'!$1:$1,0),4),1,"")&amp;":"&amp;SUBSTITUTE(ADDRESS(1,MATCH($B24,'Asset Returns'!$1:$1,0),4),1,""))))</f>
        <v/>
      </c>
      <c r="V24" s="70" t="str">
        <f ca="1">IF(OR(V$8="",$B24=""),"",_xlfn.COVARIANCE.S(INDIRECT("'Asset Returns'!"&amp;SUBSTITUTE(ADDRESS(1,MATCH(V$8,'Asset Returns'!$1:$1,0),4),1,"")&amp;":"&amp;SUBSTITUTE(ADDRESS(1,MATCH(V$8,'Asset Returns'!$1:$1,0),4),1,"")),INDIRECT("'Asset Returns'!"&amp;SUBSTITUTE(ADDRESS(1,MATCH($B24,'Asset Returns'!$1:$1,0),4),1,"")&amp;":"&amp;SUBSTITUTE(ADDRESS(1,MATCH($B24,'Asset Returns'!$1:$1,0),4),1,""))))</f>
        <v/>
      </c>
      <c r="W24" s="70" t="str">
        <f ca="1">IF(OR(W$8="",$B24=""),"",_xlfn.COVARIANCE.S(INDIRECT("'Asset Returns'!"&amp;SUBSTITUTE(ADDRESS(1,MATCH(W$8,'Asset Returns'!$1:$1,0),4),1,"")&amp;":"&amp;SUBSTITUTE(ADDRESS(1,MATCH(W$8,'Asset Returns'!$1:$1,0),4),1,"")),INDIRECT("'Asset Returns'!"&amp;SUBSTITUTE(ADDRESS(1,MATCH($B24,'Asset Returns'!$1:$1,0),4),1,"")&amp;":"&amp;SUBSTITUTE(ADDRESS(1,MATCH($B24,'Asset Returns'!$1:$1,0),4),1,""))))</f>
        <v/>
      </c>
      <c r="X24" s="70" t="str">
        <f ca="1">IF(OR(X$8="",$B24=""),"",_xlfn.COVARIANCE.S(INDIRECT("'Asset Returns'!"&amp;SUBSTITUTE(ADDRESS(1,MATCH(X$8,'Asset Returns'!$1:$1,0),4),1,"")&amp;":"&amp;SUBSTITUTE(ADDRESS(1,MATCH(X$8,'Asset Returns'!$1:$1,0),4),1,"")),INDIRECT("'Asset Returns'!"&amp;SUBSTITUTE(ADDRESS(1,MATCH($B24,'Asset Returns'!$1:$1,0),4),1,"")&amp;":"&amp;SUBSTITUTE(ADDRESS(1,MATCH($B24,'Asset Returns'!$1:$1,0),4),1,""))))</f>
        <v/>
      </c>
      <c r="Y24" s="70" t="str">
        <f ca="1">IF(OR(Y$8="",$B24=""),"",_xlfn.COVARIANCE.S(INDIRECT("'Asset Returns'!"&amp;SUBSTITUTE(ADDRESS(1,MATCH(Y$8,'Asset Returns'!$1:$1,0),4),1,"")&amp;":"&amp;SUBSTITUTE(ADDRESS(1,MATCH(Y$8,'Asset Returns'!$1:$1,0),4),1,"")),INDIRECT("'Asset Returns'!"&amp;SUBSTITUTE(ADDRESS(1,MATCH($B24,'Asset Returns'!$1:$1,0),4),1,"")&amp;":"&amp;SUBSTITUTE(ADDRESS(1,MATCH($B24,'Asset Returns'!$1:$1,0),4),1,""))))</f>
        <v/>
      </c>
      <c r="Z24" s="70" t="str">
        <f ca="1">IF(OR(Z$8="",$B24=""),"",_xlfn.COVARIANCE.S(INDIRECT("'Asset Returns'!"&amp;SUBSTITUTE(ADDRESS(1,MATCH(Z$8,'Asset Returns'!$1:$1,0),4),1,"")&amp;":"&amp;SUBSTITUTE(ADDRESS(1,MATCH(Z$8,'Asset Returns'!$1:$1,0),4),1,"")),INDIRECT("'Asset Returns'!"&amp;SUBSTITUTE(ADDRESS(1,MATCH($B24,'Asset Returns'!$1:$1,0),4),1,"")&amp;":"&amp;SUBSTITUTE(ADDRESS(1,MATCH($B24,'Asset Returns'!$1:$1,0),4),1,""))))</f>
        <v/>
      </c>
      <c r="AA24" s="70" t="str">
        <f ca="1">IF(OR(AA$8="",$B24=""),"",_xlfn.COVARIANCE.S(INDIRECT("'Asset Returns'!"&amp;SUBSTITUTE(ADDRESS(1,MATCH(AA$8,'Asset Returns'!$1:$1,0),4),1,"")&amp;":"&amp;SUBSTITUTE(ADDRESS(1,MATCH(AA$8,'Asset Returns'!$1:$1,0),4),1,"")),INDIRECT("'Asset Returns'!"&amp;SUBSTITUTE(ADDRESS(1,MATCH($B24,'Asset Returns'!$1:$1,0),4),1,"")&amp;":"&amp;SUBSTITUTE(ADDRESS(1,MATCH($B24,'Asset Returns'!$1:$1,0),4),1,""))))</f>
        <v/>
      </c>
      <c r="AB24" s="96"/>
      <c r="AC24" s="48" t="str">
        <f t="shared" si="0"/>
        <v/>
      </c>
      <c r="AD24" s="4"/>
    </row>
    <row r="25" spans="1:39" x14ac:dyDescent="0.25">
      <c r="A25" s="47"/>
      <c r="B25" s="93"/>
      <c r="C25" s="69" t="str">
        <f ca="1">IF(OR(C$8="",$B25=""),"",_xlfn.COVARIANCE.S(INDIRECT("'Asset Returns'!"&amp;SUBSTITUTE(ADDRESS(1,MATCH(C$8,'Asset Returns'!$1:$1,0),4),1,"")&amp;":"&amp;SUBSTITUTE(ADDRESS(1,MATCH(C$8,'Asset Returns'!$1:$1,0),4),1,"")),INDIRECT("'Asset Returns'!"&amp;SUBSTITUTE(ADDRESS(1,MATCH($B25,'Asset Returns'!$1:$1,0),4),1,"")&amp;":"&amp;SUBSTITUTE(ADDRESS(1,MATCH($B25,'Asset Returns'!$1:$1,0),4),1,""))))</f>
        <v/>
      </c>
      <c r="D25" s="70" t="str">
        <f ca="1">IF(OR(D$8="",$B25=""),"",_xlfn.COVARIANCE.S(INDIRECT("'Asset Returns'!"&amp;SUBSTITUTE(ADDRESS(1,MATCH(D$8,'Asset Returns'!$1:$1,0),4),1,"")&amp;":"&amp;SUBSTITUTE(ADDRESS(1,MATCH(D$8,'Asset Returns'!$1:$1,0),4),1,"")),INDIRECT("'Asset Returns'!"&amp;SUBSTITUTE(ADDRESS(1,MATCH($B25,'Asset Returns'!$1:$1,0),4),1,"")&amp;":"&amp;SUBSTITUTE(ADDRESS(1,MATCH($B25,'Asset Returns'!$1:$1,0),4),1,""))))</f>
        <v/>
      </c>
      <c r="E25" s="70" t="str">
        <f ca="1">IF(OR(E$8="",$B25=""),"",_xlfn.COVARIANCE.S(INDIRECT("'Asset Returns'!"&amp;SUBSTITUTE(ADDRESS(1,MATCH(E$8,'Asset Returns'!$1:$1,0),4),1,"")&amp;":"&amp;SUBSTITUTE(ADDRESS(1,MATCH(E$8,'Asset Returns'!$1:$1,0),4),1,"")),INDIRECT("'Asset Returns'!"&amp;SUBSTITUTE(ADDRESS(1,MATCH($B25,'Asset Returns'!$1:$1,0),4),1,"")&amp;":"&amp;SUBSTITUTE(ADDRESS(1,MATCH($B25,'Asset Returns'!$1:$1,0),4),1,""))))</f>
        <v/>
      </c>
      <c r="F25" s="70" t="str">
        <f ca="1">IF(OR(F$8="",$B25=""),"",_xlfn.COVARIANCE.S(INDIRECT("'Asset Returns'!"&amp;SUBSTITUTE(ADDRESS(1,MATCH(F$8,'Asset Returns'!$1:$1,0),4),1,"")&amp;":"&amp;SUBSTITUTE(ADDRESS(1,MATCH(F$8,'Asset Returns'!$1:$1,0),4),1,"")),INDIRECT("'Asset Returns'!"&amp;SUBSTITUTE(ADDRESS(1,MATCH($B25,'Asset Returns'!$1:$1,0),4),1,"")&amp;":"&amp;SUBSTITUTE(ADDRESS(1,MATCH($B25,'Asset Returns'!$1:$1,0),4),1,""))))</f>
        <v/>
      </c>
      <c r="G25" s="70" t="str">
        <f ca="1">IF(OR(G$8="",$B25=""),"",_xlfn.COVARIANCE.S(INDIRECT("'Asset Returns'!"&amp;SUBSTITUTE(ADDRESS(1,MATCH(G$8,'Asset Returns'!$1:$1,0),4),1,"")&amp;":"&amp;SUBSTITUTE(ADDRESS(1,MATCH(G$8,'Asset Returns'!$1:$1,0),4),1,"")),INDIRECT("'Asset Returns'!"&amp;SUBSTITUTE(ADDRESS(1,MATCH($B25,'Asset Returns'!$1:$1,0),4),1,"")&amp;":"&amp;SUBSTITUTE(ADDRESS(1,MATCH($B25,'Asset Returns'!$1:$1,0),4),1,""))))</f>
        <v/>
      </c>
      <c r="H25" s="70" t="str">
        <f ca="1">IF(OR(H$8="",$B25=""),"",_xlfn.COVARIANCE.S(INDIRECT("'Asset Returns'!"&amp;SUBSTITUTE(ADDRESS(1,MATCH(H$8,'Asset Returns'!$1:$1,0),4),1,"")&amp;":"&amp;SUBSTITUTE(ADDRESS(1,MATCH(H$8,'Asset Returns'!$1:$1,0),4),1,"")),INDIRECT("'Asset Returns'!"&amp;SUBSTITUTE(ADDRESS(1,MATCH($B25,'Asset Returns'!$1:$1,0),4),1,"")&amp;":"&amp;SUBSTITUTE(ADDRESS(1,MATCH($B25,'Asset Returns'!$1:$1,0),4),1,""))))</f>
        <v/>
      </c>
      <c r="I25" s="70" t="str">
        <f ca="1">IF(OR(I$8="",$B25=""),"",_xlfn.COVARIANCE.S(INDIRECT("'Asset Returns'!"&amp;SUBSTITUTE(ADDRESS(1,MATCH(I$8,'Asset Returns'!$1:$1,0),4),1,"")&amp;":"&amp;SUBSTITUTE(ADDRESS(1,MATCH(I$8,'Asset Returns'!$1:$1,0),4),1,"")),INDIRECT("'Asset Returns'!"&amp;SUBSTITUTE(ADDRESS(1,MATCH($B25,'Asset Returns'!$1:$1,0),4),1,"")&amp;":"&amp;SUBSTITUTE(ADDRESS(1,MATCH($B25,'Asset Returns'!$1:$1,0),4),1,""))))</f>
        <v/>
      </c>
      <c r="J25" s="70" t="str">
        <f ca="1">IF(OR(J$8="",$B25=""),"",_xlfn.COVARIANCE.S(INDIRECT("'Asset Returns'!"&amp;SUBSTITUTE(ADDRESS(1,MATCH(J$8,'Asset Returns'!$1:$1,0),4),1,"")&amp;":"&amp;SUBSTITUTE(ADDRESS(1,MATCH(J$8,'Asset Returns'!$1:$1,0),4),1,"")),INDIRECT("'Asset Returns'!"&amp;SUBSTITUTE(ADDRESS(1,MATCH($B25,'Asset Returns'!$1:$1,0),4),1,"")&amp;":"&amp;SUBSTITUTE(ADDRESS(1,MATCH($B25,'Asset Returns'!$1:$1,0),4),1,""))))</f>
        <v/>
      </c>
      <c r="K25" s="70" t="str">
        <f ca="1">IF(OR(K$8="",$B25=""),"",_xlfn.COVARIANCE.S(INDIRECT("'Asset Returns'!"&amp;SUBSTITUTE(ADDRESS(1,MATCH(K$8,'Asset Returns'!$1:$1,0),4),1,"")&amp;":"&amp;SUBSTITUTE(ADDRESS(1,MATCH(K$8,'Asset Returns'!$1:$1,0),4),1,"")),INDIRECT("'Asset Returns'!"&amp;SUBSTITUTE(ADDRESS(1,MATCH($B25,'Asset Returns'!$1:$1,0),4),1,"")&amp;":"&amp;SUBSTITUTE(ADDRESS(1,MATCH($B25,'Asset Returns'!$1:$1,0),4),1,""))))</f>
        <v/>
      </c>
      <c r="L25" s="70" t="str">
        <f ca="1">IF(OR(L$8="",$B25=""),"",_xlfn.COVARIANCE.S(INDIRECT("'Asset Returns'!"&amp;SUBSTITUTE(ADDRESS(1,MATCH(L$8,'Asset Returns'!$1:$1,0),4),1,"")&amp;":"&amp;SUBSTITUTE(ADDRESS(1,MATCH(L$8,'Asset Returns'!$1:$1,0),4),1,"")),INDIRECT("'Asset Returns'!"&amp;SUBSTITUTE(ADDRESS(1,MATCH($B25,'Asset Returns'!$1:$1,0),4),1,"")&amp;":"&amp;SUBSTITUTE(ADDRESS(1,MATCH($B25,'Asset Returns'!$1:$1,0),4),1,""))))</f>
        <v/>
      </c>
      <c r="M25" s="70" t="str">
        <f ca="1">IF(OR(M$8="",$B25=""),"",_xlfn.COVARIANCE.S(INDIRECT("'Asset Returns'!"&amp;SUBSTITUTE(ADDRESS(1,MATCH(M$8,'Asset Returns'!$1:$1,0),4),1,"")&amp;":"&amp;SUBSTITUTE(ADDRESS(1,MATCH(M$8,'Asset Returns'!$1:$1,0),4),1,"")),INDIRECT("'Asset Returns'!"&amp;SUBSTITUTE(ADDRESS(1,MATCH($B25,'Asset Returns'!$1:$1,0),4),1,"")&amp;":"&amp;SUBSTITUTE(ADDRESS(1,MATCH($B25,'Asset Returns'!$1:$1,0),4),1,""))))</f>
        <v/>
      </c>
      <c r="N25" s="70" t="str">
        <f ca="1">IF(OR(N$8="",$B25=""),"",_xlfn.COVARIANCE.S(INDIRECT("'Asset Returns'!"&amp;SUBSTITUTE(ADDRESS(1,MATCH(N$8,'Asset Returns'!$1:$1,0),4),1,"")&amp;":"&amp;SUBSTITUTE(ADDRESS(1,MATCH(N$8,'Asset Returns'!$1:$1,0),4),1,"")),INDIRECT("'Asset Returns'!"&amp;SUBSTITUTE(ADDRESS(1,MATCH($B25,'Asset Returns'!$1:$1,0),4),1,"")&amp;":"&amp;SUBSTITUTE(ADDRESS(1,MATCH($B25,'Asset Returns'!$1:$1,0),4),1,""))))</f>
        <v/>
      </c>
      <c r="O25" s="70" t="str">
        <f ca="1">IF(OR(O$8="",$B25=""),"",_xlfn.COVARIANCE.S(INDIRECT("'Asset Returns'!"&amp;SUBSTITUTE(ADDRESS(1,MATCH(O$8,'Asset Returns'!$1:$1,0),4),1,"")&amp;":"&amp;SUBSTITUTE(ADDRESS(1,MATCH(O$8,'Asset Returns'!$1:$1,0),4),1,"")),INDIRECT("'Asset Returns'!"&amp;SUBSTITUTE(ADDRESS(1,MATCH($B25,'Asset Returns'!$1:$1,0),4),1,"")&amp;":"&amp;SUBSTITUTE(ADDRESS(1,MATCH($B25,'Asset Returns'!$1:$1,0),4),1,""))))</f>
        <v/>
      </c>
      <c r="P25" s="70" t="str">
        <f ca="1">IF(OR(P$8="",$B25=""),"",_xlfn.COVARIANCE.S(INDIRECT("'Asset Returns'!"&amp;SUBSTITUTE(ADDRESS(1,MATCH(P$8,'Asset Returns'!$1:$1,0),4),1,"")&amp;":"&amp;SUBSTITUTE(ADDRESS(1,MATCH(P$8,'Asset Returns'!$1:$1,0),4),1,"")),INDIRECT("'Asset Returns'!"&amp;SUBSTITUTE(ADDRESS(1,MATCH($B25,'Asset Returns'!$1:$1,0),4),1,"")&amp;":"&amp;SUBSTITUTE(ADDRESS(1,MATCH($B25,'Asset Returns'!$1:$1,0),4),1,""))))</f>
        <v/>
      </c>
      <c r="Q25" s="70" t="str">
        <f ca="1">IF(OR(Q$8="",$B25=""),"",_xlfn.COVARIANCE.S(INDIRECT("'Asset Returns'!"&amp;SUBSTITUTE(ADDRESS(1,MATCH(Q$8,'Asset Returns'!$1:$1,0),4),1,"")&amp;":"&amp;SUBSTITUTE(ADDRESS(1,MATCH(Q$8,'Asset Returns'!$1:$1,0),4),1,"")),INDIRECT("'Asset Returns'!"&amp;SUBSTITUTE(ADDRESS(1,MATCH($B25,'Asset Returns'!$1:$1,0),4),1,"")&amp;":"&amp;SUBSTITUTE(ADDRESS(1,MATCH($B25,'Asset Returns'!$1:$1,0),4),1,""))))</f>
        <v/>
      </c>
      <c r="R25" s="70" t="str">
        <f ca="1">IF(OR(R$8="",$B25=""),"",_xlfn.COVARIANCE.S(INDIRECT("'Asset Returns'!"&amp;SUBSTITUTE(ADDRESS(1,MATCH(R$8,'Asset Returns'!$1:$1,0),4),1,"")&amp;":"&amp;SUBSTITUTE(ADDRESS(1,MATCH(R$8,'Asset Returns'!$1:$1,0),4),1,"")),INDIRECT("'Asset Returns'!"&amp;SUBSTITUTE(ADDRESS(1,MATCH($B25,'Asset Returns'!$1:$1,0),4),1,"")&amp;":"&amp;SUBSTITUTE(ADDRESS(1,MATCH($B25,'Asset Returns'!$1:$1,0),4),1,""))))</f>
        <v/>
      </c>
      <c r="S25" s="70" t="str">
        <f ca="1">IF(OR(S$8="",$B25=""),"",_xlfn.COVARIANCE.S(INDIRECT("'Asset Returns'!"&amp;SUBSTITUTE(ADDRESS(1,MATCH(S$8,'Asset Returns'!$1:$1,0),4),1,"")&amp;":"&amp;SUBSTITUTE(ADDRESS(1,MATCH(S$8,'Asset Returns'!$1:$1,0),4),1,"")),INDIRECT("'Asset Returns'!"&amp;SUBSTITUTE(ADDRESS(1,MATCH($B25,'Asset Returns'!$1:$1,0),4),1,"")&amp;":"&amp;SUBSTITUTE(ADDRESS(1,MATCH($B25,'Asset Returns'!$1:$1,0),4),1,""))))</f>
        <v/>
      </c>
      <c r="T25" s="70" t="str">
        <f ca="1">IF(OR(T$8="",$B25=""),"",_xlfn.COVARIANCE.S(INDIRECT("'Asset Returns'!"&amp;SUBSTITUTE(ADDRESS(1,MATCH(T$8,'Asset Returns'!$1:$1,0),4),1,"")&amp;":"&amp;SUBSTITUTE(ADDRESS(1,MATCH(T$8,'Asset Returns'!$1:$1,0),4),1,"")),INDIRECT("'Asset Returns'!"&amp;SUBSTITUTE(ADDRESS(1,MATCH($B25,'Asset Returns'!$1:$1,0),4),1,"")&amp;":"&amp;SUBSTITUTE(ADDRESS(1,MATCH($B25,'Asset Returns'!$1:$1,0),4),1,""))))</f>
        <v/>
      </c>
      <c r="U25" s="70" t="str">
        <f ca="1">IF(OR(U$8="",$B25=""),"",_xlfn.COVARIANCE.S(INDIRECT("'Asset Returns'!"&amp;SUBSTITUTE(ADDRESS(1,MATCH(U$8,'Asset Returns'!$1:$1,0),4),1,"")&amp;":"&amp;SUBSTITUTE(ADDRESS(1,MATCH(U$8,'Asset Returns'!$1:$1,0),4),1,"")),INDIRECT("'Asset Returns'!"&amp;SUBSTITUTE(ADDRESS(1,MATCH($B25,'Asset Returns'!$1:$1,0),4),1,"")&amp;":"&amp;SUBSTITUTE(ADDRESS(1,MATCH($B25,'Asset Returns'!$1:$1,0),4),1,""))))</f>
        <v/>
      </c>
      <c r="V25" s="70" t="str">
        <f ca="1">IF(OR(V$8="",$B25=""),"",_xlfn.COVARIANCE.S(INDIRECT("'Asset Returns'!"&amp;SUBSTITUTE(ADDRESS(1,MATCH(V$8,'Asset Returns'!$1:$1,0),4),1,"")&amp;":"&amp;SUBSTITUTE(ADDRESS(1,MATCH(V$8,'Asset Returns'!$1:$1,0),4),1,"")),INDIRECT("'Asset Returns'!"&amp;SUBSTITUTE(ADDRESS(1,MATCH($B25,'Asset Returns'!$1:$1,0),4),1,"")&amp;":"&amp;SUBSTITUTE(ADDRESS(1,MATCH($B25,'Asset Returns'!$1:$1,0),4),1,""))))</f>
        <v/>
      </c>
      <c r="W25" s="70" t="str">
        <f ca="1">IF(OR(W$8="",$B25=""),"",_xlfn.COVARIANCE.S(INDIRECT("'Asset Returns'!"&amp;SUBSTITUTE(ADDRESS(1,MATCH(W$8,'Asset Returns'!$1:$1,0),4),1,"")&amp;":"&amp;SUBSTITUTE(ADDRESS(1,MATCH(W$8,'Asset Returns'!$1:$1,0),4),1,"")),INDIRECT("'Asset Returns'!"&amp;SUBSTITUTE(ADDRESS(1,MATCH($B25,'Asset Returns'!$1:$1,0),4),1,"")&amp;":"&amp;SUBSTITUTE(ADDRESS(1,MATCH($B25,'Asset Returns'!$1:$1,0),4),1,""))))</f>
        <v/>
      </c>
      <c r="X25" s="70" t="str">
        <f ca="1">IF(OR(X$8="",$B25=""),"",_xlfn.COVARIANCE.S(INDIRECT("'Asset Returns'!"&amp;SUBSTITUTE(ADDRESS(1,MATCH(X$8,'Asset Returns'!$1:$1,0),4),1,"")&amp;":"&amp;SUBSTITUTE(ADDRESS(1,MATCH(X$8,'Asset Returns'!$1:$1,0),4),1,"")),INDIRECT("'Asset Returns'!"&amp;SUBSTITUTE(ADDRESS(1,MATCH($B25,'Asset Returns'!$1:$1,0),4),1,"")&amp;":"&amp;SUBSTITUTE(ADDRESS(1,MATCH($B25,'Asset Returns'!$1:$1,0),4),1,""))))</f>
        <v/>
      </c>
      <c r="Y25" s="70" t="str">
        <f ca="1">IF(OR(Y$8="",$B25=""),"",_xlfn.COVARIANCE.S(INDIRECT("'Asset Returns'!"&amp;SUBSTITUTE(ADDRESS(1,MATCH(Y$8,'Asset Returns'!$1:$1,0),4),1,"")&amp;":"&amp;SUBSTITUTE(ADDRESS(1,MATCH(Y$8,'Asset Returns'!$1:$1,0),4),1,"")),INDIRECT("'Asset Returns'!"&amp;SUBSTITUTE(ADDRESS(1,MATCH($B25,'Asset Returns'!$1:$1,0),4),1,"")&amp;":"&amp;SUBSTITUTE(ADDRESS(1,MATCH($B25,'Asset Returns'!$1:$1,0),4),1,""))))</f>
        <v/>
      </c>
      <c r="Z25" s="70" t="str">
        <f ca="1">IF(OR(Z$8="",$B25=""),"",_xlfn.COVARIANCE.S(INDIRECT("'Asset Returns'!"&amp;SUBSTITUTE(ADDRESS(1,MATCH(Z$8,'Asset Returns'!$1:$1,0),4),1,"")&amp;":"&amp;SUBSTITUTE(ADDRESS(1,MATCH(Z$8,'Asset Returns'!$1:$1,0),4),1,"")),INDIRECT("'Asset Returns'!"&amp;SUBSTITUTE(ADDRESS(1,MATCH($B25,'Asset Returns'!$1:$1,0),4),1,"")&amp;":"&amp;SUBSTITUTE(ADDRESS(1,MATCH($B25,'Asset Returns'!$1:$1,0),4),1,""))))</f>
        <v/>
      </c>
      <c r="AA25" s="70" t="str">
        <f ca="1">IF(OR(AA$8="",$B25=""),"",_xlfn.COVARIANCE.S(INDIRECT("'Asset Returns'!"&amp;SUBSTITUTE(ADDRESS(1,MATCH(AA$8,'Asset Returns'!$1:$1,0),4),1,"")&amp;":"&amp;SUBSTITUTE(ADDRESS(1,MATCH(AA$8,'Asset Returns'!$1:$1,0),4),1,"")),INDIRECT("'Asset Returns'!"&amp;SUBSTITUTE(ADDRESS(1,MATCH($B25,'Asset Returns'!$1:$1,0),4),1,"")&amp;":"&amp;SUBSTITUTE(ADDRESS(1,MATCH($B25,'Asset Returns'!$1:$1,0),4),1,""))))</f>
        <v/>
      </c>
      <c r="AB25" s="96"/>
      <c r="AC25" s="48" t="str">
        <f t="shared" si="0"/>
        <v/>
      </c>
      <c r="AD25" s="4"/>
    </row>
    <row r="26" spans="1:39" x14ac:dyDescent="0.25">
      <c r="A26" s="47"/>
      <c r="B26" s="93"/>
      <c r="C26" s="69" t="str">
        <f ca="1">IF(OR(C$8="",$B26=""),"",_xlfn.COVARIANCE.S(INDIRECT("'Asset Returns'!"&amp;SUBSTITUTE(ADDRESS(1,MATCH(C$8,'Asset Returns'!$1:$1,0),4),1,"")&amp;":"&amp;SUBSTITUTE(ADDRESS(1,MATCH(C$8,'Asset Returns'!$1:$1,0),4),1,"")),INDIRECT("'Asset Returns'!"&amp;SUBSTITUTE(ADDRESS(1,MATCH($B26,'Asset Returns'!$1:$1,0),4),1,"")&amp;":"&amp;SUBSTITUTE(ADDRESS(1,MATCH($B26,'Asset Returns'!$1:$1,0),4),1,""))))</f>
        <v/>
      </c>
      <c r="D26" s="70" t="str">
        <f ca="1">IF(OR(D$8="",$B26=""),"",_xlfn.COVARIANCE.S(INDIRECT("'Asset Returns'!"&amp;SUBSTITUTE(ADDRESS(1,MATCH(D$8,'Asset Returns'!$1:$1,0),4),1,"")&amp;":"&amp;SUBSTITUTE(ADDRESS(1,MATCH(D$8,'Asset Returns'!$1:$1,0),4),1,"")),INDIRECT("'Asset Returns'!"&amp;SUBSTITUTE(ADDRESS(1,MATCH($B26,'Asset Returns'!$1:$1,0),4),1,"")&amp;":"&amp;SUBSTITUTE(ADDRESS(1,MATCH($B26,'Asset Returns'!$1:$1,0),4),1,""))))</f>
        <v/>
      </c>
      <c r="E26" s="70" t="str">
        <f ca="1">IF(OR(E$8="",$B26=""),"",_xlfn.COVARIANCE.S(INDIRECT("'Asset Returns'!"&amp;SUBSTITUTE(ADDRESS(1,MATCH(E$8,'Asset Returns'!$1:$1,0),4),1,"")&amp;":"&amp;SUBSTITUTE(ADDRESS(1,MATCH(E$8,'Asset Returns'!$1:$1,0),4),1,"")),INDIRECT("'Asset Returns'!"&amp;SUBSTITUTE(ADDRESS(1,MATCH($B26,'Asset Returns'!$1:$1,0),4),1,"")&amp;":"&amp;SUBSTITUTE(ADDRESS(1,MATCH($B26,'Asset Returns'!$1:$1,0),4),1,""))))</f>
        <v/>
      </c>
      <c r="F26" s="70" t="str">
        <f ca="1">IF(OR(F$8="",$B26=""),"",_xlfn.COVARIANCE.S(INDIRECT("'Asset Returns'!"&amp;SUBSTITUTE(ADDRESS(1,MATCH(F$8,'Asset Returns'!$1:$1,0),4),1,"")&amp;":"&amp;SUBSTITUTE(ADDRESS(1,MATCH(F$8,'Asset Returns'!$1:$1,0),4),1,"")),INDIRECT("'Asset Returns'!"&amp;SUBSTITUTE(ADDRESS(1,MATCH($B26,'Asset Returns'!$1:$1,0),4),1,"")&amp;":"&amp;SUBSTITUTE(ADDRESS(1,MATCH($B26,'Asset Returns'!$1:$1,0),4),1,""))))</f>
        <v/>
      </c>
      <c r="G26" s="70" t="str">
        <f ca="1">IF(OR(G$8="",$B26=""),"",_xlfn.COVARIANCE.S(INDIRECT("'Asset Returns'!"&amp;SUBSTITUTE(ADDRESS(1,MATCH(G$8,'Asset Returns'!$1:$1,0),4),1,"")&amp;":"&amp;SUBSTITUTE(ADDRESS(1,MATCH(G$8,'Asset Returns'!$1:$1,0),4),1,"")),INDIRECT("'Asset Returns'!"&amp;SUBSTITUTE(ADDRESS(1,MATCH($B26,'Asset Returns'!$1:$1,0),4),1,"")&amp;":"&amp;SUBSTITUTE(ADDRESS(1,MATCH($B26,'Asset Returns'!$1:$1,0),4),1,""))))</f>
        <v/>
      </c>
      <c r="H26" s="70" t="str">
        <f ca="1">IF(OR(H$8="",$B26=""),"",_xlfn.COVARIANCE.S(INDIRECT("'Asset Returns'!"&amp;SUBSTITUTE(ADDRESS(1,MATCH(H$8,'Asset Returns'!$1:$1,0),4),1,"")&amp;":"&amp;SUBSTITUTE(ADDRESS(1,MATCH(H$8,'Asset Returns'!$1:$1,0),4),1,"")),INDIRECT("'Asset Returns'!"&amp;SUBSTITUTE(ADDRESS(1,MATCH($B26,'Asset Returns'!$1:$1,0),4),1,"")&amp;":"&amp;SUBSTITUTE(ADDRESS(1,MATCH($B26,'Asset Returns'!$1:$1,0),4),1,""))))</f>
        <v/>
      </c>
      <c r="I26" s="70" t="str">
        <f ca="1">IF(OR(I$8="",$B26=""),"",_xlfn.COVARIANCE.S(INDIRECT("'Asset Returns'!"&amp;SUBSTITUTE(ADDRESS(1,MATCH(I$8,'Asset Returns'!$1:$1,0),4),1,"")&amp;":"&amp;SUBSTITUTE(ADDRESS(1,MATCH(I$8,'Asset Returns'!$1:$1,0),4),1,"")),INDIRECT("'Asset Returns'!"&amp;SUBSTITUTE(ADDRESS(1,MATCH($B26,'Asset Returns'!$1:$1,0),4),1,"")&amp;":"&amp;SUBSTITUTE(ADDRESS(1,MATCH($B26,'Asset Returns'!$1:$1,0),4),1,""))))</f>
        <v/>
      </c>
      <c r="J26" s="70" t="str">
        <f ca="1">IF(OR(J$8="",$B26=""),"",_xlfn.COVARIANCE.S(INDIRECT("'Asset Returns'!"&amp;SUBSTITUTE(ADDRESS(1,MATCH(J$8,'Asset Returns'!$1:$1,0),4),1,"")&amp;":"&amp;SUBSTITUTE(ADDRESS(1,MATCH(J$8,'Asset Returns'!$1:$1,0),4),1,"")),INDIRECT("'Asset Returns'!"&amp;SUBSTITUTE(ADDRESS(1,MATCH($B26,'Asset Returns'!$1:$1,0),4),1,"")&amp;":"&amp;SUBSTITUTE(ADDRESS(1,MATCH($B26,'Asset Returns'!$1:$1,0),4),1,""))))</f>
        <v/>
      </c>
      <c r="K26" s="70" t="str">
        <f ca="1">IF(OR(K$8="",$B26=""),"",_xlfn.COVARIANCE.S(INDIRECT("'Asset Returns'!"&amp;SUBSTITUTE(ADDRESS(1,MATCH(K$8,'Asset Returns'!$1:$1,0),4),1,"")&amp;":"&amp;SUBSTITUTE(ADDRESS(1,MATCH(K$8,'Asset Returns'!$1:$1,0),4),1,"")),INDIRECT("'Asset Returns'!"&amp;SUBSTITUTE(ADDRESS(1,MATCH($B26,'Asset Returns'!$1:$1,0),4),1,"")&amp;":"&amp;SUBSTITUTE(ADDRESS(1,MATCH($B26,'Asset Returns'!$1:$1,0),4),1,""))))</f>
        <v/>
      </c>
      <c r="L26" s="70" t="str">
        <f ca="1">IF(OR(L$8="",$B26=""),"",_xlfn.COVARIANCE.S(INDIRECT("'Asset Returns'!"&amp;SUBSTITUTE(ADDRESS(1,MATCH(L$8,'Asset Returns'!$1:$1,0),4),1,"")&amp;":"&amp;SUBSTITUTE(ADDRESS(1,MATCH(L$8,'Asset Returns'!$1:$1,0),4),1,"")),INDIRECT("'Asset Returns'!"&amp;SUBSTITUTE(ADDRESS(1,MATCH($B26,'Asset Returns'!$1:$1,0),4),1,"")&amp;":"&amp;SUBSTITUTE(ADDRESS(1,MATCH($B26,'Asset Returns'!$1:$1,0),4),1,""))))</f>
        <v/>
      </c>
      <c r="M26" s="70" t="str">
        <f ca="1">IF(OR(M$8="",$B26=""),"",_xlfn.COVARIANCE.S(INDIRECT("'Asset Returns'!"&amp;SUBSTITUTE(ADDRESS(1,MATCH(M$8,'Asset Returns'!$1:$1,0),4),1,"")&amp;":"&amp;SUBSTITUTE(ADDRESS(1,MATCH(M$8,'Asset Returns'!$1:$1,0),4),1,"")),INDIRECT("'Asset Returns'!"&amp;SUBSTITUTE(ADDRESS(1,MATCH($B26,'Asset Returns'!$1:$1,0),4),1,"")&amp;":"&amp;SUBSTITUTE(ADDRESS(1,MATCH($B26,'Asset Returns'!$1:$1,0),4),1,""))))</f>
        <v/>
      </c>
      <c r="N26" s="70" t="str">
        <f ca="1">IF(OR(N$8="",$B26=""),"",_xlfn.COVARIANCE.S(INDIRECT("'Asset Returns'!"&amp;SUBSTITUTE(ADDRESS(1,MATCH(N$8,'Asset Returns'!$1:$1,0),4),1,"")&amp;":"&amp;SUBSTITUTE(ADDRESS(1,MATCH(N$8,'Asset Returns'!$1:$1,0),4),1,"")),INDIRECT("'Asset Returns'!"&amp;SUBSTITUTE(ADDRESS(1,MATCH($B26,'Asset Returns'!$1:$1,0),4),1,"")&amp;":"&amp;SUBSTITUTE(ADDRESS(1,MATCH($B26,'Asset Returns'!$1:$1,0),4),1,""))))</f>
        <v/>
      </c>
      <c r="O26" s="70" t="str">
        <f ca="1">IF(OR(O$8="",$B26=""),"",_xlfn.COVARIANCE.S(INDIRECT("'Asset Returns'!"&amp;SUBSTITUTE(ADDRESS(1,MATCH(O$8,'Asset Returns'!$1:$1,0),4),1,"")&amp;":"&amp;SUBSTITUTE(ADDRESS(1,MATCH(O$8,'Asset Returns'!$1:$1,0),4),1,"")),INDIRECT("'Asset Returns'!"&amp;SUBSTITUTE(ADDRESS(1,MATCH($B26,'Asset Returns'!$1:$1,0),4),1,"")&amp;":"&amp;SUBSTITUTE(ADDRESS(1,MATCH($B26,'Asset Returns'!$1:$1,0),4),1,""))))</f>
        <v/>
      </c>
      <c r="P26" s="70" t="str">
        <f ca="1">IF(OR(P$8="",$B26=""),"",_xlfn.COVARIANCE.S(INDIRECT("'Asset Returns'!"&amp;SUBSTITUTE(ADDRESS(1,MATCH(P$8,'Asset Returns'!$1:$1,0),4),1,"")&amp;":"&amp;SUBSTITUTE(ADDRESS(1,MATCH(P$8,'Asset Returns'!$1:$1,0),4),1,"")),INDIRECT("'Asset Returns'!"&amp;SUBSTITUTE(ADDRESS(1,MATCH($B26,'Asset Returns'!$1:$1,0),4),1,"")&amp;":"&amp;SUBSTITUTE(ADDRESS(1,MATCH($B26,'Asset Returns'!$1:$1,0),4),1,""))))</f>
        <v/>
      </c>
      <c r="Q26" s="70" t="str">
        <f ca="1">IF(OR(Q$8="",$B26=""),"",_xlfn.COVARIANCE.S(INDIRECT("'Asset Returns'!"&amp;SUBSTITUTE(ADDRESS(1,MATCH(Q$8,'Asset Returns'!$1:$1,0),4),1,"")&amp;":"&amp;SUBSTITUTE(ADDRESS(1,MATCH(Q$8,'Asset Returns'!$1:$1,0),4),1,"")),INDIRECT("'Asset Returns'!"&amp;SUBSTITUTE(ADDRESS(1,MATCH($B26,'Asset Returns'!$1:$1,0),4),1,"")&amp;":"&amp;SUBSTITUTE(ADDRESS(1,MATCH($B26,'Asset Returns'!$1:$1,0),4),1,""))))</f>
        <v/>
      </c>
      <c r="R26" s="70" t="str">
        <f ca="1">IF(OR(R$8="",$B26=""),"",_xlfn.COVARIANCE.S(INDIRECT("'Asset Returns'!"&amp;SUBSTITUTE(ADDRESS(1,MATCH(R$8,'Asset Returns'!$1:$1,0),4),1,"")&amp;":"&amp;SUBSTITUTE(ADDRESS(1,MATCH(R$8,'Asset Returns'!$1:$1,0),4),1,"")),INDIRECT("'Asset Returns'!"&amp;SUBSTITUTE(ADDRESS(1,MATCH($B26,'Asset Returns'!$1:$1,0),4),1,"")&amp;":"&amp;SUBSTITUTE(ADDRESS(1,MATCH($B26,'Asset Returns'!$1:$1,0),4),1,""))))</f>
        <v/>
      </c>
      <c r="S26" s="70" t="str">
        <f ca="1">IF(OR(S$8="",$B26=""),"",_xlfn.COVARIANCE.S(INDIRECT("'Asset Returns'!"&amp;SUBSTITUTE(ADDRESS(1,MATCH(S$8,'Asset Returns'!$1:$1,0),4),1,"")&amp;":"&amp;SUBSTITUTE(ADDRESS(1,MATCH(S$8,'Asset Returns'!$1:$1,0),4),1,"")),INDIRECT("'Asset Returns'!"&amp;SUBSTITUTE(ADDRESS(1,MATCH($B26,'Asset Returns'!$1:$1,0),4),1,"")&amp;":"&amp;SUBSTITUTE(ADDRESS(1,MATCH($B26,'Asset Returns'!$1:$1,0),4),1,""))))</f>
        <v/>
      </c>
      <c r="T26" s="70" t="str">
        <f ca="1">IF(OR(T$8="",$B26=""),"",_xlfn.COVARIANCE.S(INDIRECT("'Asset Returns'!"&amp;SUBSTITUTE(ADDRESS(1,MATCH(T$8,'Asset Returns'!$1:$1,0),4),1,"")&amp;":"&amp;SUBSTITUTE(ADDRESS(1,MATCH(T$8,'Asset Returns'!$1:$1,0),4),1,"")),INDIRECT("'Asset Returns'!"&amp;SUBSTITUTE(ADDRESS(1,MATCH($B26,'Asset Returns'!$1:$1,0),4),1,"")&amp;":"&amp;SUBSTITUTE(ADDRESS(1,MATCH($B26,'Asset Returns'!$1:$1,0),4),1,""))))</f>
        <v/>
      </c>
      <c r="U26" s="70" t="str">
        <f ca="1">IF(OR(U$8="",$B26=""),"",_xlfn.COVARIANCE.S(INDIRECT("'Asset Returns'!"&amp;SUBSTITUTE(ADDRESS(1,MATCH(U$8,'Asset Returns'!$1:$1,0),4),1,"")&amp;":"&amp;SUBSTITUTE(ADDRESS(1,MATCH(U$8,'Asset Returns'!$1:$1,0),4),1,"")),INDIRECT("'Asset Returns'!"&amp;SUBSTITUTE(ADDRESS(1,MATCH($B26,'Asset Returns'!$1:$1,0),4),1,"")&amp;":"&amp;SUBSTITUTE(ADDRESS(1,MATCH($B26,'Asset Returns'!$1:$1,0),4),1,""))))</f>
        <v/>
      </c>
      <c r="V26" s="70" t="str">
        <f ca="1">IF(OR(V$8="",$B26=""),"",_xlfn.COVARIANCE.S(INDIRECT("'Asset Returns'!"&amp;SUBSTITUTE(ADDRESS(1,MATCH(V$8,'Asset Returns'!$1:$1,0),4),1,"")&amp;":"&amp;SUBSTITUTE(ADDRESS(1,MATCH(V$8,'Asset Returns'!$1:$1,0),4),1,"")),INDIRECT("'Asset Returns'!"&amp;SUBSTITUTE(ADDRESS(1,MATCH($B26,'Asset Returns'!$1:$1,0),4),1,"")&amp;":"&amp;SUBSTITUTE(ADDRESS(1,MATCH($B26,'Asset Returns'!$1:$1,0),4),1,""))))</f>
        <v/>
      </c>
      <c r="W26" s="70" t="str">
        <f ca="1">IF(OR(W$8="",$B26=""),"",_xlfn.COVARIANCE.S(INDIRECT("'Asset Returns'!"&amp;SUBSTITUTE(ADDRESS(1,MATCH(W$8,'Asset Returns'!$1:$1,0),4),1,"")&amp;":"&amp;SUBSTITUTE(ADDRESS(1,MATCH(W$8,'Asset Returns'!$1:$1,0),4),1,"")),INDIRECT("'Asset Returns'!"&amp;SUBSTITUTE(ADDRESS(1,MATCH($B26,'Asset Returns'!$1:$1,0),4),1,"")&amp;":"&amp;SUBSTITUTE(ADDRESS(1,MATCH($B26,'Asset Returns'!$1:$1,0),4),1,""))))</f>
        <v/>
      </c>
      <c r="X26" s="70" t="str">
        <f ca="1">IF(OR(X$8="",$B26=""),"",_xlfn.COVARIANCE.S(INDIRECT("'Asset Returns'!"&amp;SUBSTITUTE(ADDRESS(1,MATCH(X$8,'Asset Returns'!$1:$1,0),4),1,"")&amp;":"&amp;SUBSTITUTE(ADDRESS(1,MATCH(X$8,'Asset Returns'!$1:$1,0),4),1,"")),INDIRECT("'Asset Returns'!"&amp;SUBSTITUTE(ADDRESS(1,MATCH($B26,'Asset Returns'!$1:$1,0),4),1,"")&amp;":"&amp;SUBSTITUTE(ADDRESS(1,MATCH($B26,'Asset Returns'!$1:$1,0),4),1,""))))</f>
        <v/>
      </c>
      <c r="Y26" s="70" t="str">
        <f ca="1">IF(OR(Y$8="",$B26=""),"",_xlfn.COVARIANCE.S(INDIRECT("'Asset Returns'!"&amp;SUBSTITUTE(ADDRESS(1,MATCH(Y$8,'Asset Returns'!$1:$1,0),4),1,"")&amp;":"&amp;SUBSTITUTE(ADDRESS(1,MATCH(Y$8,'Asset Returns'!$1:$1,0),4),1,"")),INDIRECT("'Asset Returns'!"&amp;SUBSTITUTE(ADDRESS(1,MATCH($B26,'Asset Returns'!$1:$1,0),4),1,"")&amp;":"&amp;SUBSTITUTE(ADDRESS(1,MATCH($B26,'Asset Returns'!$1:$1,0),4),1,""))))</f>
        <v/>
      </c>
      <c r="Z26" s="70" t="str">
        <f ca="1">IF(OR(Z$8="",$B26=""),"",_xlfn.COVARIANCE.S(INDIRECT("'Asset Returns'!"&amp;SUBSTITUTE(ADDRESS(1,MATCH(Z$8,'Asset Returns'!$1:$1,0),4),1,"")&amp;":"&amp;SUBSTITUTE(ADDRESS(1,MATCH(Z$8,'Asset Returns'!$1:$1,0),4),1,"")),INDIRECT("'Asset Returns'!"&amp;SUBSTITUTE(ADDRESS(1,MATCH($B26,'Asset Returns'!$1:$1,0),4),1,"")&amp;":"&amp;SUBSTITUTE(ADDRESS(1,MATCH($B26,'Asset Returns'!$1:$1,0),4),1,""))))</f>
        <v/>
      </c>
      <c r="AA26" s="70" t="str">
        <f ca="1">IF(OR(AA$8="",$B26=""),"",_xlfn.COVARIANCE.S(INDIRECT("'Asset Returns'!"&amp;SUBSTITUTE(ADDRESS(1,MATCH(AA$8,'Asset Returns'!$1:$1,0),4),1,"")&amp;":"&amp;SUBSTITUTE(ADDRESS(1,MATCH(AA$8,'Asset Returns'!$1:$1,0),4),1,"")),INDIRECT("'Asset Returns'!"&amp;SUBSTITUTE(ADDRESS(1,MATCH($B26,'Asset Returns'!$1:$1,0),4),1,"")&amp;":"&amp;SUBSTITUTE(ADDRESS(1,MATCH($B26,'Asset Returns'!$1:$1,0),4),1,""))))</f>
        <v/>
      </c>
      <c r="AB26" s="96"/>
      <c r="AC26" s="48" t="str">
        <f t="shared" si="0"/>
        <v/>
      </c>
      <c r="AD26" s="4"/>
    </row>
    <row r="27" spans="1:39" x14ac:dyDescent="0.25">
      <c r="A27" s="47"/>
      <c r="B27" s="93"/>
      <c r="C27" s="69" t="str">
        <f ca="1">IF(OR(C$8="",$B27=""),"",_xlfn.COVARIANCE.S(INDIRECT("'Asset Returns'!"&amp;SUBSTITUTE(ADDRESS(1,MATCH(C$8,'Asset Returns'!$1:$1,0),4),1,"")&amp;":"&amp;SUBSTITUTE(ADDRESS(1,MATCH(C$8,'Asset Returns'!$1:$1,0),4),1,"")),INDIRECT("'Asset Returns'!"&amp;SUBSTITUTE(ADDRESS(1,MATCH($B27,'Asset Returns'!$1:$1,0),4),1,"")&amp;":"&amp;SUBSTITUTE(ADDRESS(1,MATCH($B27,'Asset Returns'!$1:$1,0),4),1,""))))</f>
        <v/>
      </c>
      <c r="D27" s="70" t="str">
        <f ca="1">IF(OR(D$8="",$B27=""),"",_xlfn.COVARIANCE.S(INDIRECT("'Asset Returns'!"&amp;SUBSTITUTE(ADDRESS(1,MATCH(D$8,'Asset Returns'!$1:$1,0),4),1,"")&amp;":"&amp;SUBSTITUTE(ADDRESS(1,MATCH(D$8,'Asset Returns'!$1:$1,0),4),1,"")),INDIRECT("'Asset Returns'!"&amp;SUBSTITUTE(ADDRESS(1,MATCH($B27,'Asset Returns'!$1:$1,0),4),1,"")&amp;":"&amp;SUBSTITUTE(ADDRESS(1,MATCH($B27,'Asset Returns'!$1:$1,0),4),1,""))))</f>
        <v/>
      </c>
      <c r="E27" s="70" t="str">
        <f ca="1">IF(OR(E$8="",$B27=""),"",_xlfn.COVARIANCE.S(INDIRECT("'Asset Returns'!"&amp;SUBSTITUTE(ADDRESS(1,MATCH(E$8,'Asset Returns'!$1:$1,0),4),1,"")&amp;":"&amp;SUBSTITUTE(ADDRESS(1,MATCH(E$8,'Asset Returns'!$1:$1,0),4),1,"")),INDIRECT("'Asset Returns'!"&amp;SUBSTITUTE(ADDRESS(1,MATCH($B27,'Asset Returns'!$1:$1,0),4),1,"")&amp;":"&amp;SUBSTITUTE(ADDRESS(1,MATCH($B27,'Asset Returns'!$1:$1,0),4),1,""))))</f>
        <v/>
      </c>
      <c r="F27" s="70" t="str">
        <f ca="1">IF(OR(F$8="",$B27=""),"",_xlfn.COVARIANCE.S(INDIRECT("'Asset Returns'!"&amp;SUBSTITUTE(ADDRESS(1,MATCH(F$8,'Asset Returns'!$1:$1,0),4),1,"")&amp;":"&amp;SUBSTITUTE(ADDRESS(1,MATCH(F$8,'Asset Returns'!$1:$1,0),4),1,"")),INDIRECT("'Asset Returns'!"&amp;SUBSTITUTE(ADDRESS(1,MATCH($B27,'Asset Returns'!$1:$1,0),4),1,"")&amp;":"&amp;SUBSTITUTE(ADDRESS(1,MATCH($B27,'Asset Returns'!$1:$1,0),4),1,""))))</f>
        <v/>
      </c>
      <c r="G27" s="70" t="str">
        <f ca="1">IF(OR(G$8="",$B27=""),"",_xlfn.COVARIANCE.S(INDIRECT("'Asset Returns'!"&amp;SUBSTITUTE(ADDRESS(1,MATCH(G$8,'Asset Returns'!$1:$1,0),4),1,"")&amp;":"&amp;SUBSTITUTE(ADDRESS(1,MATCH(G$8,'Asset Returns'!$1:$1,0),4),1,"")),INDIRECT("'Asset Returns'!"&amp;SUBSTITUTE(ADDRESS(1,MATCH($B27,'Asset Returns'!$1:$1,0),4),1,"")&amp;":"&amp;SUBSTITUTE(ADDRESS(1,MATCH($B27,'Asset Returns'!$1:$1,0),4),1,""))))</f>
        <v/>
      </c>
      <c r="H27" s="70" t="str">
        <f ca="1">IF(OR(H$8="",$B27=""),"",_xlfn.COVARIANCE.S(INDIRECT("'Asset Returns'!"&amp;SUBSTITUTE(ADDRESS(1,MATCH(H$8,'Asset Returns'!$1:$1,0),4),1,"")&amp;":"&amp;SUBSTITUTE(ADDRESS(1,MATCH(H$8,'Asset Returns'!$1:$1,0),4),1,"")),INDIRECT("'Asset Returns'!"&amp;SUBSTITUTE(ADDRESS(1,MATCH($B27,'Asset Returns'!$1:$1,0),4),1,"")&amp;":"&amp;SUBSTITUTE(ADDRESS(1,MATCH($B27,'Asset Returns'!$1:$1,0),4),1,""))))</f>
        <v/>
      </c>
      <c r="I27" s="70" t="str">
        <f ca="1">IF(OR(I$8="",$B27=""),"",_xlfn.COVARIANCE.S(INDIRECT("'Asset Returns'!"&amp;SUBSTITUTE(ADDRESS(1,MATCH(I$8,'Asset Returns'!$1:$1,0),4),1,"")&amp;":"&amp;SUBSTITUTE(ADDRESS(1,MATCH(I$8,'Asset Returns'!$1:$1,0),4),1,"")),INDIRECT("'Asset Returns'!"&amp;SUBSTITUTE(ADDRESS(1,MATCH($B27,'Asset Returns'!$1:$1,0),4),1,"")&amp;":"&amp;SUBSTITUTE(ADDRESS(1,MATCH($B27,'Asset Returns'!$1:$1,0),4),1,""))))</f>
        <v/>
      </c>
      <c r="J27" s="70" t="str">
        <f ca="1">IF(OR(J$8="",$B27=""),"",_xlfn.COVARIANCE.S(INDIRECT("'Asset Returns'!"&amp;SUBSTITUTE(ADDRESS(1,MATCH(J$8,'Asset Returns'!$1:$1,0),4),1,"")&amp;":"&amp;SUBSTITUTE(ADDRESS(1,MATCH(J$8,'Asset Returns'!$1:$1,0),4),1,"")),INDIRECT("'Asset Returns'!"&amp;SUBSTITUTE(ADDRESS(1,MATCH($B27,'Asset Returns'!$1:$1,0),4),1,"")&amp;":"&amp;SUBSTITUTE(ADDRESS(1,MATCH($B27,'Asset Returns'!$1:$1,0),4),1,""))))</f>
        <v/>
      </c>
      <c r="K27" s="70" t="str">
        <f ca="1">IF(OR(K$8="",$B27=""),"",_xlfn.COVARIANCE.S(INDIRECT("'Asset Returns'!"&amp;SUBSTITUTE(ADDRESS(1,MATCH(K$8,'Asset Returns'!$1:$1,0),4),1,"")&amp;":"&amp;SUBSTITUTE(ADDRESS(1,MATCH(K$8,'Asset Returns'!$1:$1,0),4),1,"")),INDIRECT("'Asset Returns'!"&amp;SUBSTITUTE(ADDRESS(1,MATCH($B27,'Asset Returns'!$1:$1,0),4),1,"")&amp;":"&amp;SUBSTITUTE(ADDRESS(1,MATCH($B27,'Asset Returns'!$1:$1,0),4),1,""))))</f>
        <v/>
      </c>
      <c r="L27" s="70" t="str">
        <f ca="1">IF(OR(L$8="",$B27=""),"",_xlfn.COVARIANCE.S(INDIRECT("'Asset Returns'!"&amp;SUBSTITUTE(ADDRESS(1,MATCH(L$8,'Asset Returns'!$1:$1,0),4),1,"")&amp;":"&amp;SUBSTITUTE(ADDRESS(1,MATCH(L$8,'Asset Returns'!$1:$1,0),4),1,"")),INDIRECT("'Asset Returns'!"&amp;SUBSTITUTE(ADDRESS(1,MATCH($B27,'Asset Returns'!$1:$1,0),4),1,"")&amp;":"&amp;SUBSTITUTE(ADDRESS(1,MATCH($B27,'Asset Returns'!$1:$1,0),4),1,""))))</f>
        <v/>
      </c>
      <c r="M27" s="70" t="str">
        <f ca="1">IF(OR(M$8="",$B27=""),"",_xlfn.COVARIANCE.S(INDIRECT("'Asset Returns'!"&amp;SUBSTITUTE(ADDRESS(1,MATCH(M$8,'Asset Returns'!$1:$1,0),4),1,"")&amp;":"&amp;SUBSTITUTE(ADDRESS(1,MATCH(M$8,'Asset Returns'!$1:$1,0),4),1,"")),INDIRECT("'Asset Returns'!"&amp;SUBSTITUTE(ADDRESS(1,MATCH($B27,'Asset Returns'!$1:$1,0),4),1,"")&amp;":"&amp;SUBSTITUTE(ADDRESS(1,MATCH($B27,'Asset Returns'!$1:$1,0),4),1,""))))</f>
        <v/>
      </c>
      <c r="N27" s="70" t="str">
        <f ca="1">IF(OR(N$8="",$B27=""),"",_xlfn.COVARIANCE.S(INDIRECT("'Asset Returns'!"&amp;SUBSTITUTE(ADDRESS(1,MATCH(N$8,'Asset Returns'!$1:$1,0),4),1,"")&amp;":"&amp;SUBSTITUTE(ADDRESS(1,MATCH(N$8,'Asset Returns'!$1:$1,0),4),1,"")),INDIRECT("'Asset Returns'!"&amp;SUBSTITUTE(ADDRESS(1,MATCH($B27,'Asset Returns'!$1:$1,0),4),1,"")&amp;":"&amp;SUBSTITUTE(ADDRESS(1,MATCH($B27,'Asset Returns'!$1:$1,0),4),1,""))))</f>
        <v/>
      </c>
      <c r="O27" s="70" t="str">
        <f ca="1">IF(OR(O$8="",$B27=""),"",_xlfn.COVARIANCE.S(INDIRECT("'Asset Returns'!"&amp;SUBSTITUTE(ADDRESS(1,MATCH(O$8,'Asset Returns'!$1:$1,0),4),1,"")&amp;":"&amp;SUBSTITUTE(ADDRESS(1,MATCH(O$8,'Asset Returns'!$1:$1,0),4),1,"")),INDIRECT("'Asset Returns'!"&amp;SUBSTITUTE(ADDRESS(1,MATCH($B27,'Asset Returns'!$1:$1,0),4),1,"")&amp;":"&amp;SUBSTITUTE(ADDRESS(1,MATCH($B27,'Asset Returns'!$1:$1,0),4),1,""))))</f>
        <v/>
      </c>
      <c r="P27" s="70" t="str">
        <f ca="1">IF(OR(P$8="",$B27=""),"",_xlfn.COVARIANCE.S(INDIRECT("'Asset Returns'!"&amp;SUBSTITUTE(ADDRESS(1,MATCH(P$8,'Asset Returns'!$1:$1,0),4),1,"")&amp;":"&amp;SUBSTITUTE(ADDRESS(1,MATCH(P$8,'Asset Returns'!$1:$1,0),4),1,"")),INDIRECT("'Asset Returns'!"&amp;SUBSTITUTE(ADDRESS(1,MATCH($B27,'Asset Returns'!$1:$1,0),4),1,"")&amp;":"&amp;SUBSTITUTE(ADDRESS(1,MATCH($B27,'Asset Returns'!$1:$1,0),4),1,""))))</f>
        <v/>
      </c>
      <c r="Q27" s="70" t="str">
        <f ca="1">IF(OR(Q$8="",$B27=""),"",_xlfn.COVARIANCE.S(INDIRECT("'Asset Returns'!"&amp;SUBSTITUTE(ADDRESS(1,MATCH(Q$8,'Asset Returns'!$1:$1,0),4),1,"")&amp;":"&amp;SUBSTITUTE(ADDRESS(1,MATCH(Q$8,'Asset Returns'!$1:$1,0),4),1,"")),INDIRECT("'Asset Returns'!"&amp;SUBSTITUTE(ADDRESS(1,MATCH($B27,'Asset Returns'!$1:$1,0),4),1,"")&amp;":"&amp;SUBSTITUTE(ADDRESS(1,MATCH($B27,'Asset Returns'!$1:$1,0),4),1,""))))</f>
        <v/>
      </c>
      <c r="R27" s="70" t="str">
        <f ca="1">IF(OR(R$8="",$B27=""),"",_xlfn.COVARIANCE.S(INDIRECT("'Asset Returns'!"&amp;SUBSTITUTE(ADDRESS(1,MATCH(R$8,'Asset Returns'!$1:$1,0),4),1,"")&amp;":"&amp;SUBSTITUTE(ADDRESS(1,MATCH(R$8,'Asset Returns'!$1:$1,0),4),1,"")),INDIRECT("'Asset Returns'!"&amp;SUBSTITUTE(ADDRESS(1,MATCH($B27,'Asset Returns'!$1:$1,0),4),1,"")&amp;":"&amp;SUBSTITUTE(ADDRESS(1,MATCH($B27,'Asset Returns'!$1:$1,0),4),1,""))))</f>
        <v/>
      </c>
      <c r="S27" s="70" t="str">
        <f ca="1">IF(OR(S$8="",$B27=""),"",_xlfn.COVARIANCE.S(INDIRECT("'Asset Returns'!"&amp;SUBSTITUTE(ADDRESS(1,MATCH(S$8,'Asset Returns'!$1:$1,0),4),1,"")&amp;":"&amp;SUBSTITUTE(ADDRESS(1,MATCH(S$8,'Asset Returns'!$1:$1,0),4),1,"")),INDIRECT("'Asset Returns'!"&amp;SUBSTITUTE(ADDRESS(1,MATCH($B27,'Asset Returns'!$1:$1,0),4),1,"")&amp;":"&amp;SUBSTITUTE(ADDRESS(1,MATCH($B27,'Asset Returns'!$1:$1,0),4),1,""))))</f>
        <v/>
      </c>
      <c r="T27" s="70" t="str">
        <f ca="1">IF(OR(T$8="",$B27=""),"",_xlfn.COVARIANCE.S(INDIRECT("'Asset Returns'!"&amp;SUBSTITUTE(ADDRESS(1,MATCH(T$8,'Asset Returns'!$1:$1,0),4),1,"")&amp;":"&amp;SUBSTITUTE(ADDRESS(1,MATCH(T$8,'Asset Returns'!$1:$1,0),4),1,"")),INDIRECT("'Asset Returns'!"&amp;SUBSTITUTE(ADDRESS(1,MATCH($B27,'Asset Returns'!$1:$1,0),4),1,"")&amp;":"&amp;SUBSTITUTE(ADDRESS(1,MATCH($B27,'Asset Returns'!$1:$1,0),4),1,""))))</f>
        <v/>
      </c>
      <c r="U27" s="70" t="str">
        <f ca="1">IF(OR(U$8="",$B27=""),"",_xlfn.COVARIANCE.S(INDIRECT("'Asset Returns'!"&amp;SUBSTITUTE(ADDRESS(1,MATCH(U$8,'Asset Returns'!$1:$1,0),4),1,"")&amp;":"&amp;SUBSTITUTE(ADDRESS(1,MATCH(U$8,'Asset Returns'!$1:$1,0),4),1,"")),INDIRECT("'Asset Returns'!"&amp;SUBSTITUTE(ADDRESS(1,MATCH($B27,'Asset Returns'!$1:$1,0),4),1,"")&amp;":"&amp;SUBSTITUTE(ADDRESS(1,MATCH($B27,'Asset Returns'!$1:$1,0),4),1,""))))</f>
        <v/>
      </c>
      <c r="V27" s="70" t="str">
        <f ca="1">IF(OR(V$8="",$B27=""),"",_xlfn.COVARIANCE.S(INDIRECT("'Asset Returns'!"&amp;SUBSTITUTE(ADDRESS(1,MATCH(V$8,'Asset Returns'!$1:$1,0),4),1,"")&amp;":"&amp;SUBSTITUTE(ADDRESS(1,MATCH(V$8,'Asset Returns'!$1:$1,0),4),1,"")),INDIRECT("'Asset Returns'!"&amp;SUBSTITUTE(ADDRESS(1,MATCH($B27,'Asset Returns'!$1:$1,0),4),1,"")&amp;":"&amp;SUBSTITUTE(ADDRESS(1,MATCH($B27,'Asset Returns'!$1:$1,0),4),1,""))))</f>
        <v/>
      </c>
      <c r="W27" s="70" t="str">
        <f ca="1">IF(OR(W$8="",$B27=""),"",_xlfn.COVARIANCE.S(INDIRECT("'Asset Returns'!"&amp;SUBSTITUTE(ADDRESS(1,MATCH(W$8,'Asset Returns'!$1:$1,0),4),1,"")&amp;":"&amp;SUBSTITUTE(ADDRESS(1,MATCH(W$8,'Asset Returns'!$1:$1,0),4),1,"")),INDIRECT("'Asset Returns'!"&amp;SUBSTITUTE(ADDRESS(1,MATCH($B27,'Asset Returns'!$1:$1,0),4),1,"")&amp;":"&amp;SUBSTITUTE(ADDRESS(1,MATCH($B27,'Asset Returns'!$1:$1,0),4),1,""))))</f>
        <v/>
      </c>
      <c r="X27" s="70" t="str">
        <f ca="1">IF(OR(X$8="",$B27=""),"",_xlfn.COVARIANCE.S(INDIRECT("'Asset Returns'!"&amp;SUBSTITUTE(ADDRESS(1,MATCH(X$8,'Asset Returns'!$1:$1,0),4),1,"")&amp;":"&amp;SUBSTITUTE(ADDRESS(1,MATCH(X$8,'Asset Returns'!$1:$1,0),4),1,"")),INDIRECT("'Asset Returns'!"&amp;SUBSTITUTE(ADDRESS(1,MATCH($B27,'Asset Returns'!$1:$1,0),4),1,"")&amp;":"&amp;SUBSTITUTE(ADDRESS(1,MATCH($B27,'Asset Returns'!$1:$1,0),4),1,""))))</f>
        <v/>
      </c>
      <c r="Y27" s="70" t="str">
        <f ca="1">IF(OR(Y$8="",$B27=""),"",_xlfn.COVARIANCE.S(INDIRECT("'Asset Returns'!"&amp;SUBSTITUTE(ADDRESS(1,MATCH(Y$8,'Asset Returns'!$1:$1,0),4),1,"")&amp;":"&amp;SUBSTITUTE(ADDRESS(1,MATCH(Y$8,'Asset Returns'!$1:$1,0),4),1,"")),INDIRECT("'Asset Returns'!"&amp;SUBSTITUTE(ADDRESS(1,MATCH($B27,'Asset Returns'!$1:$1,0),4),1,"")&amp;":"&amp;SUBSTITUTE(ADDRESS(1,MATCH($B27,'Asset Returns'!$1:$1,0),4),1,""))))</f>
        <v/>
      </c>
      <c r="Z27" s="70" t="str">
        <f ca="1">IF(OR(Z$8="",$B27=""),"",_xlfn.COVARIANCE.S(INDIRECT("'Asset Returns'!"&amp;SUBSTITUTE(ADDRESS(1,MATCH(Z$8,'Asset Returns'!$1:$1,0),4),1,"")&amp;":"&amp;SUBSTITUTE(ADDRESS(1,MATCH(Z$8,'Asset Returns'!$1:$1,0),4),1,"")),INDIRECT("'Asset Returns'!"&amp;SUBSTITUTE(ADDRESS(1,MATCH($B27,'Asset Returns'!$1:$1,0),4),1,"")&amp;":"&amp;SUBSTITUTE(ADDRESS(1,MATCH($B27,'Asset Returns'!$1:$1,0),4),1,""))))</f>
        <v/>
      </c>
      <c r="AA27" s="70" t="str">
        <f ca="1">IF(OR(AA$8="",$B27=""),"",_xlfn.COVARIANCE.S(INDIRECT("'Asset Returns'!"&amp;SUBSTITUTE(ADDRESS(1,MATCH(AA$8,'Asset Returns'!$1:$1,0),4),1,"")&amp;":"&amp;SUBSTITUTE(ADDRESS(1,MATCH(AA$8,'Asset Returns'!$1:$1,0),4),1,"")),INDIRECT("'Asset Returns'!"&amp;SUBSTITUTE(ADDRESS(1,MATCH($B27,'Asset Returns'!$1:$1,0),4),1,"")&amp;":"&amp;SUBSTITUTE(ADDRESS(1,MATCH($B27,'Asset Returns'!$1:$1,0),4),1,""))))</f>
        <v/>
      </c>
      <c r="AB27" s="96"/>
      <c r="AC27" s="48" t="str">
        <f t="shared" si="0"/>
        <v/>
      </c>
      <c r="AD27" s="4"/>
      <c r="AF27" s="52"/>
    </row>
    <row r="28" spans="1:39" x14ac:dyDescent="0.25">
      <c r="A28" s="47"/>
      <c r="B28" s="93"/>
      <c r="C28" s="69" t="str">
        <f ca="1">IF(OR(C$8="",$B28=""),"",_xlfn.COVARIANCE.S(INDIRECT("'Asset Returns'!"&amp;SUBSTITUTE(ADDRESS(1,MATCH(C$8,'Asset Returns'!$1:$1,0),4),1,"")&amp;":"&amp;SUBSTITUTE(ADDRESS(1,MATCH(C$8,'Asset Returns'!$1:$1,0),4),1,"")),INDIRECT("'Asset Returns'!"&amp;SUBSTITUTE(ADDRESS(1,MATCH($B28,'Asset Returns'!$1:$1,0),4),1,"")&amp;":"&amp;SUBSTITUTE(ADDRESS(1,MATCH($B28,'Asset Returns'!$1:$1,0),4),1,""))))</f>
        <v/>
      </c>
      <c r="D28" s="70" t="str">
        <f ca="1">IF(OR(D$8="",$B28=""),"",_xlfn.COVARIANCE.S(INDIRECT("'Asset Returns'!"&amp;SUBSTITUTE(ADDRESS(1,MATCH(D$8,'Asset Returns'!$1:$1,0),4),1,"")&amp;":"&amp;SUBSTITUTE(ADDRESS(1,MATCH(D$8,'Asset Returns'!$1:$1,0),4),1,"")),INDIRECT("'Asset Returns'!"&amp;SUBSTITUTE(ADDRESS(1,MATCH($B28,'Asset Returns'!$1:$1,0),4),1,"")&amp;":"&amp;SUBSTITUTE(ADDRESS(1,MATCH($B28,'Asset Returns'!$1:$1,0),4),1,""))))</f>
        <v/>
      </c>
      <c r="E28" s="70" t="str">
        <f ca="1">IF(OR(E$8="",$B28=""),"",_xlfn.COVARIANCE.S(INDIRECT("'Asset Returns'!"&amp;SUBSTITUTE(ADDRESS(1,MATCH(E$8,'Asset Returns'!$1:$1,0),4),1,"")&amp;":"&amp;SUBSTITUTE(ADDRESS(1,MATCH(E$8,'Asset Returns'!$1:$1,0),4),1,"")),INDIRECT("'Asset Returns'!"&amp;SUBSTITUTE(ADDRESS(1,MATCH($B28,'Asset Returns'!$1:$1,0),4),1,"")&amp;":"&amp;SUBSTITUTE(ADDRESS(1,MATCH($B28,'Asset Returns'!$1:$1,0),4),1,""))))</f>
        <v/>
      </c>
      <c r="F28" s="70" t="str">
        <f ca="1">IF(OR(F$8="",$B28=""),"",_xlfn.COVARIANCE.S(INDIRECT("'Asset Returns'!"&amp;SUBSTITUTE(ADDRESS(1,MATCH(F$8,'Asset Returns'!$1:$1,0),4),1,"")&amp;":"&amp;SUBSTITUTE(ADDRESS(1,MATCH(F$8,'Asset Returns'!$1:$1,0),4),1,"")),INDIRECT("'Asset Returns'!"&amp;SUBSTITUTE(ADDRESS(1,MATCH($B28,'Asset Returns'!$1:$1,0),4),1,"")&amp;":"&amp;SUBSTITUTE(ADDRESS(1,MATCH($B28,'Asset Returns'!$1:$1,0),4),1,""))))</f>
        <v/>
      </c>
      <c r="G28" s="70" t="str">
        <f ca="1">IF(OR(G$8="",$B28=""),"",_xlfn.COVARIANCE.S(INDIRECT("'Asset Returns'!"&amp;SUBSTITUTE(ADDRESS(1,MATCH(G$8,'Asset Returns'!$1:$1,0),4),1,"")&amp;":"&amp;SUBSTITUTE(ADDRESS(1,MATCH(G$8,'Asset Returns'!$1:$1,0),4),1,"")),INDIRECT("'Asset Returns'!"&amp;SUBSTITUTE(ADDRESS(1,MATCH($B28,'Asset Returns'!$1:$1,0),4),1,"")&amp;":"&amp;SUBSTITUTE(ADDRESS(1,MATCH($B28,'Asset Returns'!$1:$1,0),4),1,""))))</f>
        <v/>
      </c>
      <c r="H28" s="70" t="str">
        <f ca="1">IF(OR(H$8="",$B28=""),"",_xlfn.COVARIANCE.S(INDIRECT("'Asset Returns'!"&amp;SUBSTITUTE(ADDRESS(1,MATCH(H$8,'Asset Returns'!$1:$1,0),4),1,"")&amp;":"&amp;SUBSTITUTE(ADDRESS(1,MATCH(H$8,'Asset Returns'!$1:$1,0),4),1,"")),INDIRECT("'Asset Returns'!"&amp;SUBSTITUTE(ADDRESS(1,MATCH($B28,'Asset Returns'!$1:$1,0),4),1,"")&amp;":"&amp;SUBSTITUTE(ADDRESS(1,MATCH($B28,'Asset Returns'!$1:$1,0),4),1,""))))</f>
        <v/>
      </c>
      <c r="I28" s="70" t="str">
        <f ca="1">IF(OR(I$8="",$B28=""),"",_xlfn.COVARIANCE.S(INDIRECT("'Asset Returns'!"&amp;SUBSTITUTE(ADDRESS(1,MATCH(I$8,'Asset Returns'!$1:$1,0),4),1,"")&amp;":"&amp;SUBSTITUTE(ADDRESS(1,MATCH(I$8,'Asset Returns'!$1:$1,0),4),1,"")),INDIRECT("'Asset Returns'!"&amp;SUBSTITUTE(ADDRESS(1,MATCH($B28,'Asset Returns'!$1:$1,0),4),1,"")&amp;":"&amp;SUBSTITUTE(ADDRESS(1,MATCH($B28,'Asset Returns'!$1:$1,0),4),1,""))))</f>
        <v/>
      </c>
      <c r="J28" s="70" t="str">
        <f ca="1">IF(OR(J$8="",$B28=""),"",_xlfn.COVARIANCE.S(INDIRECT("'Asset Returns'!"&amp;SUBSTITUTE(ADDRESS(1,MATCH(J$8,'Asset Returns'!$1:$1,0),4),1,"")&amp;":"&amp;SUBSTITUTE(ADDRESS(1,MATCH(J$8,'Asset Returns'!$1:$1,0),4),1,"")),INDIRECT("'Asset Returns'!"&amp;SUBSTITUTE(ADDRESS(1,MATCH($B28,'Asset Returns'!$1:$1,0),4),1,"")&amp;":"&amp;SUBSTITUTE(ADDRESS(1,MATCH($B28,'Asset Returns'!$1:$1,0),4),1,""))))</f>
        <v/>
      </c>
      <c r="K28" s="70" t="str">
        <f ca="1">IF(OR(K$8="",$B28=""),"",_xlfn.COVARIANCE.S(INDIRECT("'Asset Returns'!"&amp;SUBSTITUTE(ADDRESS(1,MATCH(K$8,'Asset Returns'!$1:$1,0),4),1,"")&amp;":"&amp;SUBSTITUTE(ADDRESS(1,MATCH(K$8,'Asset Returns'!$1:$1,0),4),1,"")),INDIRECT("'Asset Returns'!"&amp;SUBSTITUTE(ADDRESS(1,MATCH($B28,'Asset Returns'!$1:$1,0),4),1,"")&amp;":"&amp;SUBSTITUTE(ADDRESS(1,MATCH($B28,'Asset Returns'!$1:$1,0),4),1,""))))</f>
        <v/>
      </c>
      <c r="L28" s="70" t="str">
        <f ca="1">IF(OR(L$8="",$B28=""),"",_xlfn.COVARIANCE.S(INDIRECT("'Asset Returns'!"&amp;SUBSTITUTE(ADDRESS(1,MATCH(L$8,'Asset Returns'!$1:$1,0),4),1,"")&amp;":"&amp;SUBSTITUTE(ADDRESS(1,MATCH(L$8,'Asset Returns'!$1:$1,0),4),1,"")),INDIRECT("'Asset Returns'!"&amp;SUBSTITUTE(ADDRESS(1,MATCH($B28,'Asset Returns'!$1:$1,0),4),1,"")&amp;":"&amp;SUBSTITUTE(ADDRESS(1,MATCH($B28,'Asset Returns'!$1:$1,0),4),1,""))))</f>
        <v/>
      </c>
      <c r="M28" s="70" t="str">
        <f ca="1">IF(OR(M$8="",$B28=""),"",_xlfn.COVARIANCE.S(INDIRECT("'Asset Returns'!"&amp;SUBSTITUTE(ADDRESS(1,MATCH(M$8,'Asset Returns'!$1:$1,0),4),1,"")&amp;":"&amp;SUBSTITUTE(ADDRESS(1,MATCH(M$8,'Asset Returns'!$1:$1,0),4),1,"")),INDIRECT("'Asset Returns'!"&amp;SUBSTITUTE(ADDRESS(1,MATCH($B28,'Asset Returns'!$1:$1,0),4),1,"")&amp;":"&amp;SUBSTITUTE(ADDRESS(1,MATCH($B28,'Asset Returns'!$1:$1,0),4),1,""))))</f>
        <v/>
      </c>
      <c r="N28" s="70" t="str">
        <f ca="1">IF(OR(N$8="",$B28=""),"",_xlfn.COVARIANCE.S(INDIRECT("'Asset Returns'!"&amp;SUBSTITUTE(ADDRESS(1,MATCH(N$8,'Asset Returns'!$1:$1,0),4),1,"")&amp;":"&amp;SUBSTITUTE(ADDRESS(1,MATCH(N$8,'Asset Returns'!$1:$1,0),4),1,"")),INDIRECT("'Asset Returns'!"&amp;SUBSTITUTE(ADDRESS(1,MATCH($B28,'Asset Returns'!$1:$1,0),4),1,"")&amp;":"&amp;SUBSTITUTE(ADDRESS(1,MATCH($B28,'Asset Returns'!$1:$1,0),4),1,""))))</f>
        <v/>
      </c>
      <c r="O28" s="70" t="str">
        <f ca="1">IF(OR(O$8="",$B28=""),"",_xlfn.COVARIANCE.S(INDIRECT("'Asset Returns'!"&amp;SUBSTITUTE(ADDRESS(1,MATCH(O$8,'Asset Returns'!$1:$1,0),4),1,"")&amp;":"&amp;SUBSTITUTE(ADDRESS(1,MATCH(O$8,'Asset Returns'!$1:$1,0),4),1,"")),INDIRECT("'Asset Returns'!"&amp;SUBSTITUTE(ADDRESS(1,MATCH($B28,'Asset Returns'!$1:$1,0),4),1,"")&amp;":"&amp;SUBSTITUTE(ADDRESS(1,MATCH($B28,'Asset Returns'!$1:$1,0),4),1,""))))</f>
        <v/>
      </c>
      <c r="P28" s="70" t="str">
        <f ca="1">IF(OR(P$8="",$B28=""),"",_xlfn.COVARIANCE.S(INDIRECT("'Asset Returns'!"&amp;SUBSTITUTE(ADDRESS(1,MATCH(P$8,'Asset Returns'!$1:$1,0),4),1,"")&amp;":"&amp;SUBSTITUTE(ADDRESS(1,MATCH(P$8,'Asset Returns'!$1:$1,0),4),1,"")),INDIRECT("'Asset Returns'!"&amp;SUBSTITUTE(ADDRESS(1,MATCH($B28,'Asset Returns'!$1:$1,0),4),1,"")&amp;":"&amp;SUBSTITUTE(ADDRESS(1,MATCH($B28,'Asset Returns'!$1:$1,0),4),1,""))))</f>
        <v/>
      </c>
      <c r="Q28" s="70" t="str">
        <f ca="1">IF(OR(Q$8="",$B28=""),"",_xlfn.COVARIANCE.S(INDIRECT("'Asset Returns'!"&amp;SUBSTITUTE(ADDRESS(1,MATCH(Q$8,'Asset Returns'!$1:$1,0),4),1,"")&amp;":"&amp;SUBSTITUTE(ADDRESS(1,MATCH(Q$8,'Asset Returns'!$1:$1,0),4),1,"")),INDIRECT("'Asset Returns'!"&amp;SUBSTITUTE(ADDRESS(1,MATCH($B28,'Asset Returns'!$1:$1,0),4),1,"")&amp;":"&amp;SUBSTITUTE(ADDRESS(1,MATCH($B28,'Asset Returns'!$1:$1,0),4),1,""))))</f>
        <v/>
      </c>
      <c r="R28" s="70" t="str">
        <f ca="1">IF(OR(R$8="",$B28=""),"",_xlfn.COVARIANCE.S(INDIRECT("'Asset Returns'!"&amp;SUBSTITUTE(ADDRESS(1,MATCH(R$8,'Asset Returns'!$1:$1,0),4),1,"")&amp;":"&amp;SUBSTITUTE(ADDRESS(1,MATCH(R$8,'Asset Returns'!$1:$1,0),4),1,"")),INDIRECT("'Asset Returns'!"&amp;SUBSTITUTE(ADDRESS(1,MATCH($B28,'Asset Returns'!$1:$1,0),4),1,"")&amp;":"&amp;SUBSTITUTE(ADDRESS(1,MATCH($B28,'Asset Returns'!$1:$1,0),4),1,""))))</f>
        <v/>
      </c>
      <c r="S28" s="70" t="str">
        <f ca="1">IF(OR(S$8="",$B28=""),"",_xlfn.COVARIANCE.S(INDIRECT("'Asset Returns'!"&amp;SUBSTITUTE(ADDRESS(1,MATCH(S$8,'Asset Returns'!$1:$1,0),4),1,"")&amp;":"&amp;SUBSTITUTE(ADDRESS(1,MATCH(S$8,'Asset Returns'!$1:$1,0),4),1,"")),INDIRECT("'Asset Returns'!"&amp;SUBSTITUTE(ADDRESS(1,MATCH($B28,'Asset Returns'!$1:$1,0),4),1,"")&amp;":"&amp;SUBSTITUTE(ADDRESS(1,MATCH($B28,'Asset Returns'!$1:$1,0),4),1,""))))</f>
        <v/>
      </c>
      <c r="T28" s="70" t="str">
        <f ca="1">IF(OR(T$8="",$B28=""),"",_xlfn.COVARIANCE.S(INDIRECT("'Asset Returns'!"&amp;SUBSTITUTE(ADDRESS(1,MATCH(T$8,'Asset Returns'!$1:$1,0),4),1,"")&amp;":"&amp;SUBSTITUTE(ADDRESS(1,MATCH(T$8,'Asset Returns'!$1:$1,0),4),1,"")),INDIRECT("'Asset Returns'!"&amp;SUBSTITUTE(ADDRESS(1,MATCH($B28,'Asset Returns'!$1:$1,0),4),1,"")&amp;":"&amp;SUBSTITUTE(ADDRESS(1,MATCH($B28,'Asset Returns'!$1:$1,0),4),1,""))))</f>
        <v/>
      </c>
      <c r="U28" s="70" t="str">
        <f ca="1">IF(OR(U$8="",$B28=""),"",_xlfn.COVARIANCE.S(INDIRECT("'Asset Returns'!"&amp;SUBSTITUTE(ADDRESS(1,MATCH(U$8,'Asset Returns'!$1:$1,0),4),1,"")&amp;":"&amp;SUBSTITUTE(ADDRESS(1,MATCH(U$8,'Asset Returns'!$1:$1,0),4),1,"")),INDIRECT("'Asset Returns'!"&amp;SUBSTITUTE(ADDRESS(1,MATCH($B28,'Asset Returns'!$1:$1,0),4),1,"")&amp;":"&amp;SUBSTITUTE(ADDRESS(1,MATCH($B28,'Asset Returns'!$1:$1,0),4),1,""))))</f>
        <v/>
      </c>
      <c r="V28" s="70" t="str">
        <f ca="1">IF(OR(V$8="",$B28=""),"",_xlfn.COVARIANCE.S(INDIRECT("'Asset Returns'!"&amp;SUBSTITUTE(ADDRESS(1,MATCH(V$8,'Asset Returns'!$1:$1,0),4),1,"")&amp;":"&amp;SUBSTITUTE(ADDRESS(1,MATCH(V$8,'Asset Returns'!$1:$1,0),4),1,"")),INDIRECT("'Asset Returns'!"&amp;SUBSTITUTE(ADDRESS(1,MATCH($B28,'Asset Returns'!$1:$1,0),4),1,"")&amp;":"&amp;SUBSTITUTE(ADDRESS(1,MATCH($B28,'Asset Returns'!$1:$1,0),4),1,""))))</f>
        <v/>
      </c>
      <c r="W28" s="70" t="str">
        <f ca="1">IF(OR(W$8="",$B28=""),"",_xlfn.COVARIANCE.S(INDIRECT("'Asset Returns'!"&amp;SUBSTITUTE(ADDRESS(1,MATCH(W$8,'Asset Returns'!$1:$1,0),4),1,"")&amp;":"&amp;SUBSTITUTE(ADDRESS(1,MATCH(W$8,'Asset Returns'!$1:$1,0),4),1,"")),INDIRECT("'Asset Returns'!"&amp;SUBSTITUTE(ADDRESS(1,MATCH($B28,'Asset Returns'!$1:$1,0),4),1,"")&amp;":"&amp;SUBSTITUTE(ADDRESS(1,MATCH($B28,'Asset Returns'!$1:$1,0),4),1,""))))</f>
        <v/>
      </c>
      <c r="X28" s="70" t="str">
        <f ca="1">IF(OR(X$8="",$B28=""),"",_xlfn.COVARIANCE.S(INDIRECT("'Asset Returns'!"&amp;SUBSTITUTE(ADDRESS(1,MATCH(X$8,'Asset Returns'!$1:$1,0),4),1,"")&amp;":"&amp;SUBSTITUTE(ADDRESS(1,MATCH(X$8,'Asset Returns'!$1:$1,0),4),1,"")),INDIRECT("'Asset Returns'!"&amp;SUBSTITUTE(ADDRESS(1,MATCH($B28,'Asset Returns'!$1:$1,0),4),1,"")&amp;":"&amp;SUBSTITUTE(ADDRESS(1,MATCH($B28,'Asset Returns'!$1:$1,0),4),1,""))))</f>
        <v/>
      </c>
      <c r="Y28" s="70" t="str">
        <f ca="1">IF(OR(Y$8="",$B28=""),"",_xlfn.COVARIANCE.S(INDIRECT("'Asset Returns'!"&amp;SUBSTITUTE(ADDRESS(1,MATCH(Y$8,'Asset Returns'!$1:$1,0),4),1,"")&amp;":"&amp;SUBSTITUTE(ADDRESS(1,MATCH(Y$8,'Asset Returns'!$1:$1,0),4),1,"")),INDIRECT("'Asset Returns'!"&amp;SUBSTITUTE(ADDRESS(1,MATCH($B28,'Asset Returns'!$1:$1,0),4),1,"")&amp;":"&amp;SUBSTITUTE(ADDRESS(1,MATCH($B28,'Asset Returns'!$1:$1,0),4),1,""))))</f>
        <v/>
      </c>
      <c r="Z28" s="70" t="str">
        <f ca="1">IF(OR(Z$8="",$B28=""),"",_xlfn.COVARIANCE.S(INDIRECT("'Asset Returns'!"&amp;SUBSTITUTE(ADDRESS(1,MATCH(Z$8,'Asset Returns'!$1:$1,0),4),1,"")&amp;":"&amp;SUBSTITUTE(ADDRESS(1,MATCH(Z$8,'Asset Returns'!$1:$1,0),4),1,"")),INDIRECT("'Asset Returns'!"&amp;SUBSTITUTE(ADDRESS(1,MATCH($B28,'Asset Returns'!$1:$1,0),4),1,"")&amp;":"&amp;SUBSTITUTE(ADDRESS(1,MATCH($B28,'Asset Returns'!$1:$1,0),4),1,""))))</f>
        <v/>
      </c>
      <c r="AA28" s="70" t="str">
        <f ca="1">IF(OR(AA$8="",$B28=""),"",_xlfn.COVARIANCE.S(INDIRECT("'Asset Returns'!"&amp;SUBSTITUTE(ADDRESS(1,MATCH(AA$8,'Asset Returns'!$1:$1,0),4),1,"")&amp;":"&amp;SUBSTITUTE(ADDRESS(1,MATCH(AA$8,'Asset Returns'!$1:$1,0),4),1,"")),INDIRECT("'Asset Returns'!"&amp;SUBSTITUTE(ADDRESS(1,MATCH($B28,'Asset Returns'!$1:$1,0),4),1,"")&amp;":"&amp;SUBSTITUTE(ADDRESS(1,MATCH($B28,'Asset Returns'!$1:$1,0),4),1,""))))</f>
        <v/>
      </c>
      <c r="AB28" s="96"/>
      <c r="AC28" s="48" t="str">
        <f t="shared" si="0"/>
        <v/>
      </c>
      <c r="AD28" s="4"/>
    </row>
    <row r="29" spans="1:39" x14ac:dyDescent="0.25">
      <c r="A29" s="47"/>
      <c r="B29" s="93"/>
      <c r="C29" s="69" t="str">
        <f ca="1">IF(OR(C$8="",$B29=""),"",_xlfn.COVARIANCE.S(INDIRECT("'Asset Returns'!"&amp;SUBSTITUTE(ADDRESS(1,MATCH(C$8,'Asset Returns'!$1:$1,0),4),1,"")&amp;":"&amp;SUBSTITUTE(ADDRESS(1,MATCH(C$8,'Asset Returns'!$1:$1,0),4),1,"")),INDIRECT("'Asset Returns'!"&amp;SUBSTITUTE(ADDRESS(1,MATCH($B29,'Asset Returns'!$1:$1,0),4),1,"")&amp;":"&amp;SUBSTITUTE(ADDRESS(1,MATCH($B29,'Asset Returns'!$1:$1,0),4),1,""))))</f>
        <v/>
      </c>
      <c r="D29" s="70" t="str">
        <f ca="1">IF(OR(D$8="",$B29=""),"",_xlfn.COVARIANCE.S(INDIRECT("'Asset Returns'!"&amp;SUBSTITUTE(ADDRESS(1,MATCH(D$8,'Asset Returns'!$1:$1,0),4),1,"")&amp;":"&amp;SUBSTITUTE(ADDRESS(1,MATCH(D$8,'Asset Returns'!$1:$1,0),4),1,"")),INDIRECT("'Asset Returns'!"&amp;SUBSTITUTE(ADDRESS(1,MATCH($B29,'Asset Returns'!$1:$1,0),4),1,"")&amp;":"&amp;SUBSTITUTE(ADDRESS(1,MATCH($B29,'Asset Returns'!$1:$1,0),4),1,""))))</f>
        <v/>
      </c>
      <c r="E29" s="70" t="str">
        <f ca="1">IF(OR(E$8="",$B29=""),"",_xlfn.COVARIANCE.S(INDIRECT("'Asset Returns'!"&amp;SUBSTITUTE(ADDRESS(1,MATCH(E$8,'Asset Returns'!$1:$1,0),4),1,"")&amp;":"&amp;SUBSTITUTE(ADDRESS(1,MATCH(E$8,'Asset Returns'!$1:$1,0),4),1,"")),INDIRECT("'Asset Returns'!"&amp;SUBSTITUTE(ADDRESS(1,MATCH($B29,'Asset Returns'!$1:$1,0),4),1,"")&amp;":"&amp;SUBSTITUTE(ADDRESS(1,MATCH($B29,'Asset Returns'!$1:$1,0),4),1,""))))</f>
        <v/>
      </c>
      <c r="F29" s="70" t="str">
        <f ca="1">IF(OR(F$8="",$B29=""),"",_xlfn.COVARIANCE.S(INDIRECT("'Asset Returns'!"&amp;SUBSTITUTE(ADDRESS(1,MATCH(F$8,'Asset Returns'!$1:$1,0),4),1,"")&amp;":"&amp;SUBSTITUTE(ADDRESS(1,MATCH(F$8,'Asset Returns'!$1:$1,0),4),1,"")),INDIRECT("'Asset Returns'!"&amp;SUBSTITUTE(ADDRESS(1,MATCH($B29,'Asset Returns'!$1:$1,0),4),1,"")&amp;":"&amp;SUBSTITUTE(ADDRESS(1,MATCH($B29,'Asset Returns'!$1:$1,0),4),1,""))))</f>
        <v/>
      </c>
      <c r="G29" s="70" t="str">
        <f ca="1">IF(OR(G$8="",$B29=""),"",_xlfn.COVARIANCE.S(INDIRECT("'Asset Returns'!"&amp;SUBSTITUTE(ADDRESS(1,MATCH(G$8,'Asset Returns'!$1:$1,0),4),1,"")&amp;":"&amp;SUBSTITUTE(ADDRESS(1,MATCH(G$8,'Asset Returns'!$1:$1,0),4),1,"")),INDIRECT("'Asset Returns'!"&amp;SUBSTITUTE(ADDRESS(1,MATCH($B29,'Asset Returns'!$1:$1,0),4),1,"")&amp;":"&amp;SUBSTITUTE(ADDRESS(1,MATCH($B29,'Asset Returns'!$1:$1,0),4),1,""))))</f>
        <v/>
      </c>
      <c r="H29" s="70" t="str">
        <f ca="1">IF(OR(H$8="",$B29=""),"",_xlfn.COVARIANCE.S(INDIRECT("'Asset Returns'!"&amp;SUBSTITUTE(ADDRESS(1,MATCH(H$8,'Asset Returns'!$1:$1,0),4),1,"")&amp;":"&amp;SUBSTITUTE(ADDRESS(1,MATCH(H$8,'Asset Returns'!$1:$1,0),4),1,"")),INDIRECT("'Asset Returns'!"&amp;SUBSTITUTE(ADDRESS(1,MATCH($B29,'Asset Returns'!$1:$1,0),4),1,"")&amp;":"&amp;SUBSTITUTE(ADDRESS(1,MATCH($B29,'Asset Returns'!$1:$1,0),4),1,""))))</f>
        <v/>
      </c>
      <c r="I29" s="70" t="str">
        <f ca="1">IF(OR(I$8="",$B29=""),"",_xlfn.COVARIANCE.S(INDIRECT("'Asset Returns'!"&amp;SUBSTITUTE(ADDRESS(1,MATCH(I$8,'Asset Returns'!$1:$1,0),4),1,"")&amp;":"&amp;SUBSTITUTE(ADDRESS(1,MATCH(I$8,'Asset Returns'!$1:$1,0),4),1,"")),INDIRECT("'Asset Returns'!"&amp;SUBSTITUTE(ADDRESS(1,MATCH($B29,'Asset Returns'!$1:$1,0),4),1,"")&amp;":"&amp;SUBSTITUTE(ADDRESS(1,MATCH($B29,'Asset Returns'!$1:$1,0),4),1,""))))</f>
        <v/>
      </c>
      <c r="J29" s="70" t="str">
        <f ca="1">IF(OR(J$8="",$B29=""),"",_xlfn.COVARIANCE.S(INDIRECT("'Asset Returns'!"&amp;SUBSTITUTE(ADDRESS(1,MATCH(J$8,'Asset Returns'!$1:$1,0),4),1,"")&amp;":"&amp;SUBSTITUTE(ADDRESS(1,MATCH(J$8,'Asset Returns'!$1:$1,0),4),1,"")),INDIRECT("'Asset Returns'!"&amp;SUBSTITUTE(ADDRESS(1,MATCH($B29,'Asset Returns'!$1:$1,0),4),1,"")&amp;":"&amp;SUBSTITUTE(ADDRESS(1,MATCH($B29,'Asset Returns'!$1:$1,0),4),1,""))))</f>
        <v/>
      </c>
      <c r="K29" s="70" t="str">
        <f ca="1">IF(OR(K$8="",$B29=""),"",_xlfn.COVARIANCE.S(INDIRECT("'Asset Returns'!"&amp;SUBSTITUTE(ADDRESS(1,MATCH(K$8,'Asset Returns'!$1:$1,0),4),1,"")&amp;":"&amp;SUBSTITUTE(ADDRESS(1,MATCH(K$8,'Asset Returns'!$1:$1,0),4),1,"")),INDIRECT("'Asset Returns'!"&amp;SUBSTITUTE(ADDRESS(1,MATCH($B29,'Asset Returns'!$1:$1,0),4),1,"")&amp;":"&amp;SUBSTITUTE(ADDRESS(1,MATCH($B29,'Asset Returns'!$1:$1,0),4),1,""))))</f>
        <v/>
      </c>
      <c r="L29" s="70" t="str">
        <f ca="1">IF(OR(L$8="",$B29=""),"",_xlfn.COVARIANCE.S(INDIRECT("'Asset Returns'!"&amp;SUBSTITUTE(ADDRESS(1,MATCH(L$8,'Asset Returns'!$1:$1,0),4),1,"")&amp;":"&amp;SUBSTITUTE(ADDRESS(1,MATCH(L$8,'Asset Returns'!$1:$1,0),4),1,"")),INDIRECT("'Asset Returns'!"&amp;SUBSTITUTE(ADDRESS(1,MATCH($B29,'Asset Returns'!$1:$1,0),4),1,"")&amp;":"&amp;SUBSTITUTE(ADDRESS(1,MATCH($B29,'Asset Returns'!$1:$1,0),4),1,""))))</f>
        <v/>
      </c>
      <c r="M29" s="70" t="str">
        <f ca="1">IF(OR(M$8="",$B29=""),"",_xlfn.COVARIANCE.S(INDIRECT("'Asset Returns'!"&amp;SUBSTITUTE(ADDRESS(1,MATCH(M$8,'Asset Returns'!$1:$1,0),4),1,"")&amp;":"&amp;SUBSTITUTE(ADDRESS(1,MATCH(M$8,'Asset Returns'!$1:$1,0),4),1,"")),INDIRECT("'Asset Returns'!"&amp;SUBSTITUTE(ADDRESS(1,MATCH($B29,'Asset Returns'!$1:$1,0),4),1,"")&amp;":"&amp;SUBSTITUTE(ADDRESS(1,MATCH($B29,'Asset Returns'!$1:$1,0),4),1,""))))</f>
        <v/>
      </c>
      <c r="N29" s="70" t="str">
        <f ca="1">IF(OR(N$8="",$B29=""),"",_xlfn.COVARIANCE.S(INDIRECT("'Asset Returns'!"&amp;SUBSTITUTE(ADDRESS(1,MATCH(N$8,'Asset Returns'!$1:$1,0),4),1,"")&amp;":"&amp;SUBSTITUTE(ADDRESS(1,MATCH(N$8,'Asset Returns'!$1:$1,0),4),1,"")),INDIRECT("'Asset Returns'!"&amp;SUBSTITUTE(ADDRESS(1,MATCH($B29,'Asset Returns'!$1:$1,0),4),1,"")&amp;":"&amp;SUBSTITUTE(ADDRESS(1,MATCH($B29,'Asset Returns'!$1:$1,0),4),1,""))))</f>
        <v/>
      </c>
      <c r="O29" s="70" t="str">
        <f ca="1">IF(OR(O$8="",$B29=""),"",_xlfn.COVARIANCE.S(INDIRECT("'Asset Returns'!"&amp;SUBSTITUTE(ADDRESS(1,MATCH(O$8,'Asset Returns'!$1:$1,0),4),1,"")&amp;":"&amp;SUBSTITUTE(ADDRESS(1,MATCH(O$8,'Asset Returns'!$1:$1,0),4),1,"")),INDIRECT("'Asset Returns'!"&amp;SUBSTITUTE(ADDRESS(1,MATCH($B29,'Asset Returns'!$1:$1,0),4),1,"")&amp;":"&amp;SUBSTITUTE(ADDRESS(1,MATCH($B29,'Asset Returns'!$1:$1,0),4),1,""))))</f>
        <v/>
      </c>
      <c r="P29" s="70" t="str">
        <f ca="1">IF(OR(P$8="",$B29=""),"",_xlfn.COVARIANCE.S(INDIRECT("'Asset Returns'!"&amp;SUBSTITUTE(ADDRESS(1,MATCH(P$8,'Asset Returns'!$1:$1,0),4),1,"")&amp;":"&amp;SUBSTITUTE(ADDRESS(1,MATCH(P$8,'Asset Returns'!$1:$1,0),4),1,"")),INDIRECT("'Asset Returns'!"&amp;SUBSTITUTE(ADDRESS(1,MATCH($B29,'Asset Returns'!$1:$1,0),4),1,"")&amp;":"&amp;SUBSTITUTE(ADDRESS(1,MATCH($B29,'Asset Returns'!$1:$1,0),4),1,""))))</f>
        <v/>
      </c>
      <c r="Q29" s="70" t="str">
        <f ca="1">IF(OR(Q$8="",$B29=""),"",_xlfn.COVARIANCE.S(INDIRECT("'Asset Returns'!"&amp;SUBSTITUTE(ADDRESS(1,MATCH(Q$8,'Asset Returns'!$1:$1,0),4),1,"")&amp;":"&amp;SUBSTITUTE(ADDRESS(1,MATCH(Q$8,'Asset Returns'!$1:$1,0),4),1,"")),INDIRECT("'Asset Returns'!"&amp;SUBSTITUTE(ADDRESS(1,MATCH($B29,'Asset Returns'!$1:$1,0),4),1,"")&amp;":"&amp;SUBSTITUTE(ADDRESS(1,MATCH($B29,'Asset Returns'!$1:$1,0),4),1,""))))</f>
        <v/>
      </c>
      <c r="R29" s="70" t="str">
        <f ca="1">IF(OR(R$8="",$B29=""),"",_xlfn.COVARIANCE.S(INDIRECT("'Asset Returns'!"&amp;SUBSTITUTE(ADDRESS(1,MATCH(R$8,'Asset Returns'!$1:$1,0),4),1,"")&amp;":"&amp;SUBSTITUTE(ADDRESS(1,MATCH(R$8,'Asset Returns'!$1:$1,0),4),1,"")),INDIRECT("'Asset Returns'!"&amp;SUBSTITUTE(ADDRESS(1,MATCH($B29,'Asset Returns'!$1:$1,0),4),1,"")&amp;":"&amp;SUBSTITUTE(ADDRESS(1,MATCH($B29,'Asset Returns'!$1:$1,0),4),1,""))))</f>
        <v/>
      </c>
      <c r="S29" s="70" t="str">
        <f ca="1">IF(OR(S$8="",$B29=""),"",_xlfn.COVARIANCE.S(INDIRECT("'Asset Returns'!"&amp;SUBSTITUTE(ADDRESS(1,MATCH(S$8,'Asset Returns'!$1:$1,0),4),1,"")&amp;":"&amp;SUBSTITUTE(ADDRESS(1,MATCH(S$8,'Asset Returns'!$1:$1,0),4),1,"")),INDIRECT("'Asset Returns'!"&amp;SUBSTITUTE(ADDRESS(1,MATCH($B29,'Asset Returns'!$1:$1,0),4),1,"")&amp;":"&amp;SUBSTITUTE(ADDRESS(1,MATCH($B29,'Asset Returns'!$1:$1,0),4),1,""))))</f>
        <v/>
      </c>
      <c r="T29" s="70" t="str">
        <f ca="1">IF(OR(T$8="",$B29=""),"",_xlfn.COVARIANCE.S(INDIRECT("'Asset Returns'!"&amp;SUBSTITUTE(ADDRESS(1,MATCH(T$8,'Asset Returns'!$1:$1,0),4),1,"")&amp;":"&amp;SUBSTITUTE(ADDRESS(1,MATCH(T$8,'Asset Returns'!$1:$1,0),4),1,"")),INDIRECT("'Asset Returns'!"&amp;SUBSTITUTE(ADDRESS(1,MATCH($B29,'Asset Returns'!$1:$1,0),4),1,"")&amp;":"&amp;SUBSTITUTE(ADDRESS(1,MATCH($B29,'Asset Returns'!$1:$1,0),4),1,""))))</f>
        <v/>
      </c>
      <c r="U29" s="70" t="str">
        <f ca="1">IF(OR(U$8="",$B29=""),"",_xlfn.COVARIANCE.S(INDIRECT("'Asset Returns'!"&amp;SUBSTITUTE(ADDRESS(1,MATCH(U$8,'Asset Returns'!$1:$1,0),4),1,"")&amp;":"&amp;SUBSTITUTE(ADDRESS(1,MATCH(U$8,'Asset Returns'!$1:$1,0),4),1,"")),INDIRECT("'Asset Returns'!"&amp;SUBSTITUTE(ADDRESS(1,MATCH($B29,'Asset Returns'!$1:$1,0),4),1,"")&amp;":"&amp;SUBSTITUTE(ADDRESS(1,MATCH($B29,'Asset Returns'!$1:$1,0),4),1,""))))</f>
        <v/>
      </c>
      <c r="V29" s="70" t="str">
        <f ca="1">IF(OR(V$8="",$B29=""),"",_xlfn.COVARIANCE.S(INDIRECT("'Asset Returns'!"&amp;SUBSTITUTE(ADDRESS(1,MATCH(V$8,'Asset Returns'!$1:$1,0),4),1,"")&amp;":"&amp;SUBSTITUTE(ADDRESS(1,MATCH(V$8,'Asset Returns'!$1:$1,0),4),1,"")),INDIRECT("'Asset Returns'!"&amp;SUBSTITUTE(ADDRESS(1,MATCH($B29,'Asset Returns'!$1:$1,0),4),1,"")&amp;":"&amp;SUBSTITUTE(ADDRESS(1,MATCH($B29,'Asset Returns'!$1:$1,0),4),1,""))))</f>
        <v/>
      </c>
      <c r="W29" s="70" t="str">
        <f ca="1">IF(OR(W$8="",$B29=""),"",_xlfn.COVARIANCE.S(INDIRECT("'Asset Returns'!"&amp;SUBSTITUTE(ADDRESS(1,MATCH(W$8,'Asset Returns'!$1:$1,0),4),1,"")&amp;":"&amp;SUBSTITUTE(ADDRESS(1,MATCH(W$8,'Asset Returns'!$1:$1,0),4),1,"")),INDIRECT("'Asset Returns'!"&amp;SUBSTITUTE(ADDRESS(1,MATCH($B29,'Asset Returns'!$1:$1,0),4),1,"")&amp;":"&amp;SUBSTITUTE(ADDRESS(1,MATCH($B29,'Asset Returns'!$1:$1,0),4),1,""))))</f>
        <v/>
      </c>
      <c r="X29" s="70" t="str">
        <f ca="1">IF(OR(X$8="",$B29=""),"",_xlfn.COVARIANCE.S(INDIRECT("'Asset Returns'!"&amp;SUBSTITUTE(ADDRESS(1,MATCH(X$8,'Asset Returns'!$1:$1,0),4),1,"")&amp;":"&amp;SUBSTITUTE(ADDRESS(1,MATCH(X$8,'Asset Returns'!$1:$1,0),4),1,"")),INDIRECT("'Asset Returns'!"&amp;SUBSTITUTE(ADDRESS(1,MATCH($B29,'Asset Returns'!$1:$1,0),4),1,"")&amp;":"&amp;SUBSTITUTE(ADDRESS(1,MATCH($B29,'Asset Returns'!$1:$1,0),4),1,""))))</f>
        <v/>
      </c>
      <c r="Y29" s="70" t="str">
        <f ca="1">IF(OR(Y$8="",$B29=""),"",_xlfn.COVARIANCE.S(INDIRECT("'Asset Returns'!"&amp;SUBSTITUTE(ADDRESS(1,MATCH(Y$8,'Asset Returns'!$1:$1,0),4),1,"")&amp;":"&amp;SUBSTITUTE(ADDRESS(1,MATCH(Y$8,'Asset Returns'!$1:$1,0),4),1,"")),INDIRECT("'Asset Returns'!"&amp;SUBSTITUTE(ADDRESS(1,MATCH($B29,'Asset Returns'!$1:$1,0),4),1,"")&amp;":"&amp;SUBSTITUTE(ADDRESS(1,MATCH($B29,'Asset Returns'!$1:$1,0),4),1,""))))</f>
        <v/>
      </c>
      <c r="Z29" s="70" t="str">
        <f ca="1">IF(OR(Z$8="",$B29=""),"",_xlfn.COVARIANCE.S(INDIRECT("'Asset Returns'!"&amp;SUBSTITUTE(ADDRESS(1,MATCH(Z$8,'Asset Returns'!$1:$1,0),4),1,"")&amp;":"&amp;SUBSTITUTE(ADDRESS(1,MATCH(Z$8,'Asset Returns'!$1:$1,0),4),1,"")),INDIRECT("'Asset Returns'!"&amp;SUBSTITUTE(ADDRESS(1,MATCH($B29,'Asset Returns'!$1:$1,0),4),1,"")&amp;":"&amp;SUBSTITUTE(ADDRESS(1,MATCH($B29,'Asset Returns'!$1:$1,0),4),1,""))))</f>
        <v/>
      </c>
      <c r="AA29" s="70" t="str">
        <f ca="1">IF(OR(AA$8="",$B29=""),"",_xlfn.COVARIANCE.S(INDIRECT("'Asset Returns'!"&amp;SUBSTITUTE(ADDRESS(1,MATCH(AA$8,'Asset Returns'!$1:$1,0),4),1,"")&amp;":"&amp;SUBSTITUTE(ADDRESS(1,MATCH(AA$8,'Asset Returns'!$1:$1,0),4),1,"")),INDIRECT("'Asset Returns'!"&amp;SUBSTITUTE(ADDRESS(1,MATCH($B29,'Asset Returns'!$1:$1,0),4),1,"")&amp;":"&amp;SUBSTITUTE(ADDRESS(1,MATCH($B29,'Asset Returns'!$1:$1,0),4),1,""))))</f>
        <v/>
      </c>
      <c r="AB29" s="96"/>
      <c r="AC29" s="48" t="str">
        <f t="shared" si="0"/>
        <v/>
      </c>
      <c r="AD29" s="4"/>
    </row>
    <row r="30" spans="1:39" x14ac:dyDescent="0.25">
      <c r="A30" s="47"/>
      <c r="B30" s="93"/>
      <c r="C30" s="69" t="str">
        <f ca="1">IF(OR(C$8="",$B30=""),"",_xlfn.COVARIANCE.S(INDIRECT("'Asset Returns'!"&amp;SUBSTITUTE(ADDRESS(1,MATCH(C$8,'Asset Returns'!$1:$1,0),4),1,"")&amp;":"&amp;SUBSTITUTE(ADDRESS(1,MATCH(C$8,'Asset Returns'!$1:$1,0),4),1,"")),INDIRECT("'Asset Returns'!"&amp;SUBSTITUTE(ADDRESS(1,MATCH($B30,'Asset Returns'!$1:$1,0),4),1,"")&amp;":"&amp;SUBSTITUTE(ADDRESS(1,MATCH($B30,'Asset Returns'!$1:$1,0),4),1,""))))</f>
        <v/>
      </c>
      <c r="D30" s="70" t="str">
        <f ca="1">IF(OR(D$8="",$B30=""),"",_xlfn.COVARIANCE.S(INDIRECT("'Asset Returns'!"&amp;SUBSTITUTE(ADDRESS(1,MATCH(D$8,'Asset Returns'!$1:$1,0),4),1,"")&amp;":"&amp;SUBSTITUTE(ADDRESS(1,MATCH(D$8,'Asset Returns'!$1:$1,0),4),1,"")),INDIRECT("'Asset Returns'!"&amp;SUBSTITUTE(ADDRESS(1,MATCH($B30,'Asset Returns'!$1:$1,0),4),1,"")&amp;":"&amp;SUBSTITUTE(ADDRESS(1,MATCH($B30,'Asset Returns'!$1:$1,0),4),1,""))))</f>
        <v/>
      </c>
      <c r="E30" s="70" t="str">
        <f ca="1">IF(OR(E$8="",$B30=""),"",_xlfn.COVARIANCE.S(INDIRECT("'Asset Returns'!"&amp;SUBSTITUTE(ADDRESS(1,MATCH(E$8,'Asset Returns'!$1:$1,0),4),1,"")&amp;":"&amp;SUBSTITUTE(ADDRESS(1,MATCH(E$8,'Asset Returns'!$1:$1,0),4),1,"")),INDIRECT("'Asset Returns'!"&amp;SUBSTITUTE(ADDRESS(1,MATCH($B30,'Asset Returns'!$1:$1,0),4),1,"")&amp;":"&amp;SUBSTITUTE(ADDRESS(1,MATCH($B30,'Asset Returns'!$1:$1,0),4),1,""))))</f>
        <v/>
      </c>
      <c r="F30" s="70" t="str">
        <f ca="1">IF(OR(F$8="",$B30=""),"",_xlfn.COVARIANCE.S(INDIRECT("'Asset Returns'!"&amp;SUBSTITUTE(ADDRESS(1,MATCH(F$8,'Asset Returns'!$1:$1,0),4),1,"")&amp;":"&amp;SUBSTITUTE(ADDRESS(1,MATCH(F$8,'Asset Returns'!$1:$1,0),4),1,"")),INDIRECT("'Asset Returns'!"&amp;SUBSTITUTE(ADDRESS(1,MATCH($B30,'Asset Returns'!$1:$1,0),4),1,"")&amp;":"&amp;SUBSTITUTE(ADDRESS(1,MATCH($B30,'Asset Returns'!$1:$1,0),4),1,""))))</f>
        <v/>
      </c>
      <c r="G30" s="70" t="str">
        <f ca="1">IF(OR(G$8="",$B30=""),"",_xlfn.COVARIANCE.S(INDIRECT("'Asset Returns'!"&amp;SUBSTITUTE(ADDRESS(1,MATCH(G$8,'Asset Returns'!$1:$1,0),4),1,"")&amp;":"&amp;SUBSTITUTE(ADDRESS(1,MATCH(G$8,'Asset Returns'!$1:$1,0),4),1,"")),INDIRECT("'Asset Returns'!"&amp;SUBSTITUTE(ADDRESS(1,MATCH($B30,'Asset Returns'!$1:$1,0),4),1,"")&amp;":"&amp;SUBSTITUTE(ADDRESS(1,MATCH($B30,'Asset Returns'!$1:$1,0),4),1,""))))</f>
        <v/>
      </c>
      <c r="H30" s="70" t="str">
        <f ca="1">IF(OR(H$8="",$B30=""),"",_xlfn.COVARIANCE.S(INDIRECT("'Asset Returns'!"&amp;SUBSTITUTE(ADDRESS(1,MATCH(H$8,'Asset Returns'!$1:$1,0),4),1,"")&amp;":"&amp;SUBSTITUTE(ADDRESS(1,MATCH(H$8,'Asset Returns'!$1:$1,0),4),1,"")),INDIRECT("'Asset Returns'!"&amp;SUBSTITUTE(ADDRESS(1,MATCH($B30,'Asset Returns'!$1:$1,0),4),1,"")&amp;":"&amp;SUBSTITUTE(ADDRESS(1,MATCH($B30,'Asset Returns'!$1:$1,0),4),1,""))))</f>
        <v/>
      </c>
      <c r="I30" s="70" t="str">
        <f ca="1">IF(OR(I$8="",$B30=""),"",_xlfn.COVARIANCE.S(INDIRECT("'Asset Returns'!"&amp;SUBSTITUTE(ADDRESS(1,MATCH(I$8,'Asset Returns'!$1:$1,0),4),1,"")&amp;":"&amp;SUBSTITUTE(ADDRESS(1,MATCH(I$8,'Asset Returns'!$1:$1,0),4),1,"")),INDIRECT("'Asset Returns'!"&amp;SUBSTITUTE(ADDRESS(1,MATCH($B30,'Asset Returns'!$1:$1,0),4),1,"")&amp;":"&amp;SUBSTITUTE(ADDRESS(1,MATCH($B30,'Asset Returns'!$1:$1,0),4),1,""))))</f>
        <v/>
      </c>
      <c r="J30" s="70" t="str">
        <f ca="1">IF(OR(J$8="",$B30=""),"",_xlfn.COVARIANCE.S(INDIRECT("'Asset Returns'!"&amp;SUBSTITUTE(ADDRESS(1,MATCH(J$8,'Asset Returns'!$1:$1,0),4),1,"")&amp;":"&amp;SUBSTITUTE(ADDRESS(1,MATCH(J$8,'Asset Returns'!$1:$1,0),4),1,"")),INDIRECT("'Asset Returns'!"&amp;SUBSTITUTE(ADDRESS(1,MATCH($B30,'Asset Returns'!$1:$1,0),4),1,"")&amp;":"&amp;SUBSTITUTE(ADDRESS(1,MATCH($B30,'Asset Returns'!$1:$1,0),4),1,""))))</f>
        <v/>
      </c>
      <c r="K30" s="70" t="str">
        <f ca="1">IF(OR(K$8="",$B30=""),"",_xlfn.COVARIANCE.S(INDIRECT("'Asset Returns'!"&amp;SUBSTITUTE(ADDRESS(1,MATCH(K$8,'Asset Returns'!$1:$1,0),4),1,"")&amp;":"&amp;SUBSTITUTE(ADDRESS(1,MATCH(K$8,'Asset Returns'!$1:$1,0),4),1,"")),INDIRECT("'Asset Returns'!"&amp;SUBSTITUTE(ADDRESS(1,MATCH($B30,'Asset Returns'!$1:$1,0),4),1,"")&amp;":"&amp;SUBSTITUTE(ADDRESS(1,MATCH($B30,'Asset Returns'!$1:$1,0),4),1,""))))</f>
        <v/>
      </c>
      <c r="L30" s="70" t="str">
        <f ca="1">IF(OR(L$8="",$B30=""),"",_xlfn.COVARIANCE.S(INDIRECT("'Asset Returns'!"&amp;SUBSTITUTE(ADDRESS(1,MATCH(L$8,'Asset Returns'!$1:$1,0),4),1,"")&amp;":"&amp;SUBSTITUTE(ADDRESS(1,MATCH(L$8,'Asset Returns'!$1:$1,0),4),1,"")),INDIRECT("'Asset Returns'!"&amp;SUBSTITUTE(ADDRESS(1,MATCH($B30,'Asset Returns'!$1:$1,0),4),1,"")&amp;":"&amp;SUBSTITUTE(ADDRESS(1,MATCH($B30,'Asset Returns'!$1:$1,0),4),1,""))))</f>
        <v/>
      </c>
      <c r="M30" s="70" t="str">
        <f ca="1">IF(OR(M$8="",$B30=""),"",_xlfn.COVARIANCE.S(INDIRECT("'Asset Returns'!"&amp;SUBSTITUTE(ADDRESS(1,MATCH(M$8,'Asset Returns'!$1:$1,0),4),1,"")&amp;":"&amp;SUBSTITUTE(ADDRESS(1,MATCH(M$8,'Asset Returns'!$1:$1,0),4),1,"")),INDIRECT("'Asset Returns'!"&amp;SUBSTITUTE(ADDRESS(1,MATCH($B30,'Asset Returns'!$1:$1,0),4),1,"")&amp;":"&amp;SUBSTITUTE(ADDRESS(1,MATCH($B30,'Asset Returns'!$1:$1,0),4),1,""))))</f>
        <v/>
      </c>
      <c r="N30" s="70" t="str">
        <f ca="1">IF(OR(N$8="",$B30=""),"",_xlfn.COVARIANCE.S(INDIRECT("'Asset Returns'!"&amp;SUBSTITUTE(ADDRESS(1,MATCH(N$8,'Asset Returns'!$1:$1,0),4),1,"")&amp;":"&amp;SUBSTITUTE(ADDRESS(1,MATCH(N$8,'Asset Returns'!$1:$1,0),4),1,"")),INDIRECT("'Asset Returns'!"&amp;SUBSTITUTE(ADDRESS(1,MATCH($B30,'Asset Returns'!$1:$1,0),4),1,"")&amp;":"&amp;SUBSTITUTE(ADDRESS(1,MATCH($B30,'Asset Returns'!$1:$1,0),4),1,""))))</f>
        <v/>
      </c>
      <c r="O30" s="70" t="str">
        <f ca="1">IF(OR(O$8="",$B30=""),"",_xlfn.COVARIANCE.S(INDIRECT("'Asset Returns'!"&amp;SUBSTITUTE(ADDRESS(1,MATCH(O$8,'Asset Returns'!$1:$1,0),4),1,"")&amp;":"&amp;SUBSTITUTE(ADDRESS(1,MATCH(O$8,'Asset Returns'!$1:$1,0),4),1,"")),INDIRECT("'Asset Returns'!"&amp;SUBSTITUTE(ADDRESS(1,MATCH($B30,'Asset Returns'!$1:$1,0),4),1,"")&amp;":"&amp;SUBSTITUTE(ADDRESS(1,MATCH($B30,'Asset Returns'!$1:$1,0),4),1,""))))</f>
        <v/>
      </c>
      <c r="P30" s="70" t="str">
        <f ca="1">IF(OR(P$8="",$B30=""),"",_xlfn.COVARIANCE.S(INDIRECT("'Asset Returns'!"&amp;SUBSTITUTE(ADDRESS(1,MATCH(P$8,'Asset Returns'!$1:$1,0),4),1,"")&amp;":"&amp;SUBSTITUTE(ADDRESS(1,MATCH(P$8,'Asset Returns'!$1:$1,0),4),1,"")),INDIRECT("'Asset Returns'!"&amp;SUBSTITUTE(ADDRESS(1,MATCH($B30,'Asset Returns'!$1:$1,0),4),1,"")&amp;":"&amp;SUBSTITUTE(ADDRESS(1,MATCH($B30,'Asset Returns'!$1:$1,0),4),1,""))))</f>
        <v/>
      </c>
      <c r="Q30" s="70" t="str">
        <f ca="1">IF(OR(Q$8="",$B30=""),"",_xlfn.COVARIANCE.S(INDIRECT("'Asset Returns'!"&amp;SUBSTITUTE(ADDRESS(1,MATCH(Q$8,'Asset Returns'!$1:$1,0),4),1,"")&amp;":"&amp;SUBSTITUTE(ADDRESS(1,MATCH(Q$8,'Asset Returns'!$1:$1,0),4),1,"")),INDIRECT("'Asset Returns'!"&amp;SUBSTITUTE(ADDRESS(1,MATCH($B30,'Asset Returns'!$1:$1,0),4),1,"")&amp;":"&amp;SUBSTITUTE(ADDRESS(1,MATCH($B30,'Asset Returns'!$1:$1,0),4),1,""))))</f>
        <v/>
      </c>
      <c r="R30" s="70" t="str">
        <f ca="1">IF(OR(R$8="",$B30=""),"",_xlfn.COVARIANCE.S(INDIRECT("'Asset Returns'!"&amp;SUBSTITUTE(ADDRESS(1,MATCH(R$8,'Asset Returns'!$1:$1,0),4),1,"")&amp;":"&amp;SUBSTITUTE(ADDRESS(1,MATCH(R$8,'Asset Returns'!$1:$1,0),4),1,"")),INDIRECT("'Asset Returns'!"&amp;SUBSTITUTE(ADDRESS(1,MATCH($B30,'Asset Returns'!$1:$1,0),4),1,"")&amp;":"&amp;SUBSTITUTE(ADDRESS(1,MATCH($B30,'Asset Returns'!$1:$1,0),4),1,""))))</f>
        <v/>
      </c>
      <c r="S30" s="70" t="str">
        <f ca="1">IF(OR(S$8="",$B30=""),"",_xlfn.COVARIANCE.S(INDIRECT("'Asset Returns'!"&amp;SUBSTITUTE(ADDRESS(1,MATCH(S$8,'Asset Returns'!$1:$1,0),4),1,"")&amp;":"&amp;SUBSTITUTE(ADDRESS(1,MATCH(S$8,'Asset Returns'!$1:$1,0),4),1,"")),INDIRECT("'Asset Returns'!"&amp;SUBSTITUTE(ADDRESS(1,MATCH($B30,'Asset Returns'!$1:$1,0),4),1,"")&amp;":"&amp;SUBSTITUTE(ADDRESS(1,MATCH($B30,'Asset Returns'!$1:$1,0),4),1,""))))</f>
        <v/>
      </c>
      <c r="T30" s="70" t="str">
        <f ca="1">IF(OR(T$8="",$B30=""),"",_xlfn.COVARIANCE.S(INDIRECT("'Asset Returns'!"&amp;SUBSTITUTE(ADDRESS(1,MATCH(T$8,'Asset Returns'!$1:$1,0),4),1,"")&amp;":"&amp;SUBSTITUTE(ADDRESS(1,MATCH(T$8,'Asset Returns'!$1:$1,0),4),1,"")),INDIRECT("'Asset Returns'!"&amp;SUBSTITUTE(ADDRESS(1,MATCH($B30,'Asset Returns'!$1:$1,0),4),1,"")&amp;":"&amp;SUBSTITUTE(ADDRESS(1,MATCH($B30,'Asset Returns'!$1:$1,0),4),1,""))))</f>
        <v/>
      </c>
      <c r="U30" s="70" t="str">
        <f ca="1">IF(OR(U$8="",$B30=""),"",_xlfn.COVARIANCE.S(INDIRECT("'Asset Returns'!"&amp;SUBSTITUTE(ADDRESS(1,MATCH(U$8,'Asset Returns'!$1:$1,0),4),1,"")&amp;":"&amp;SUBSTITUTE(ADDRESS(1,MATCH(U$8,'Asset Returns'!$1:$1,0),4),1,"")),INDIRECT("'Asset Returns'!"&amp;SUBSTITUTE(ADDRESS(1,MATCH($B30,'Asset Returns'!$1:$1,0),4),1,"")&amp;":"&amp;SUBSTITUTE(ADDRESS(1,MATCH($B30,'Asset Returns'!$1:$1,0),4),1,""))))</f>
        <v/>
      </c>
      <c r="V30" s="70" t="str">
        <f ca="1">IF(OR(V$8="",$B30=""),"",_xlfn.COVARIANCE.S(INDIRECT("'Asset Returns'!"&amp;SUBSTITUTE(ADDRESS(1,MATCH(V$8,'Asset Returns'!$1:$1,0),4),1,"")&amp;":"&amp;SUBSTITUTE(ADDRESS(1,MATCH(V$8,'Asset Returns'!$1:$1,0),4),1,"")),INDIRECT("'Asset Returns'!"&amp;SUBSTITUTE(ADDRESS(1,MATCH($B30,'Asset Returns'!$1:$1,0),4),1,"")&amp;":"&amp;SUBSTITUTE(ADDRESS(1,MATCH($B30,'Asset Returns'!$1:$1,0),4),1,""))))</f>
        <v/>
      </c>
      <c r="W30" s="70" t="str">
        <f ca="1">IF(OR(W$8="",$B30=""),"",_xlfn.COVARIANCE.S(INDIRECT("'Asset Returns'!"&amp;SUBSTITUTE(ADDRESS(1,MATCH(W$8,'Asset Returns'!$1:$1,0),4),1,"")&amp;":"&amp;SUBSTITUTE(ADDRESS(1,MATCH(W$8,'Asset Returns'!$1:$1,0),4),1,"")),INDIRECT("'Asset Returns'!"&amp;SUBSTITUTE(ADDRESS(1,MATCH($B30,'Asset Returns'!$1:$1,0),4),1,"")&amp;":"&amp;SUBSTITUTE(ADDRESS(1,MATCH($B30,'Asset Returns'!$1:$1,0),4),1,""))))</f>
        <v/>
      </c>
      <c r="X30" s="70" t="str">
        <f ca="1">IF(OR(X$8="",$B30=""),"",_xlfn.COVARIANCE.S(INDIRECT("'Asset Returns'!"&amp;SUBSTITUTE(ADDRESS(1,MATCH(X$8,'Asset Returns'!$1:$1,0),4),1,"")&amp;":"&amp;SUBSTITUTE(ADDRESS(1,MATCH(X$8,'Asset Returns'!$1:$1,0),4),1,"")),INDIRECT("'Asset Returns'!"&amp;SUBSTITUTE(ADDRESS(1,MATCH($B30,'Asset Returns'!$1:$1,0),4),1,"")&amp;":"&amp;SUBSTITUTE(ADDRESS(1,MATCH($B30,'Asset Returns'!$1:$1,0),4),1,""))))</f>
        <v/>
      </c>
      <c r="Y30" s="70" t="str">
        <f ca="1">IF(OR(Y$8="",$B30=""),"",_xlfn.COVARIANCE.S(INDIRECT("'Asset Returns'!"&amp;SUBSTITUTE(ADDRESS(1,MATCH(Y$8,'Asset Returns'!$1:$1,0),4),1,"")&amp;":"&amp;SUBSTITUTE(ADDRESS(1,MATCH(Y$8,'Asset Returns'!$1:$1,0),4),1,"")),INDIRECT("'Asset Returns'!"&amp;SUBSTITUTE(ADDRESS(1,MATCH($B30,'Asset Returns'!$1:$1,0),4),1,"")&amp;":"&amp;SUBSTITUTE(ADDRESS(1,MATCH($B30,'Asset Returns'!$1:$1,0),4),1,""))))</f>
        <v/>
      </c>
      <c r="Z30" s="70" t="str">
        <f ca="1">IF(OR(Z$8="",$B30=""),"",_xlfn.COVARIANCE.S(INDIRECT("'Asset Returns'!"&amp;SUBSTITUTE(ADDRESS(1,MATCH(Z$8,'Asset Returns'!$1:$1,0),4),1,"")&amp;":"&amp;SUBSTITUTE(ADDRESS(1,MATCH(Z$8,'Asset Returns'!$1:$1,0),4),1,"")),INDIRECT("'Asset Returns'!"&amp;SUBSTITUTE(ADDRESS(1,MATCH($B30,'Asset Returns'!$1:$1,0),4),1,"")&amp;":"&amp;SUBSTITUTE(ADDRESS(1,MATCH($B30,'Asset Returns'!$1:$1,0),4),1,""))))</f>
        <v/>
      </c>
      <c r="AA30" s="70" t="str">
        <f ca="1">IF(OR(AA$8="",$B30=""),"",_xlfn.COVARIANCE.S(INDIRECT("'Asset Returns'!"&amp;SUBSTITUTE(ADDRESS(1,MATCH(AA$8,'Asset Returns'!$1:$1,0),4),1,"")&amp;":"&amp;SUBSTITUTE(ADDRESS(1,MATCH(AA$8,'Asset Returns'!$1:$1,0),4),1,"")),INDIRECT("'Asset Returns'!"&amp;SUBSTITUTE(ADDRESS(1,MATCH($B30,'Asset Returns'!$1:$1,0),4),1,"")&amp;":"&amp;SUBSTITUTE(ADDRESS(1,MATCH($B30,'Asset Returns'!$1:$1,0),4),1,""))))</f>
        <v/>
      </c>
      <c r="AB30" s="96"/>
      <c r="AC30" s="48" t="str">
        <f t="shared" si="0"/>
        <v/>
      </c>
      <c r="AD30" s="4"/>
    </row>
    <row r="31" spans="1:39" x14ac:dyDescent="0.25">
      <c r="A31" s="47"/>
      <c r="B31" s="93"/>
      <c r="C31" s="69" t="str">
        <f ca="1">IF(OR(C$8="",$B31=""),"",_xlfn.COVARIANCE.S(INDIRECT("'Asset Returns'!"&amp;SUBSTITUTE(ADDRESS(1,MATCH(C$8,'Asset Returns'!$1:$1,0),4),1,"")&amp;":"&amp;SUBSTITUTE(ADDRESS(1,MATCH(C$8,'Asset Returns'!$1:$1,0),4),1,"")),INDIRECT("'Asset Returns'!"&amp;SUBSTITUTE(ADDRESS(1,MATCH($B31,'Asset Returns'!$1:$1,0),4),1,"")&amp;":"&amp;SUBSTITUTE(ADDRESS(1,MATCH($B31,'Asset Returns'!$1:$1,0),4),1,""))))</f>
        <v/>
      </c>
      <c r="D31" s="70" t="str">
        <f ca="1">IF(OR(D$8="",$B31=""),"",_xlfn.COVARIANCE.S(INDIRECT("'Asset Returns'!"&amp;SUBSTITUTE(ADDRESS(1,MATCH(D$8,'Asset Returns'!$1:$1,0),4),1,"")&amp;":"&amp;SUBSTITUTE(ADDRESS(1,MATCH(D$8,'Asset Returns'!$1:$1,0),4),1,"")),INDIRECT("'Asset Returns'!"&amp;SUBSTITUTE(ADDRESS(1,MATCH($B31,'Asset Returns'!$1:$1,0),4),1,"")&amp;":"&amp;SUBSTITUTE(ADDRESS(1,MATCH($B31,'Asset Returns'!$1:$1,0),4),1,""))))</f>
        <v/>
      </c>
      <c r="E31" s="70" t="str">
        <f ca="1">IF(OR(E$8="",$B31=""),"",_xlfn.COVARIANCE.S(INDIRECT("'Asset Returns'!"&amp;SUBSTITUTE(ADDRESS(1,MATCH(E$8,'Asset Returns'!$1:$1,0),4),1,"")&amp;":"&amp;SUBSTITUTE(ADDRESS(1,MATCH(E$8,'Asset Returns'!$1:$1,0),4),1,"")),INDIRECT("'Asset Returns'!"&amp;SUBSTITUTE(ADDRESS(1,MATCH($B31,'Asset Returns'!$1:$1,0),4),1,"")&amp;":"&amp;SUBSTITUTE(ADDRESS(1,MATCH($B31,'Asset Returns'!$1:$1,0),4),1,""))))</f>
        <v/>
      </c>
      <c r="F31" s="70" t="str">
        <f ca="1">IF(OR(F$8="",$B31=""),"",_xlfn.COVARIANCE.S(INDIRECT("'Asset Returns'!"&amp;SUBSTITUTE(ADDRESS(1,MATCH(F$8,'Asset Returns'!$1:$1,0),4),1,"")&amp;":"&amp;SUBSTITUTE(ADDRESS(1,MATCH(F$8,'Asset Returns'!$1:$1,0),4),1,"")),INDIRECT("'Asset Returns'!"&amp;SUBSTITUTE(ADDRESS(1,MATCH($B31,'Asset Returns'!$1:$1,0),4),1,"")&amp;":"&amp;SUBSTITUTE(ADDRESS(1,MATCH($B31,'Asset Returns'!$1:$1,0),4),1,""))))</f>
        <v/>
      </c>
      <c r="G31" s="70" t="str">
        <f ca="1">IF(OR(G$8="",$B31=""),"",_xlfn.COVARIANCE.S(INDIRECT("'Asset Returns'!"&amp;SUBSTITUTE(ADDRESS(1,MATCH(G$8,'Asset Returns'!$1:$1,0),4),1,"")&amp;":"&amp;SUBSTITUTE(ADDRESS(1,MATCH(G$8,'Asset Returns'!$1:$1,0),4),1,"")),INDIRECT("'Asset Returns'!"&amp;SUBSTITUTE(ADDRESS(1,MATCH($B31,'Asset Returns'!$1:$1,0),4),1,"")&amp;":"&amp;SUBSTITUTE(ADDRESS(1,MATCH($B31,'Asset Returns'!$1:$1,0),4),1,""))))</f>
        <v/>
      </c>
      <c r="H31" s="70" t="str">
        <f ca="1">IF(OR(H$8="",$B31=""),"",_xlfn.COVARIANCE.S(INDIRECT("'Asset Returns'!"&amp;SUBSTITUTE(ADDRESS(1,MATCH(H$8,'Asset Returns'!$1:$1,0),4),1,"")&amp;":"&amp;SUBSTITUTE(ADDRESS(1,MATCH(H$8,'Asset Returns'!$1:$1,0),4),1,"")),INDIRECT("'Asset Returns'!"&amp;SUBSTITUTE(ADDRESS(1,MATCH($B31,'Asset Returns'!$1:$1,0),4),1,"")&amp;":"&amp;SUBSTITUTE(ADDRESS(1,MATCH($B31,'Asset Returns'!$1:$1,0),4),1,""))))</f>
        <v/>
      </c>
      <c r="I31" s="70" t="str">
        <f ca="1">IF(OR(I$8="",$B31=""),"",_xlfn.COVARIANCE.S(INDIRECT("'Asset Returns'!"&amp;SUBSTITUTE(ADDRESS(1,MATCH(I$8,'Asset Returns'!$1:$1,0),4),1,"")&amp;":"&amp;SUBSTITUTE(ADDRESS(1,MATCH(I$8,'Asset Returns'!$1:$1,0),4),1,"")),INDIRECT("'Asset Returns'!"&amp;SUBSTITUTE(ADDRESS(1,MATCH($B31,'Asset Returns'!$1:$1,0),4),1,"")&amp;":"&amp;SUBSTITUTE(ADDRESS(1,MATCH($B31,'Asset Returns'!$1:$1,0),4),1,""))))</f>
        <v/>
      </c>
      <c r="J31" s="70" t="str">
        <f ca="1">IF(OR(J$8="",$B31=""),"",_xlfn.COVARIANCE.S(INDIRECT("'Asset Returns'!"&amp;SUBSTITUTE(ADDRESS(1,MATCH(J$8,'Asset Returns'!$1:$1,0),4),1,"")&amp;":"&amp;SUBSTITUTE(ADDRESS(1,MATCH(J$8,'Asset Returns'!$1:$1,0),4),1,"")),INDIRECT("'Asset Returns'!"&amp;SUBSTITUTE(ADDRESS(1,MATCH($B31,'Asset Returns'!$1:$1,0),4),1,"")&amp;":"&amp;SUBSTITUTE(ADDRESS(1,MATCH($B31,'Asset Returns'!$1:$1,0),4),1,""))))</f>
        <v/>
      </c>
      <c r="K31" s="70" t="str">
        <f ca="1">IF(OR(K$8="",$B31=""),"",_xlfn.COVARIANCE.S(INDIRECT("'Asset Returns'!"&amp;SUBSTITUTE(ADDRESS(1,MATCH(K$8,'Asset Returns'!$1:$1,0),4),1,"")&amp;":"&amp;SUBSTITUTE(ADDRESS(1,MATCH(K$8,'Asset Returns'!$1:$1,0),4),1,"")),INDIRECT("'Asset Returns'!"&amp;SUBSTITUTE(ADDRESS(1,MATCH($B31,'Asset Returns'!$1:$1,0),4),1,"")&amp;":"&amp;SUBSTITUTE(ADDRESS(1,MATCH($B31,'Asset Returns'!$1:$1,0),4),1,""))))</f>
        <v/>
      </c>
      <c r="L31" s="70" t="str">
        <f ca="1">IF(OR(L$8="",$B31=""),"",_xlfn.COVARIANCE.S(INDIRECT("'Asset Returns'!"&amp;SUBSTITUTE(ADDRESS(1,MATCH(L$8,'Asset Returns'!$1:$1,0),4),1,"")&amp;":"&amp;SUBSTITUTE(ADDRESS(1,MATCH(L$8,'Asset Returns'!$1:$1,0),4),1,"")),INDIRECT("'Asset Returns'!"&amp;SUBSTITUTE(ADDRESS(1,MATCH($B31,'Asset Returns'!$1:$1,0),4),1,"")&amp;":"&amp;SUBSTITUTE(ADDRESS(1,MATCH($B31,'Asset Returns'!$1:$1,0),4),1,""))))</f>
        <v/>
      </c>
      <c r="M31" s="70" t="str">
        <f ca="1">IF(OR(M$8="",$B31=""),"",_xlfn.COVARIANCE.S(INDIRECT("'Asset Returns'!"&amp;SUBSTITUTE(ADDRESS(1,MATCH(M$8,'Asset Returns'!$1:$1,0),4),1,"")&amp;":"&amp;SUBSTITUTE(ADDRESS(1,MATCH(M$8,'Asset Returns'!$1:$1,0),4),1,"")),INDIRECT("'Asset Returns'!"&amp;SUBSTITUTE(ADDRESS(1,MATCH($B31,'Asset Returns'!$1:$1,0),4),1,"")&amp;":"&amp;SUBSTITUTE(ADDRESS(1,MATCH($B31,'Asset Returns'!$1:$1,0),4),1,""))))</f>
        <v/>
      </c>
      <c r="N31" s="70" t="str">
        <f ca="1">IF(OR(N$8="",$B31=""),"",_xlfn.COVARIANCE.S(INDIRECT("'Asset Returns'!"&amp;SUBSTITUTE(ADDRESS(1,MATCH(N$8,'Asset Returns'!$1:$1,0),4),1,"")&amp;":"&amp;SUBSTITUTE(ADDRESS(1,MATCH(N$8,'Asset Returns'!$1:$1,0),4),1,"")),INDIRECT("'Asset Returns'!"&amp;SUBSTITUTE(ADDRESS(1,MATCH($B31,'Asset Returns'!$1:$1,0),4),1,"")&amp;":"&amp;SUBSTITUTE(ADDRESS(1,MATCH($B31,'Asset Returns'!$1:$1,0),4),1,""))))</f>
        <v/>
      </c>
      <c r="O31" s="70" t="str">
        <f ca="1">IF(OR(O$8="",$B31=""),"",_xlfn.COVARIANCE.S(INDIRECT("'Asset Returns'!"&amp;SUBSTITUTE(ADDRESS(1,MATCH(O$8,'Asset Returns'!$1:$1,0),4),1,"")&amp;":"&amp;SUBSTITUTE(ADDRESS(1,MATCH(O$8,'Asset Returns'!$1:$1,0),4),1,"")),INDIRECT("'Asset Returns'!"&amp;SUBSTITUTE(ADDRESS(1,MATCH($B31,'Asset Returns'!$1:$1,0),4),1,"")&amp;":"&amp;SUBSTITUTE(ADDRESS(1,MATCH($B31,'Asset Returns'!$1:$1,0),4),1,""))))</f>
        <v/>
      </c>
      <c r="P31" s="70" t="str">
        <f ca="1">IF(OR(P$8="",$B31=""),"",_xlfn.COVARIANCE.S(INDIRECT("'Asset Returns'!"&amp;SUBSTITUTE(ADDRESS(1,MATCH(P$8,'Asset Returns'!$1:$1,0),4),1,"")&amp;":"&amp;SUBSTITUTE(ADDRESS(1,MATCH(P$8,'Asset Returns'!$1:$1,0),4),1,"")),INDIRECT("'Asset Returns'!"&amp;SUBSTITUTE(ADDRESS(1,MATCH($B31,'Asset Returns'!$1:$1,0),4),1,"")&amp;":"&amp;SUBSTITUTE(ADDRESS(1,MATCH($B31,'Asset Returns'!$1:$1,0),4),1,""))))</f>
        <v/>
      </c>
      <c r="Q31" s="70" t="str">
        <f ca="1">IF(OR(Q$8="",$B31=""),"",_xlfn.COVARIANCE.S(INDIRECT("'Asset Returns'!"&amp;SUBSTITUTE(ADDRESS(1,MATCH(Q$8,'Asset Returns'!$1:$1,0),4),1,"")&amp;":"&amp;SUBSTITUTE(ADDRESS(1,MATCH(Q$8,'Asset Returns'!$1:$1,0),4),1,"")),INDIRECT("'Asset Returns'!"&amp;SUBSTITUTE(ADDRESS(1,MATCH($B31,'Asset Returns'!$1:$1,0),4),1,"")&amp;":"&amp;SUBSTITUTE(ADDRESS(1,MATCH($B31,'Asset Returns'!$1:$1,0),4),1,""))))</f>
        <v/>
      </c>
      <c r="R31" s="70" t="str">
        <f ca="1">IF(OR(R$8="",$B31=""),"",_xlfn.COVARIANCE.S(INDIRECT("'Asset Returns'!"&amp;SUBSTITUTE(ADDRESS(1,MATCH(R$8,'Asset Returns'!$1:$1,0),4),1,"")&amp;":"&amp;SUBSTITUTE(ADDRESS(1,MATCH(R$8,'Asset Returns'!$1:$1,0),4),1,"")),INDIRECT("'Asset Returns'!"&amp;SUBSTITUTE(ADDRESS(1,MATCH($B31,'Asset Returns'!$1:$1,0),4),1,"")&amp;":"&amp;SUBSTITUTE(ADDRESS(1,MATCH($B31,'Asset Returns'!$1:$1,0),4),1,""))))</f>
        <v/>
      </c>
      <c r="S31" s="70" t="str">
        <f ca="1">IF(OR(S$8="",$B31=""),"",_xlfn.COVARIANCE.S(INDIRECT("'Asset Returns'!"&amp;SUBSTITUTE(ADDRESS(1,MATCH(S$8,'Asset Returns'!$1:$1,0),4),1,"")&amp;":"&amp;SUBSTITUTE(ADDRESS(1,MATCH(S$8,'Asset Returns'!$1:$1,0),4),1,"")),INDIRECT("'Asset Returns'!"&amp;SUBSTITUTE(ADDRESS(1,MATCH($B31,'Asset Returns'!$1:$1,0),4),1,"")&amp;":"&amp;SUBSTITUTE(ADDRESS(1,MATCH($B31,'Asset Returns'!$1:$1,0),4),1,""))))</f>
        <v/>
      </c>
      <c r="T31" s="70" t="str">
        <f ca="1">IF(OR(T$8="",$B31=""),"",_xlfn.COVARIANCE.S(INDIRECT("'Asset Returns'!"&amp;SUBSTITUTE(ADDRESS(1,MATCH(T$8,'Asset Returns'!$1:$1,0),4),1,"")&amp;":"&amp;SUBSTITUTE(ADDRESS(1,MATCH(T$8,'Asset Returns'!$1:$1,0),4),1,"")),INDIRECT("'Asset Returns'!"&amp;SUBSTITUTE(ADDRESS(1,MATCH($B31,'Asset Returns'!$1:$1,0),4),1,"")&amp;":"&amp;SUBSTITUTE(ADDRESS(1,MATCH($B31,'Asset Returns'!$1:$1,0),4),1,""))))</f>
        <v/>
      </c>
      <c r="U31" s="70" t="str">
        <f ca="1">IF(OR(U$8="",$B31=""),"",_xlfn.COVARIANCE.S(INDIRECT("'Asset Returns'!"&amp;SUBSTITUTE(ADDRESS(1,MATCH(U$8,'Asset Returns'!$1:$1,0),4),1,"")&amp;":"&amp;SUBSTITUTE(ADDRESS(1,MATCH(U$8,'Asset Returns'!$1:$1,0),4),1,"")),INDIRECT("'Asset Returns'!"&amp;SUBSTITUTE(ADDRESS(1,MATCH($B31,'Asset Returns'!$1:$1,0),4),1,"")&amp;":"&amp;SUBSTITUTE(ADDRESS(1,MATCH($B31,'Asset Returns'!$1:$1,0),4),1,""))))</f>
        <v/>
      </c>
      <c r="V31" s="70" t="str">
        <f ca="1">IF(OR(V$8="",$B31=""),"",_xlfn.COVARIANCE.S(INDIRECT("'Asset Returns'!"&amp;SUBSTITUTE(ADDRESS(1,MATCH(V$8,'Asset Returns'!$1:$1,0),4),1,"")&amp;":"&amp;SUBSTITUTE(ADDRESS(1,MATCH(V$8,'Asset Returns'!$1:$1,0),4),1,"")),INDIRECT("'Asset Returns'!"&amp;SUBSTITUTE(ADDRESS(1,MATCH($B31,'Asset Returns'!$1:$1,0),4),1,"")&amp;":"&amp;SUBSTITUTE(ADDRESS(1,MATCH($B31,'Asset Returns'!$1:$1,0),4),1,""))))</f>
        <v/>
      </c>
      <c r="W31" s="70" t="str">
        <f ca="1">IF(OR(W$8="",$B31=""),"",_xlfn.COVARIANCE.S(INDIRECT("'Asset Returns'!"&amp;SUBSTITUTE(ADDRESS(1,MATCH(W$8,'Asset Returns'!$1:$1,0),4),1,"")&amp;":"&amp;SUBSTITUTE(ADDRESS(1,MATCH(W$8,'Asset Returns'!$1:$1,0),4),1,"")),INDIRECT("'Asset Returns'!"&amp;SUBSTITUTE(ADDRESS(1,MATCH($B31,'Asset Returns'!$1:$1,0),4),1,"")&amp;":"&amp;SUBSTITUTE(ADDRESS(1,MATCH($B31,'Asset Returns'!$1:$1,0),4),1,""))))</f>
        <v/>
      </c>
      <c r="X31" s="70" t="str">
        <f ca="1">IF(OR(X$8="",$B31=""),"",_xlfn.COVARIANCE.S(INDIRECT("'Asset Returns'!"&amp;SUBSTITUTE(ADDRESS(1,MATCH(X$8,'Asset Returns'!$1:$1,0),4),1,"")&amp;":"&amp;SUBSTITUTE(ADDRESS(1,MATCH(X$8,'Asset Returns'!$1:$1,0),4),1,"")),INDIRECT("'Asset Returns'!"&amp;SUBSTITUTE(ADDRESS(1,MATCH($B31,'Asset Returns'!$1:$1,0),4),1,"")&amp;":"&amp;SUBSTITUTE(ADDRESS(1,MATCH($B31,'Asset Returns'!$1:$1,0),4),1,""))))</f>
        <v/>
      </c>
      <c r="Y31" s="70" t="str">
        <f ca="1">IF(OR(Y$8="",$B31=""),"",_xlfn.COVARIANCE.S(INDIRECT("'Asset Returns'!"&amp;SUBSTITUTE(ADDRESS(1,MATCH(Y$8,'Asset Returns'!$1:$1,0),4),1,"")&amp;":"&amp;SUBSTITUTE(ADDRESS(1,MATCH(Y$8,'Asset Returns'!$1:$1,0),4),1,"")),INDIRECT("'Asset Returns'!"&amp;SUBSTITUTE(ADDRESS(1,MATCH($B31,'Asset Returns'!$1:$1,0),4),1,"")&amp;":"&amp;SUBSTITUTE(ADDRESS(1,MATCH($B31,'Asset Returns'!$1:$1,0),4),1,""))))</f>
        <v/>
      </c>
      <c r="Z31" s="70" t="str">
        <f ca="1">IF(OR(Z$8="",$B31=""),"",_xlfn.COVARIANCE.S(INDIRECT("'Asset Returns'!"&amp;SUBSTITUTE(ADDRESS(1,MATCH(Z$8,'Asset Returns'!$1:$1,0),4),1,"")&amp;":"&amp;SUBSTITUTE(ADDRESS(1,MATCH(Z$8,'Asset Returns'!$1:$1,0),4),1,"")),INDIRECT("'Asset Returns'!"&amp;SUBSTITUTE(ADDRESS(1,MATCH($B31,'Asset Returns'!$1:$1,0),4),1,"")&amp;":"&amp;SUBSTITUTE(ADDRESS(1,MATCH($B31,'Asset Returns'!$1:$1,0),4),1,""))))</f>
        <v/>
      </c>
      <c r="AA31" s="70" t="str">
        <f ca="1">IF(OR(AA$8="",$B31=""),"",_xlfn.COVARIANCE.S(INDIRECT("'Asset Returns'!"&amp;SUBSTITUTE(ADDRESS(1,MATCH(AA$8,'Asset Returns'!$1:$1,0),4),1,"")&amp;":"&amp;SUBSTITUTE(ADDRESS(1,MATCH(AA$8,'Asset Returns'!$1:$1,0),4),1,"")),INDIRECT("'Asset Returns'!"&amp;SUBSTITUTE(ADDRESS(1,MATCH($B31,'Asset Returns'!$1:$1,0),4),1,"")&amp;":"&amp;SUBSTITUTE(ADDRESS(1,MATCH($B31,'Asset Returns'!$1:$1,0),4),1,""))))</f>
        <v/>
      </c>
      <c r="AB31" s="96"/>
      <c r="AC31" s="48" t="str">
        <f t="shared" si="0"/>
        <v/>
      </c>
      <c r="AD31" s="4"/>
    </row>
    <row r="32" spans="1:39" x14ac:dyDescent="0.25">
      <c r="A32" s="47"/>
      <c r="B32" s="93"/>
      <c r="C32" s="69" t="str">
        <f ca="1">IF(OR(C$8="",$B32=""),"",_xlfn.COVARIANCE.S(INDIRECT("'Asset Returns'!"&amp;SUBSTITUTE(ADDRESS(1,MATCH(C$8,'Asset Returns'!$1:$1,0),4),1,"")&amp;":"&amp;SUBSTITUTE(ADDRESS(1,MATCH(C$8,'Asset Returns'!$1:$1,0),4),1,"")),INDIRECT("'Asset Returns'!"&amp;SUBSTITUTE(ADDRESS(1,MATCH($B32,'Asset Returns'!$1:$1,0),4),1,"")&amp;":"&amp;SUBSTITUTE(ADDRESS(1,MATCH($B32,'Asset Returns'!$1:$1,0),4),1,""))))</f>
        <v/>
      </c>
      <c r="D32" s="70" t="str">
        <f ca="1">IF(OR(D$8="",$B32=""),"",_xlfn.COVARIANCE.S(INDIRECT("'Asset Returns'!"&amp;SUBSTITUTE(ADDRESS(1,MATCH(D$8,'Asset Returns'!$1:$1,0),4),1,"")&amp;":"&amp;SUBSTITUTE(ADDRESS(1,MATCH(D$8,'Asset Returns'!$1:$1,0),4),1,"")),INDIRECT("'Asset Returns'!"&amp;SUBSTITUTE(ADDRESS(1,MATCH($B32,'Asset Returns'!$1:$1,0),4),1,"")&amp;":"&amp;SUBSTITUTE(ADDRESS(1,MATCH($B32,'Asset Returns'!$1:$1,0),4),1,""))))</f>
        <v/>
      </c>
      <c r="E32" s="70" t="str">
        <f ca="1">IF(OR(E$8="",$B32=""),"",_xlfn.COVARIANCE.S(INDIRECT("'Asset Returns'!"&amp;SUBSTITUTE(ADDRESS(1,MATCH(E$8,'Asset Returns'!$1:$1,0),4),1,"")&amp;":"&amp;SUBSTITUTE(ADDRESS(1,MATCH(E$8,'Asset Returns'!$1:$1,0),4),1,"")),INDIRECT("'Asset Returns'!"&amp;SUBSTITUTE(ADDRESS(1,MATCH($B32,'Asset Returns'!$1:$1,0),4),1,"")&amp;":"&amp;SUBSTITUTE(ADDRESS(1,MATCH($B32,'Asset Returns'!$1:$1,0),4),1,""))))</f>
        <v/>
      </c>
      <c r="F32" s="70" t="str">
        <f ca="1">IF(OR(F$8="",$B32=""),"",_xlfn.COVARIANCE.S(INDIRECT("'Asset Returns'!"&amp;SUBSTITUTE(ADDRESS(1,MATCH(F$8,'Asset Returns'!$1:$1,0),4),1,"")&amp;":"&amp;SUBSTITUTE(ADDRESS(1,MATCH(F$8,'Asset Returns'!$1:$1,0),4),1,"")),INDIRECT("'Asset Returns'!"&amp;SUBSTITUTE(ADDRESS(1,MATCH($B32,'Asset Returns'!$1:$1,0),4),1,"")&amp;":"&amp;SUBSTITUTE(ADDRESS(1,MATCH($B32,'Asset Returns'!$1:$1,0),4),1,""))))</f>
        <v/>
      </c>
      <c r="G32" s="70" t="str">
        <f ca="1">IF(OR(G$8="",$B32=""),"",_xlfn.COVARIANCE.S(INDIRECT("'Asset Returns'!"&amp;SUBSTITUTE(ADDRESS(1,MATCH(G$8,'Asset Returns'!$1:$1,0),4),1,"")&amp;":"&amp;SUBSTITUTE(ADDRESS(1,MATCH(G$8,'Asset Returns'!$1:$1,0),4),1,"")),INDIRECT("'Asset Returns'!"&amp;SUBSTITUTE(ADDRESS(1,MATCH($B32,'Asset Returns'!$1:$1,0),4),1,"")&amp;":"&amp;SUBSTITUTE(ADDRESS(1,MATCH($B32,'Asset Returns'!$1:$1,0),4),1,""))))</f>
        <v/>
      </c>
      <c r="H32" s="70" t="str">
        <f ca="1">IF(OR(H$8="",$B32=""),"",_xlfn.COVARIANCE.S(INDIRECT("'Asset Returns'!"&amp;SUBSTITUTE(ADDRESS(1,MATCH(H$8,'Asset Returns'!$1:$1,0),4),1,"")&amp;":"&amp;SUBSTITUTE(ADDRESS(1,MATCH(H$8,'Asset Returns'!$1:$1,0),4),1,"")),INDIRECT("'Asset Returns'!"&amp;SUBSTITUTE(ADDRESS(1,MATCH($B32,'Asset Returns'!$1:$1,0),4),1,"")&amp;":"&amp;SUBSTITUTE(ADDRESS(1,MATCH($B32,'Asset Returns'!$1:$1,0),4),1,""))))</f>
        <v/>
      </c>
      <c r="I32" s="70" t="str">
        <f ca="1">IF(OR(I$8="",$B32=""),"",_xlfn.COVARIANCE.S(INDIRECT("'Asset Returns'!"&amp;SUBSTITUTE(ADDRESS(1,MATCH(I$8,'Asset Returns'!$1:$1,0),4),1,"")&amp;":"&amp;SUBSTITUTE(ADDRESS(1,MATCH(I$8,'Asset Returns'!$1:$1,0),4),1,"")),INDIRECT("'Asset Returns'!"&amp;SUBSTITUTE(ADDRESS(1,MATCH($B32,'Asset Returns'!$1:$1,0),4),1,"")&amp;":"&amp;SUBSTITUTE(ADDRESS(1,MATCH($B32,'Asset Returns'!$1:$1,0),4),1,""))))</f>
        <v/>
      </c>
      <c r="J32" s="70" t="str">
        <f ca="1">IF(OR(J$8="",$B32=""),"",_xlfn.COVARIANCE.S(INDIRECT("'Asset Returns'!"&amp;SUBSTITUTE(ADDRESS(1,MATCH(J$8,'Asset Returns'!$1:$1,0),4),1,"")&amp;":"&amp;SUBSTITUTE(ADDRESS(1,MATCH(J$8,'Asset Returns'!$1:$1,0),4),1,"")),INDIRECT("'Asset Returns'!"&amp;SUBSTITUTE(ADDRESS(1,MATCH($B32,'Asset Returns'!$1:$1,0),4),1,"")&amp;":"&amp;SUBSTITUTE(ADDRESS(1,MATCH($B32,'Asset Returns'!$1:$1,0),4),1,""))))</f>
        <v/>
      </c>
      <c r="K32" s="70" t="str">
        <f ca="1">IF(OR(K$8="",$B32=""),"",_xlfn.COVARIANCE.S(INDIRECT("'Asset Returns'!"&amp;SUBSTITUTE(ADDRESS(1,MATCH(K$8,'Asset Returns'!$1:$1,0),4),1,"")&amp;":"&amp;SUBSTITUTE(ADDRESS(1,MATCH(K$8,'Asset Returns'!$1:$1,0),4),1,"")),INDIRECT("'Asset Returns'!"&amp;SUBSTITUTE(ADDRESS(1,MATCH($B32,'Asset Returns'!$1:$1,0),4),1,"")&amp;":"&amp;SUBSTITUTE(ADDRESS(1,MATCH($B32,'Asset Returns'!$1:$1,0),4),1,""))))</f>
        <v/>
      </c>
      <c r="L32" s="70" t="str">
        <f ca="1">IF(OR(L$8="",$B32=""),"",_xlfn.COVARIANCE.S(INDIRECT("'Asset Returns'!"&amp;SUBSTITUTE(ADDRESS(1,MATCH(L$8,'Asset Returns'!$1:$1,0),4),1,"")&amp;":"&amp;SUBSTITUTE(ADDRESS(1,MATCH(L$8,'Asset Returns'!$1:$1,0),4),1,"")),INDIRECT("'Asset Returns'!"&amp;SUBSTITUTE(ADDRESS(1,MATCH($B32,'Asset Returns'!$1:$1,0),4),1,"")&amp;":"&amp;SUBSTITUTE(ADDRESS(1,MATCH($B32,'Asset Returns'!$1:$1,0),4),1,""))))</f>
        <v/>
      </c>
      <c r="M32" s="70" t="str">
        <f ca="1">IF(OR(M$8="",$B32=""),"",_xlfn.COVARIANCE.S(INDIRECT("'Asset Returns'!"&amp;SUBSTITUTE(ADDRESS(1,MATCH(M$8,'Asset Returns'!$1:$1,0),4),1,"")&amp;":"&amp;SUBSTITUTE(ADDRESS(1,MATCH(M$8,'Asset Returns'!$1:$1,0),4),1,"")),INDIRECT("'Asset Returns'!"&amp;SUBSTITUTE(ADDRESS(1,MATCH($B32,'Asset Returns'!$1:$1,0),4),1,"")&amp;":"&amp;SUBSTITUTE(ADDRESS(1,MATCH($B32,'Asset Returns'!$1:$1,0),4),1,""))))</f>
        <v/>
      </c>
      <c r="N32" s="70" t="str">
        <f ca="1">IF(OR(N$8="",$B32=""),"",_xlfn.COVARIANCE.S(INDIRECT("'Asset Returns'!"&amp;SUBSTITUTE(ADDRESS(1,MATCH(N$8,'Asset Returns'!$1:$1,0),4),1,"")&amp;":"&amp;SUBSTITUTE(ADDRESS(1,MATCH(N$8,'Asset Returns'!$1:$1,0),4),1,"")),INDIRECT("'Asset Returns'!"&amp;SUBSTITUTE(ADDRESS(1,MATCH($B32,'Asset Returns'!$1:$1,0),4),1,"")&amp;":"&amp;SUBSTITUTE(ADDRESS(1,MATCH($B32,'Asset Returns'!$1:$1,0),4),1,""))))</f>
        <v/>
      </c>
      <c r="O32" s="70" t="str">
        <f ca="1">IF(OR(O$8="",$B32=""),"",_xlfn.COVARIANCE.S(INDIRECT("'Asset Returns'!"&amp;SUBSTITUTE(ADDRESS(1,MATCH(O$8,'Asset Returns'!$1:$1,0),4),1,"")&amp;":"&amp;SUBSTITUTE(ADDRESS(1,MATCH(O$8,'Asset Returns'!$1:$1,0),4),1,"")),INDIRECT("'Asset Returns'!"&amp;SUBSTITUTE(ADDRESS(1,MATCH($B32,'Asset Returns'!$1:$1,0),4),1,"")&amp;":"&amp;SUBSTITUTE(ADDRESS(1,MATCH($B32,'Asset Returns'!$1:$1,0),4),1,""))))</f>
        <v/>
      </c>
      <c r="P32" s="70" t="str">
        <f ca="1">IF(OR(P$8="",$B32=""),"",_xlfn.COVARIANCE.S(INDIRECT("'Asset Returns'!"&amp;SUBSTITUTE(ADDRESS(1,MATCH(P$8,'Asset Returns'!$1:$1,0),4),1,"")&amp;":"&amp;SUBSTITUTE(ADDRESS(1,MATCH(P$8,'Asset Returns'!$1:$1,0),4),1,"")),INDIRECT("'Asset Returns'!"&amp;SUBSTITUTE(ADDRESS(1,MATCH($B32,'Asset Returns'!$1:$1,0),4),1,"")&amp;":"&amp;SUBSTITUTE(ADDRESS(1,MATCH($B32,'Asset Returns'!$1:$1,0),4),1,""))))</f>
        <v/>
      </c>
      <c r="Q32" s="70" t="str">
        <f ca="1">IF(OR(Q$8="",$B32=""),"",_xlfn.COVARIANCE.S(INDIRECT("'Asset Returns'!"&amp;SUBSTITUTE(ADDRESS(1,MATCH(Q$8,'Asset Returns'!$1:$1,0),4),1,"")&amp;":"&amp;SUBSTITUTE(ADDRESS(1,MATCH(Q$8,'Asset Returns'!$1:$1,0),4),1,"")),INDIRECT("'Asset Returns'!"&amp;SUBSTITUTE(ADDRESS(1,MATCH($B32,'Asset Returns'!$1:$1,0),4),1,"")&amp;":"&amp;SUBSTITUTE(ADDRESS(1,MATCH($B32,'Asset Returns'!$1:$1,0),4),1,""))))</f>
        <v/>
      </c>
      <c r="R32" s="70" t="str">
        <f ca="1">IF(OR(R$8="",$B32=""),"",_xlfn.COVARIANCE.S(INDIRECT("'Asset Returns'!"&amp;SUBSTITUTE(ADDRESS(1,MATCH(R$8,'Asset Returns'!$1:$1,0),4),1,"")&amp;":"&amp;SUBSTITUTE(ADDRESS(1,MATCH(R$8,'Asset Returns'!$1:$1,0),4),1,"")),INDIRECT("'Asset Returns'!"&amp;SUBSTITUTE(ADDRESS(1,MATCH($B32,'Asset Returns'!$1:$1,0),4),1,"")&amp;":"&amp;SUBSTITUTE(ADDRESS(1,MATCH($B32,'Asset Returns'!$1:$1,0),4),1,""))))</f>
        <v/>
      </c>
      <c r="S32" s="70" t="str">
        <f ca="1">IF(OR(S$8="",$B32=""),"",_xlfn.COVARIANCE.S(INDIRECT("'Asset Returns'!"&amp;SUBSTITUTE(ADDRESS(1,MATCH(S$8,'Asset Returns'!$1:$1,0),4),1,"")&amp;":"&amp;SUBSTITUTE(ADDRESS(1,MATCH(S$8,'Asset Returns'!$1:$1,0),4),1,"")),INDIRECT("'Asset Returns'!"&amp;SUBSTITUTE(ADDRESS(1,MATCH($B32,'Asset Returns'!$1:$1,0),4),1,"")&amp;":"&amp;SUBSTITUTE(ADDRESS(1,MATCH($B32,'Asset Returns'!$1:$1,0),4),1,""))))</f>
        <v/>
      </c>
      <c r="T32" s="70" t="str">
        <f ca="1">IF(OR(T$8="",$B32=""),"",_xlfn.COVARIANCE.S(INDIRECT("'Asset Returns'!"&amp;SUBSTITUTE(ADDRESS(1,MATCH(T$8,'Asset Returns'!$1:$1,0),4),1,"")&amp;":"&amp;SUBSTITUTE(ADDRESS(1,MATCH(T$8,'Asset Returns'!$1:$1,0),4),1,"")),INDIRECT("'Asset Returns'!"&amp;SUBSTITUTE(ADDRESS(1,MATCH($B32,'Asset Returns'!$1:$1,0),4),1,"")&amp;":"&amp;SUBSTITUTE(ADDRESS(1,MATCH($B32,'Asset Returns'!$1:$1,0),4),1,""))))</f>
        <v/>
      </c>
      <c r="U32" s="70" t="str">
        <f ca="1">IF(OR(U$8="",$B32=""),"",_xlfn.COVARIANCE.S(INDIRECT("'Asset Returns'!"&amp;SUBSTITUTE(ADDRESS(1,MATCH(U$8,'Asset Returns'!$1:$1,0),4),1,"")&amp;":"&amp;SUBSTITUTE(ADDRESS(1,MATCH(U$8,'Asset Returns'!$1:$1,0),4),1,"")),INDIRECT("'Asset Returns'!"&amp;SUBSTITUTE(ADDRESS(1,MATCH($B32,'Asset Returns'!$1:$1,0),4),1,"")&amp;":"&amp;SUBSTITUTE(ADDRESS(1,MATCH($B32,'Asset Returns'!$1:$1,0),4),1,""))))</f>
        <v/>
      </c>
      <c r="V32" s="70" t="str">
        <f ca="1">IF(OR(V$8="",$B32=""),"",_xlfn.COVARIANCE.S(INDIRECT("'Asset Returns'!"&amp;SUBSTITUTE(ADDRESS(1,MATCH(V$8,'Asset Returns'!$1:$1,0),4),1,"")&amp;":"&amp;SUBSTITUTE(ADDRESS(1,MATCH(V$8,'Asset Returns'!$1:$1,0),4),1,"")),INDIRECT("'Asset Returns'!"&amp;SUBSTITUTE(ADDRESS(1,MATCH($B32,'Asset Returns'!$1:$1,0),4),1,"")&amp;":"&amp;SUBSTITUTE(ADDRESS(1,MATCH($B32,'Asset Returns'!$1:$1,0),4),1,""))))</f>
        <v/>
      </c>
      <c r="W32" s="70" t="str">
        <f ca="1">IF(OR(W$8="",$B32=""),"",_xlfn.COVARIANCE.S(INDIRECT("'Asset Returns'!"&amp;SUBSTITUTE(ADDRESS(1,MATCH(W$8,'Asset Returns'!$1:$1,0),4),1,"")&amp;":"&amp;SUBSTITUTE(ADDRESS(1,MATCH(W$8,'Asset Returns'!$1:$1,0),4),1,"")),INDIRECT("'Asset Returns'!"&amp;SUBSTITUTE(ADDRESS(1,MATCH($B32,'Asset Returns'!$1:$1,0),4),1,"")&amp;":"&amp;SUBSTITUTE(ADDRESS(1,MATCH($B32,'Asset Returns'!$1:$1,0),4),1,""))))</f>
        <v/>
      </c>
      <c r="X32" s="70" t="str">
        <f ca="1">IF(OR(X$8="",$B32=""),"",_xlfn.COVARIANCE.S(INDIRECT("'Asset Returns'!"&amp;SUBSTITUTE(ADDRESS(1,MATCH(X$8,'Asset Returns'!$1:$1,0),4),1,"")&amp;":"&amp;SUBSTITUTE(ADDRESS(1,MATCH(X$8,'Asset Returns'!$1:$1,0),4),1,"")),INDIRECT("'Asset Returns'!"&amp;SUBSTITUTE(ADDRESS(1,MATCH($B32,'Asset Returns'!$1:$1,0),4),1,"")&amp;":"&amp;SUBSTITUTE(ADDRESS(1,MATCH($B32,'Asset Returns'!$1:$1,0),4),1,""))))</f>
        <v/>
      </c>
      <c r="Y32" s="70" t="str">
        <f ca="1">IF(OR(Y$8="",$B32=""),"",_xlfn.COVARIANCE.S(INDIRECT("'Asset Returns'!"&amp;SUBSTITUTE(ADDRESS(1,MATCH(Y$8,'Asset Returns'!$1:$1,0),4),1,"")&amp;":"&amp;SUBSTITUTE(ADDRESS(1,MATCH(Y$8,'Asset Returns'!$1:$1,0),4),1,"")),INDIRECT("'Asset Returns'!"&amp;SUBSTITUTE(ADDRESS(1,MATCH($B32,'Asset Returns'!$1:$1,0),4),1,"")&amp;":"&amp;SUBSTITUTE(ADDRESS(1,MATCH($B32,'Asset Returns'!$1:$1,0),4),1,""))))</f>
        <v/>
      </c>
      <c r="Z32" s="70" t="str">
        <f ca="1">IF(OR(Z$8="",$B32=""),"",_xlfn.COVARIANCE.S(INDIRECT("'Asset Returns'!"&amp;SUBSTITUTE(ADDRESS(1,MATCH(Z$8,'Asset Returns'!$1:$1,0),4),1,"")&amp;":"&amp;SUBSTITUTE(ADDRESS(1,MATCH(Z$8,'Asset Returns'!$1:$1,0),4),1,"")),INDIRECT("'Asset Returns'!"&amp;SUBSTITUTE(ADDRESS(1,MATCH($B32,'Asset Returns'!$1:$1,0),4),1,"")&amp;":"&amp;SUBSTITUTE(ADDRESS(1,MATCH($B32,'Asset Returns'!$1:$1,0),4),1,""))))</f>
        <v/>
      </c>
      <c r="AA32" s="70" t="str">
        <f ca="1">IF(OR(AA$8="",$B32=""),"",_xlfn.COVARIANCE.S(INDIRECT("'Asset Returns'!"&amp;SUBSTITUTE(ADDRESS(1,MATCH(AA$8,'Asset Returns'!$1:$1,0),4),1,"")&amp;":"&amp;SUBSTITUTE(ADDRESS(1,MATCH(AA$8,'Asset Returns'!$1:$1,0),4),1,"")),INDIRECT("'Asset Returns'!"&amp;SUBSTITUTE(ADDRESS(1,MATCH($B32,'Asset Returns'!$1:$1,0),4),1,"")&amp;":"&amp;SUBSTITUTE(ADDRESS(1,MATCH($B32,'Asset Returns'!$1:$1,0),4),1,""))))</f>
        <v/>
      </c>
      <c r="AB32" s="96"/>
      <c r="AC32" s="48" t="str">
        <f t="shared" si="0"/>
        <v/>
      </c>
      <c r="AD32" s="4"/>
    </row>
    <row r="33" spans="1:30" ht="15.75" thickBot="1" x14ac:dyDescent="0.3">
      <c r="A33" s="47"/>
      <c r="B33" s="94"/>
      <c r="C33" s="71" t="str">
        <f ca="1">IF(OR(C$8="",$B33=""),"",_xlfn.COVARIANCE.S(INDIRECT("'Asset Returns'!"&amp;SUBSTITUTE(ADDRESS(1,MATCH(C$8,'Asset Returns'!$1:$1,0),4),1,"")&amp;":"&amp;SUBSTITUTE(ADDRESS(1,MATCH(C$8,'Asset Returns'!$1:$1,0),4),1,"")),INDIRECT("'Asset Returns'!"&amp;SUBSTITUTE(ADDRESS(1,MATCH($B33,'Asset Returns'!$1:$1,0),4),1,"")&amp;":"&amp;SUBSTITUTE(ADDRESS(1,MATCH($B33,'Asset Returns'!$1:$1,0),4),1,""))))</f>
        <v/>
      </c>
      <c r="D33" s="72" t="str">
        <f ca="1">IF(OR(D$8="",$B33=""),"",_xlfn.COVARIANCE.S(INDIRECT("'Asset Returns'!"&amp;SUBSTITUTE(ADDRESS(1,MATCH(D$8,'Asset Returns'!$1:$1,0),4),1,"")&amp;":"&amp;SUBSTITUTE(ADDRESS(1,MATCH(D$8,'Asset Returns'!$1:$1,0),4),1,"")),INDIRECT("'Asset Returns'!"&amp;SUBSTITUTE(ADDRESS(1,MATCH($B33,'Asset Returns'!$1:$1,0),4),1,"")&amp;":"&amp;SUBSTITUTE(ADDRESS(1,MATCH($B33,'Asset Returns'!$1:$1,0),4),1,""))))</f>
        <v/>
      </c>
      <c r="E33" s="72" t="str">
        <f ca="1">IF(OR(E$8="",$B33=""),"",_xlfn.COVARIANCE.S(INDIRECT("'Asset Returns'!"&amp;SUBSTITUTE(ADDRESS(1,MATCH(E$8,'Asset Returns'!$1:$1,0),4),1,"")&amp;":"&amp;SUBSTITUTE(ADDRESS(1,MATCH(E$8,'Asset Returns'!$1:$1,0),4),1,"")),INDIRECT("'Asset Returns'!"&amp;SUBSTITUTE(ADDRESS(1,MATCH($B33,'Asset Returns'!$1:$1,0),4),1,"")&amp;":"&amp;SUBSTITUTE(ADDRESS(1,MATCH($B33,'Asset Returns'!$1:$1,0),4),1,""))))</f>
        <v/>
      </c>
      <c r="F33" s="72" t="str">
        <f ca="1">IF(OR(F$8="",$B33=""),"",_xlfn.COVARIANCE.S(INDIRECT("'Asset Returns'!"&amp;SUBSTITUTE(ADDRESS(1,MATCH(F$8,'Asset Returns'!$1:$1,0),4),1,"")&amp;":"&amp;SUBSTITUTE(ADDRESS(1,MATCH(F$8,'Asset Returns'!$1:$1,0),4),1,"")),INDIRECT("'Asset Returns'!"&amp;SUBSTITUTE(ADDRESS(1,MATCH($B33,'Asset Returns'!$1:$1,0),4),1,"")&amp;":"&amp;SUBSTITUTE(ADDRESS(1,MATCH($B33,'Asset Returns'!$1:$1,0),4),1,""))))</f>
        <v/>
      </c>
      <c r="G33" s="72" t="str">
        <f ca="1">IF(OR(G$8="",$B33=""),"",_xlfn.COVARIANCE.S(INDIRECT("'Asset Returns'!"&amp;SUBSTITUTE(ADDRESS(1,MATCH(G$8,'Asset Returns'!$1:$1,0),4),1,"")&amp;":"&amp;SUBSTITUTE(ADDRESS(1,MATCH(G$8,'Asset Returns'!$1:$1,0),4),1,"")),INDIRECT("'Asset Returns'!"&amp;SUBSTITUTE(ADDRESS(1,MATCH($B33,'Asset Returns'!$1:$1,0),4),1,"")&amp;":"&amp;SUBSTITUTE(ADDRESS(1,MATCH($B33,'Asset Returns'!$1:$1,0),4),1,""))))</f>
        <v/>
      </c>
      <c r="H33" s="72" t="str">
        <f ca="1">IF(OR(H$8="",$B33=""),"",_xlfn.COVARIANCE.S(INDIRECT("'Asset Returns'!"&amp;SUBSTITUTE(ADDRESS(1,MATCH(H$8,'Asset Returns'!$1:$1,0),4),1,"")&amp;":"&amp;SUBSTITUTE(ADDRESS(1,MATCH(H$8,'Asset Returns'!$1:$1,0),4),1,"")),INDIRECT("'Asset Returns'!"&amp;SUBSTITUTE(ADDRESS(1,MATCH($B33,'Asset Returns'!$1:$1,0),4),1,"")&amp;":"&amp;SUBSTITUTE(ADDRESS(1,MATCH($B33,'Asset Returns'!$1:$1,0),4),1,""))))</f>
        <v/>
      </c>
      <c r="I33" s="72" t="str">
        <f ca="1">IF(OR(I$8="",$B33=""),"",_xlfn.COVARIANCE.S(INDIRECT("'Asset Returns'!"&amp;SUBSTITUTE(ADDRESS(1,MATCH(I$8,'Asset Returns'!$1:$1,0),4),1,"")&amp;":"&amp;SUBSTITUTE(ADDRESS(1,MATCH(I$8,'Asset Returns'!$1:$1,0),4),1,"")),INDIRECT("'Asset Returns'!"&amp;SUBSTITUTE(ADDRESS(1,MATCH($B33,'Asset Returns'!$1:$1,0),4),1,"")&amp;":"&amp;SUBSTITUTE(ADDRESS(1,MATCH($B33,'Asset Returns'!$1:$1,0),4),1,""))))</f>
        <v/>
      </c>
      <c r="J33" s="72" t="str">
        <f ca="1">IF(OR(J$8="",$B33=""),"",_xlfn.COVARIANCE.S(INDIRECT("'Asset Returns'!"&amp;SUBSTITUTE(ADDRESS(1,MATCH(J$8,'Asset Returns'!$1:$1,0),4),1,"")&amp;":"&amp;SUBSTITUTE(ADDRESS(1,MATCH(J$8,'Asset Returns'!$1:$1,0),4),1,"")),INDIRECT("'Asset Returns'!"&amp;SUBSTITUTE(ADDRESS(1,MATCH($B33,'Asset Returns'!$1:$1,0),4),1,"")&amp;":"&amp;SUBSTITUTE(ADDRESS(1,MATCH($B33,'Asset Returns'!$1:$1,0),4),1,""))))</f>
        <v/>
      </c>
      <c r="K33" s="72" t="str">
        <f ca="1">IF(OR(K$8="",$B33=""),"",_xlfn.COVARIANCE.S(INDIRECT("'Asset Returns'!"&amp;SUBSTITUTE(ADDRESS(1,MATCH(K$8,'Asset Returns'!$1:$1,0),4),1,"")&amp;":"&amp;SUBSTITUTE(ADDRESS(1,MATCH(K$8,'Asset Returns'!$1:$1,0),4),1,"")),INDIRECT("'Asset Returns'!"&amp;SUBSTITUTE(ADDRESS(1,MATCH($B33,'Asset Returns'!$1:$1,0),4),1,"")&amp;":"&amp;SUBSTITUTE(ADDRESS(1,MATCH($B33,'Asset Returns'!$1:$1,0),4),1,""))))</f>
        <v/>
      </c>
      <c r="L33" s="72" t="str">
        <f ca="1">IF(OR(L$8="",$B33=""),"",_xlfn.COVARIANCE.S(INDIRECT("'Asset Returns'!"&amp;SUBSTITUTE(ADDRESS(1,MATCH(L$8,'Asset Returns'!$1:$1,0),4),1,"")&amp;":"&amp;SUBSTITUTE(ADDRESS(1,MATCH(L$8,'Asset Returns'!$1:$1,0),4),1,"")),INDIRECT("'Asset Returns'!"&amp;SUBSTITUTE(ADDRESS(1,MATCH($B33,'Asset Returns'!$1:$1,0),4),1,"")&amp;":"&amp;SUBSTITUTE(ADDRESS(1,MATCH($B33,'Asset Returns'!$1:$1,0),4),1,""))))</f>
        <v/>
      </c>
      <c r="M33" s="72" t="str">
        <f ca="1">IF(OR(M$8="",$B33=""),"",_xlfn.COVARIANCE.S(INDIRECT("'Asset Returns'!"&amp;SUBSTITUTE(ADDRESS(1,MATCH(M$8,'Asset Returns'!$1:$1,0),4),1,"")&amp;":"&amp;SUBSTITUTE(ADDRESS(1,MATCH(M$8,'Asset Returns'!$1:$1,0),4),1,"")),INDIRECT("'Asset Returns'!"&amp;SUBSTITUTE(ADDRESS(1,MATCH($B33,'Asset Returns'!$1:$1,0),4),1,"")&amp;":"&amp;SUBSTITUTE(ADDRESS(1,MATCH($B33,'Asset Returns'!$1:$1,0),4),1,""))))</f>
        <v/>
      </c>
      <c r="N33" s="72" t="str">
        <f ca="1">IF(OR(N$8="",$B33=""),"",_xlfn.COVARIANCE.S(INDIRECT("'Asset Returns'!"&amp;SUBSTITUTE(ADDRESS(1,MATCH(N$8,'Asset Returns'!$1:$1,0),4),1,"")&amp;":"&amp;SUBSTITUTE(ADDRESS(1,MATCH(N$8,'Asset Returns'!$1:$1,0),4),1,"")),INDIRECT("'Asset Returns'!"&amp;SUBSTITUTE(ADDRESS(1,MATCH($B33,'Asset Returns'!$1:$1,0),4),1,"")&amp;":"&amp;SUBSTITUTE(ADDRESS(1,MATCH($B33,'Asset Returns'!$1:$1,0),4),1,""))))</f>
        <v/>
      </c>
      <c r="O33" s="72" t="str">
        <f ca="1">IF(OR(O$8="",$B33=""),"",_xlfn.COVARIANCE.S(INDIRECT("'Asset Returns'!"&amp;SUBSTITUTE(ADDRESS(1,MATCH(O$8,'Asset Returns'!$1:$1,0),4),1,"")&amp;":"&amp;SUBSTITUTE(ADDRESS(1,MATCH(O$8,'Asset Returns'!$1:$1,0),4),1,"")),INDIRECT("'Asset Returns'!"&amp;SUBSTITUTE(ADDRESS(1,MATCH($B33,'Asset Returns'!$1:$1,0),4),1,"")&amp;":"&amp;SUBSTITUTE(ADDRESS(1,MATCH($B33,'Asset Returns'!$1:$1,0),4),1,""))))</f>
        <v/>
      </c>
      <c r="P33" s="72" t="str">
        <f ca="1">IF(OR(P$8="",$B33=""),"",_xlfn.COVARIANCE.S(INDIRECT("'Asset Returns'!"&amp;SUBSTITUTE(ADDRESS(1,MATCH(P$8,'Asset Returns'!$1:$1,0),4),1,"")&amp;":"&amp;SUBSTITUTE(ADDRESS(1,MATCH(P$8,'Asset Returns'!$1:$1,0),4),1,"")),INDIRECT("'Asset Returns'!"&amp;SUBSTITUTE(ADDRESS(1,MATCH($B33,'Asset Returns'!$1:$1,0),4),1,"")&amp;":"&amp;SUBSTITUTE(ADDRESS(1,MATCH($B33,'Asset Returns'!$1:$1,0),4),1,""))))</f>
        <v/>
      </c>
      <c r="Q33" s="72" t="str">
        <f ca="1">IF(OR(Q$8="",$B33=""),"",_xlfn.COVARIANCE.S(INDIRECT("'Asset Returns'!"&amp;SUBSTITUTE(ADDRESS(1,MATCH(Q$8,'Asset Returns'!$1:$1,0),4),1,"")&amp;":"&amp;SUBSTITUTE(ADDRESS(1,MATCH(Q$8,'Asset Returns'!$1:$1,0),4),1,"")),INDIRECT("'Asset Returns'!"&amp;SUBSTITUTE(ADDRESS(1,MATCH($B33,'Asset Returns'!$1:$1,0),4),1,"")&amp;":"&amp;SUBSTITUTE(ADDRESS(1,MATCH($B33,'Asset Returns'!$1:$1,0),4),1,""))))</f>
        <v/>
      </c>
      <c r="R33" s="72" t="str">
        <f ca="1">IF(OR(R$8="",$B33=""),"",_xlfn.COVARIANCE.S(INDIRECT("'Asset Returns'!"&amp;SUBSTITUTE(ADDRESS(1,MATCH(R$8,'Asset Returns'!$1:$1,0),4),1,"")&amp;":"&amp;SUBSTITUTE(ADDRESS(1,MATCH(R$8,'Asset Returns'!$1:$1,0),4),1,"")),INDIRECT("'Asset Returns'!"&amp;SUBSTITUTE(ADDRESS(1,MATCH($B33,'Asset Returns'!$1:$1,0),4),1,"")&amp;":"&amp;SUBSTITUTE(ADDRESS(1,MATCH($B33,'Asset Returns'!$1:$1,0),4),1,""))))</f>
        <v/>
      </c>
      <c r="S33" s="72" t="str">
        <f ca="1">IF(OR(S$8="",$B33=""),"",_xlfn.COVARIANCE.S(INDIRECT("'Asset Returns'!"&amp;SUBSTITUTE(ADDRESS(1,MATCH(S$8,'Asset Returns'!$1:$1,0),4),1,"")&amp;":"&amp;SUBSTITUTE(ADDRESS(1,MATCH(S$8,'Asset Returns'!$1:$1,0),4),1,"")),INDIRECT("'Asset Returns'!"&amp;SUBSTITUTE(ADDRESS(1,MATCH($B33,'Asset Returns'!$1:$1,0),4),1,"")&amp;":"&amp;SUBSTITUTE(ADDRESS(1,MATCH($B33,'Asset Returns'!$1:$1,0),4),1,""))))</f>
        <v/>
      </c>
      <c r="T33" s="72" t="str">
        <f ca="1">IF(OR(T$8="",$B33=""),"",_xlfn.COVARIANCE.S(INDIRECT("'Asset Returns'!"&amp;SUBSTITUTE(ADDRESS(1,MATCH(T$8,'Asset Returns'!$1:$1,0),4),1,"")&amp;":"&amp;SUBSTITUTE(ADDRESS(1,MATCH(T$8,'Asset Returns'!$1:$1,0),4),1,"")),INDIRECT("'Asset Returns'!"&amp;SUBSTITUTE(ADDRESS(1,MATCH($B33,'Asset Returns'!$1:$1,0),4),1,"")&amp;":"&amp;SUBSTITUTE(ADDRESS(1,MATCH($B33,'Asset Returns'!$1:$1,0),4),1,""))))</f>
        <v/>
      </c>
      <c r="U33" s="72" t="str">
        <f ca="1">IF(OR(U$8="",$B33=""),"",_xlfn.COVARIANCE.S(INDIRECT("'Asset Returns'!"&amp;SUBSTITUTE(ADDRESS(1,MATCH(U$8,'Asset Returns'!$1:$1,0),4),1,"")&amp;":"&amp;SUBSTITUTE(ADDRESS(1,MATCH(U$8,'Asset Returns'!$1:$1,0),4),1,"")),INDIRECT("'Asset Returns'!"&amp;SUBSTITUTE(ADDRESS(1,MATCH($B33,'Asset Returns'!$1:$1,0),4),1,"")&amp;":"&amp;SUBSTITUTE(ADDRESS(1,MATCH($B33,'Asset Returns'!$1:$1,0),4),1,""))))</f>
        <v/>
      </c>
      <c r="V33" s="72" t="str">
        <f ca="1">IF(OR(V$8="",$B33=""),"",_xlfn.COVARIANCE.S(INDIRECT("'Asset Returns'!"&amp;SUBSTITUTE(ADDRESS(1,MATCH(V$8,'Asset Returns'!$1:$1,0),4),1,"")&amp;":"&amp;SUBSTITUTE(ADDRESS(1,MATCH(V$8,'Asset Returns'!$1:$1,0),4),1,"")),INDIRECT("'Asset Returns'!"&amp;SUBSTITUTE(ADDRESS(1,MATCH($B33,'Asset Returns'!$1:$1,0),4),1,"")&amp;":"&amp;SUBSTITUTE(ADDRESS(1,MATCH($B33,'Asset Returns'!$1:$1,0),4),1,""))))</f>
        <v/>
      </c>
      <c r="W33" s="72" t="str">
        <f ca="1">IF(OR(W$8="",$B33=""),"",_xlfn.COVARIANCE.S(INDIRECT("'Asset Returns'!"&amp;SUBSTITUTE(ADDRESS(1,MATCH(W$8,'Asset Returns'!$1:$1,0),4),1,"")&amp;":"&amp;SUBSTITUTE(ADDRESS(1,MATCH(W$8,'Asset Returns'!$1:$1,0),4),1,"")),INDIRECT("'Asset Returns'!"&amp;SUBSTITUTE(ADDRESS(1,MATCH($B33,'Asset Returns'!$1:$1,0),4),1,"")&amp;":"&amp;SUBSTITUTE(ADDRESS(1,MATCH($B33,'Asset Returns'!$1:$1,0),4),1,""))))</f>
        <v/>
      </c>
      <c r="X33" s="72" t="str">
        <f ca="1">IF(OR(X$8="",$B33=""),"",_xlfn.COVARIANCE.S(INDIRECT("'Asset Returns'!"&amp;SUBSTITUTE(ADDRESS(1,MATCH(X$8,'Asset Returns'!$1:$1,0),4),1,"")&amp;":"&amp;SUBSTITUTE(ADDRESS(1,MATCH(X$8,'Asset Returns'!$1:$1,0),4),1,"")),INDIRECT("'Asset Returns'!"&amp;SUBSTITUTE(ADDRESS(1,MATCH($B33,'Asset Returns'!$1:$1,0),4),1,"")&amp;":"&amp;SUBSTITUTE(ADDRESS(1,MATCH($B33,'Asset Returns'!$1:$1,0),4),1,""))))</f>
        <v/>
      </c>
      <c r="Y33" s="72" t="str">
        <f ca="1">IF(OR(Y$8="",$B33=""),"",_xlfn.COVARIANCE.S(INDIRECT("'Asset Returns'!"&amp;SUBSTITUTE(ADDRESS(1,MATCH(Y$8,'Asset Returns'!$1:$1,0),4),1,"")&amp;":"&amp;SUBSTITUTE(ADDRESS(1,MATCH(Y$8,'Asset Returns'!$1:$1,0),4),1,"")),INDIRECT("'Asset Returns'!"&amp;SUBSTITUTE(ADDRESS(1,MATCH($B33,'Asset Returns'!$1:$1,0),4),1,"")&amp;":"&amp;SUBSTITUTE(ADDRESS(1,MATCH($B33,'Asset Returns'!$1:$1,0),4),1,""))))</f>
        <v/>
      </c>
      <c r="Z33" s="72" t="str">
        <f ca="1">IF(OR(Z$8="",$B33=""),"",_xlfn.COVARIANCE.S(INDIRECT("'Asset Returns'!"&amp;SUBSTITUTE(ADDRESS(1,MATCH(Z$8,'Asset Returns'!$1:$1,0),4),1,"")&amp;":"&amp;SUBSTITUTE(ADDRESS(1,MATCH(Z$8,'Asset Returns'!$1:$1,0),4),1,"")),INDIRECT("'Asset Returns'!"&amp;SUBSTITUTE(ADDRESS(1,MATCH($B33,'Asset Returns'!$1:$1,0),4),1,"")&amp;":"&amp;SUBSTITUTE(ADDRESS(1,MATCH($B33,'Asset Returns'!$1:$1,0),4),1,""))))</f>
        <v/>
      </c>
      <c r="AA33" s="72" t="str">
        <f ca="1">IF(OR(AA$8="",$B33=""),"",_xlfn.COVARIANCE.S(INDIRECT("'Asset Returns'!"&amp;SUBSTITUTE(ADDRESS(1,MATCH(AA$8,'Asset Returns'!$1:$1,0),4),1,"")&amp;":"&amp;SUBSTITUTE(ADDRESS(1,MATCH(AA$8,'Asset Returns'!$1:$1,0),4),1,"")),INDIRECT("'Asset Returns'!"&amp;SUBSTITUTE(ADDRESS(1,MATCH($B33,'Asset Returns'!$1:$1,0),4),1,"")&amp;":"&amp;SUBSTITUTE(ADDRESS(1,MATCH($B33,'Asset Returns'!$1:$1,0),4),1,""))))</f>
        <v/>
      </c>
      <c r="AB33" s="97"/>
      <c r="AC33" s="49" t="str">
        <f t="shared" si="0"/>
        <v/>
      </c>
      <c r="AD33" s="4"/>
    </row>
    <row r="34" spans="1:30" x14ac:dyDescent="0.25">
      <c r="C34" s="1"/>
      <c r="AA34" s="2" t="s">
        <v>51</v>
      </c>
      <c r="AB34" s="65">
        <f t="array" ref="AB34">SUM(ABS(AB9:AB33))</f>
        <v>99998</v>
      </c>
      <c r="AC34" s="66">
        <f t="array" aca="1" ref="AC34" ca="1">SUM(ABS(OFFSET(AC9,0,0,COUNT(AC9:AC33))))</f>
        <v>1</v>
      </c>
    </row>
    <row r="35" spans="1:30" ht="15.75" thickBot="1" x14ac:dyDescent="0.3"/>
    <row r="36" spans="1:30" ht="16.5" thickBot="1" x14ac:dyDescent="0.3">
      <c r="B36" s="76" t="s">
        <v>1</v>
      </c>
      <c r="C36" s="55"/>
      <c r="D36" s="55"/>
      <c r="E36" s="55"/>
      <c r="F36" s="100"/>
      <c r="G36" s="55"/>
      <c r="H36" s="56"/>
      <c r="L36" s="79" t="s">
        <v>52</v>
      </c>
      <c r="M36" s="80"/>
      <c r="N36" s="81"/>
    </row>
    <row r="37" spans="1:30" ht="15.75" x14ac:dyDescent="0.25">
      <c r="B37" s="77">
        <f t="array" aca="1" ref="B37" ca="1">MMULT(MMULT(TRANSPOSE(OFFSET($AC$9,0,0,COUNT($AC$9:$AC$33))),OFFSET($C$9,0,0,COUNT($C$9:$C$33),COUNT($C$9:$AA$9))),OFFSET($AC$9,0,0,COUNT($AC$9:$AC$33)))</f>
        <v>1.7939046946527452E-4</v>
      </c>
      <c r="C37" s="78" t="s">
        <v>69</v>
      </c>
      <c r="D37" s="57"/>
      <c r="E37" s="57"/>
      <c r="G37" s="57"/>
      <c r="H37" s="58"/>
      <c r="K37" s="4"/>
      <c r="L37" s="208" t="s">
        <v>55</v>
      </c>
      <c r="M37" s="210" t="s">
        <v>53</v>
      </c>
      <c r="N37" s="212" t="s">
        <v>54</v>
      </c>
      <c r="V37" s="1"/>
      <c r="W37" s="1"/>
      <c r="X37" s="1"/>
    </row>
    <row r="38" spans="1:30" ht="15.75" thickBot="1" x14ac:dyDescent="0.3">
      <c r="B38" s="59"/>
      <c r="C38" s="57"/>
      <c r="D38" s="57"/>
      <c r="E38" s="57"/>
      <c r="F38" s="57"/>
      <c r="G38" s="57"/>
      <c r="H38" s="58"/>
      <c r="L38" s="209"/>
      <c r="M38" s="211"/>
      <c r="N38" s="213"/>
      <c r="V38" s="1"/>
      <c r="W38" s="1"/>
      <c r="X38" s="1"/>
    </row>
    <row r="39" spans="1:30" ht="15.75" x14ac:dyDescent="0.25">
      <c r="B39" s="75" t="s">
        <v>76</v>
      </c>
      <c r="C39" s="53"/>
      <c r="D39" s="57"/>
      <c r="E39" s="57"/>
      <c r="F39" s="101" t="s">
        <v>74</v>
      </c>
      <c r="G39" s="57"/>
      <c r="H39" s="58"/>
      <c r="L39" s="82">
        <v>0.5</v>
      </c>
      <c r="M39" s="83">
        <f ca="1">$B$43</f>
        <v>9.6583147661454247E-2</v>
      </c>
      <c r="N39" s="84">
        <f ca="1">M39*L39</f>
        <v>4.8291573830727123E-2</v>
      </c>
      <c r="V39" s="1"/>
      <c r="W39" s="1"/>
      <c r="X39" s="1"/>
    </row>
    <row r="40" spans="1:30" ht="15.75" x14ac:dyDescent="0.25">
      <c r="B40" s="74">
        <f ca="1">SQRT(B37)</f>
        <v>1.3393672739964738E-2</v>
      </c>
      <c r="C40" s="78" t="s">
        <v>72</v>
      </c>
      <c r="D40" s="57"/>
      <c r="E40" s="57"/>
      <c r="F40" s="102">
        <f ca="1">SQRT(AVERAGE(C9,D10,E11,F12,G13,H14,I15,J16,K17,L18,M19,N20,O21,P22,Q23,R24,S25,T26,U27,V28,W29,X30,Y31,Z32,AA33))</f>
        <v>6.1469561919477986E-2</v>
      </c>
      <c r="G40" s="78" t="s">
        <v>72</v>
      </c>
      <c r="H40" s="58"/>
      <c r="L40" s="85">
        <v>1</v>
      </c>
      <c r="M40" s="86">
        <f t="shared" ref="M40:M42" ca="1" si="1">$B$43</f>
        <v>9.6583147661454247E-2</v>
      </c>
      <c r="N40" s="87">
        <f t="shared" ref="N40:N42" ca="1" si="2">M40*L40</f>
        <v>9.6583147661454247E-2</v>
      </c>
      <c r="V40" s="1"/>
      <c r="W40" s="1"/>
      <c r="X40" s="1"/>
    </row>
    <row r="41" spans="1:30" ht="15.75" x14ac:dyDescent="0.25">
      <c r="B41" s="59"/>
      <c r="C41" s="57"/>
      <c r="D41" s="57"/>
      <c r="E41" s="57"/>
      <c r="F41" s="57"/>
      <c r="G41" s="57"/>
      <c r="H41" s="58"/>
      <c r="L41" s="85">
        <v>1.5</v>
      </c>
      <c r="M41" s="86">
        <f t="shared" ca="1" si="1"/>
        <v>9.6583147661454247E-2</v>
      </c>
      <c r="N41" s="87">
        <f t="shared" ca="1" si="2"/>
        <v>0.14487472149218136</v>
      </c>
    </row>
    <row r="42" spans="1:30" ht="16.5" thickBot="1" x14ac:dyDescent="0.3">
      <c r="B42" s="75" t="s">
        <v>75</v>
      </c>
      <c r="C42" s="53"/>
      <c r="D42" s="57"/>
      <c r="E42" s="57"/>
      <c r="F42" s="101" t="s">
        <v>73</v>
      </c>
      <c r="G42" s="57"/>
      <c r="H42" s="58"/>
      <c r="L42" s="88">
        <v>2</v>
      </c>
      <c r="M42" s="89">
        <f t="shared" ca="1" si="1"/>
        <v>9.6583147661454247E-2</v>
      </c>
      <c r="N42" s="90">
        <f t="shared" ca="1" si="2"/>
        <v>0.19316629532290849</v>
      </c>
    </row>
    <row r="43" spans="1:30" ht="16.5" thickBot="1" x14ac:dyDescent="0.3">
      <c r="B43" s="73">
        <f ca="1">B40*SQRT(52)</f>
        <v>9.6583147661454247E-2</v>
      </c>
      <c r="C43" s="61"/>
      <c r="D43" s="61"/>
      <c r="E43" s="61"/>
      <c r="F43" s="103">
        <f ca="1">F40*SQRT(52)</f>
        <v>0.443263314761973</v>
      </c>
      <c r="G43" s="61"/>
      <c r="H43" s="62"/>
    </row>
  </sheetData>
  <sheetProtection algorithmName="SHA-512" hashValue="UuzdB2c0qvU0BuGJ7dFievhV/SuFawVfqeojkAIFy7qkIure+hGO/F1gBUbELberOYxVeyddjqkmWs/WT76AAQ==" saltValue="jzcE+i09t3Iw/pMWa96L6w==" spinCount="100000" sheet="1" objects="1" scenarios="1"/>
  <mergeCells count="7">
    <mergeCell ref="A1:AM3"/>
    <mergeCell ref="A4:AM5"/>
    <mergeCell ref="AE9:AM18"/>
    <mergeCell ref="L37:L38"/>
    <mergeCell ref="M37:M38"/>
    <mergeCell ref="N37:N38"/>
    <mergeCell ref="A6:AM6"/>
  </mergeCells>
  <phoneticPr fontId="9"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AB826-FCBA-4BC1-8715-DD4A04A64D0E}">
  <dimension ref="A1:BD311"/>
  <sheetViews>
    <sheetView zoomScale="85" zoomScaleNormal="85" workbookViewId="0">
      <selection activeCell="L42" sqref="L42"/>
    </sheetView>
  </sheetViews>
  <sheetFormatPr defaultRowHeight="15" x14ac:dyDescent="0.25"/>
  <cols>
    <col min="1" max="1" width="49.85546875" customWidth="1"/>
    <col min="2" max="2" width="7.5703125" customWidth="1"/>
    <col min="3" max="3" width="11.85546875" style="38" customWidth="1"/>
    <col min="4" max="29" width="9.140625" style="1"/>
  </cols>
  <sheetData>
    <row r="1" spans="1:56" x14ac:dyDescent="0.25">
      <c r="A1" s="44" t="s">
        <v>48</v>
      </c>
      <c r="D1" s="112" t="s">
        <v>22</v>
      </c>
      <c r="E1" s="112" t="s">
        <v>23</v>
      </c>
      <c r="F1" s="112" t="s">
        <v>24</v>
      </c>
      <c r="G1" s="112" t="s">
        <v>25</v>
      </c>
      <c r="H1" s="112" t="s">
        <v>26</v>
      </c>
      <c r="I1" s="112" t="s">
        <v>27</v>
      </c>
      <c r="J1" s="112" t="s">
        <v>28</v>
      </c>
      <c r="K1" s="112" t="s">
        <v>29</v>
      </c>
      <c r="L1" s="112" t="s">
        <v>30</v>
      </c>
      <c r="M1" s="112" t="s">
        <v>31</v>
      </c>
      <c r="N1" s="112" t="s">
        <v>32</v>
      </c>
      <c r="O1" s="112" t="s">
        <v>7</v>
      </c>
      <c r="P1" s="112" t="s">
        <v>8</v>
      </c>
      <c r="Q1" s="112" t="s">
        <v>9</v>
      </c>
      <c r="R1" s="112" t="s">
        <v>10</v>
      </c>
      <c r="S1" s="112" t="s">
        <v>11</v>
      </c>
      <c r="T1" s="112" t="s">
        <v>2</v>
      </c>
      <c r="U1" s="112" t="s">
        <v>3</v>
      </c>
      <c r="V1" s="112" t="s">
        <v>4</v>
      </c>
      <c r="W1" s="112" t="s">
        <v>5</v>
      </c>
      <c r="X1" s="112" t="s">
        <v>6</v>
      </c>
      <c r="Y1" s="112" t="s">
        <v>61</v>
      </c>
      <c r="Z1" s="112" t="s">
        <v>62</v>
      </c>
      <c r="AA1" s="112" t="s">
        <v>17</v>
      </c>
      <c r="AB1" s="112" t="s">
        <v>18</v>
      </c>
      <c r="AC1" s="112" t="s">
        <v>19</v>
      </c>
      <c r="AD1" s="112" t="s">
        <v>63</v>
      </c>
      <c r="AE1" s="112" t="s">
        <v>20</v>
      </c>
      <c r="AF1" s="112" t="s">
        <v>64</v>
      </c>
      <c r="AG1" s="112" t="s">
        <v>65</v>
      </c>
      <c r="AH1" s="112" t="s">
        <v>66</v>
      </c>
      <c r="AI1" s="112" t="s">
        <v>21</v>
      </c>
      <c r="AJ1" s="112" t="s">
        <v>67</v>
      </c>
      <c r="AK1" s="112" t="s">
        <v>68</v>
      </c>
      <c r="AL1" s="112" t="s">
        <v>82</v>
      </c>
      <c r="AM1" s="112" t="s">
        <v>86</v>
      </c>
      <c r="AN1" s="112" t="s">
        <v>91</v>
      </c>
      <c r="AO1" s="112" t="s">
        <v>96</v>
      </c>
      <c r="AP1" s="112" t="s">
        <v>101</v>
      </c>
      <c r="AQ1" s="112" t="s">
        <v>106</v>
      </c>
      <c r="AR1" s="112" t="s">
        <v>109</v>
      </c>
      <c r="AS1" s="112" t="s">
        <v>113</v>
      </c>
      <c r="AT1" s="112" t="s">
        <v>117</v>
      </c>
      <c r="AU1" s="112" t="s">
        <v>121</v>
      </c>
      <c r="AV1" s="112" t="s">
        <v>123</v>
      </c>
      <c r="AW1" s="112" t="s">
        <v>126</v>
      </c>
      <c r="AX1" s="112" t="s">
        <v>131</v>
      </c>
      <c r="AY1" s="112" t="s">
        <v>133</v>
      </c>
      <c r="AZ1" s="112" t="s">
        <v>138</v>
      </c>
      <c r="BA1" s="112" t="s">
        <v>141</v>
      </c>
      <c r="BB1" s="112" t="s">
        <v>143</v>
      </c>
      <c r="BC1" s="112" t="s">
        <v>146</v>
      </c>
      <c r="BD1" s="112" t="s">
        <v>150</v>
      </c>
    </row>
    <row r="2" spans="1:56" x14ac:dyDescent="0.25">
      <c r="A2" s="217" t="s">
        <v>71</v>
      </c>
      <c r="C2" s="38">
        <f>'Asset Prices'!C2</f>
        <v>44357</v>
      </c>
      <c r="D2" s="1">
        <f>'Asset Prices'!D2/'Asset Prices'!D3-1</f>
        <v>2.5601683398360331E-2</v>
      </c>
      <c r="E2" s="1">
        <f>'Asset Prices'!E2/'Asset Prices'!E3-1</f>
        <v>1.8724466636403925E-3</v>
      </c>
      <c r="F2" s="1">
        <f>'Asset Prices'!F2/'Asset Prices'!F3-1</f>
        <v>-2.3775806812253109E-2</v>
      </c>
      <c r="G2" s="1">
        <f>'Asset Prices'!G2/'Asset Prices'!G3-1</f>
        <v>1.492169194721904E-2</v>
      </c>
      <c r="H2" s="1">
        <f>'Asset Prices'!H2/'Asset Prices'!H3-1</f>
        <v>-7.4270013123359679E-2</v>
      </c>
      <c r="I2" s="1">
        <f>'Asset Prices'!I2/'Asset Prices'!I3-1</f>
        <v>1.9690835480309143E-2</v>
      </c>
      <c r="J2" s="1">
        <f>'Asset Prices'!J2/'Asset Prices'!J3-1</f>
        <v>2.0802978792293869E-2</v>
      </c>
      <c r="K2" s="1">
        <f>'Asset Prices'!K2/'Asset Prices'!K3-1</f>
        <v>5.1032158669097383E-2</v>
      </c>
      <c r="L2" s="1">
        <f>'Asset Prices'!L2/'Asset Prices'!L3-1</f>
        <v>-4.4132971007090349E-3</v>
      </c>
      <c r="M2" s="1">
        <f>'Asset Prices'!M2/'Asset Prices'!M3-1</f>
        <v>4.6925237068088377E-2</v>
      </c>
      <c r="N2" s="1">
        <f>'Asset Prices'!N2/'Asset Prices'!N3-1</f>
        <v>3.7293723749563412E-2</v>
      </c>
      <c r="O2" s="1">
        <f>'Asset Prices'!O2/'Asset Prices'!O3-1</f>
        <v>-9.1669531339522159E-4</v>
      </c>
      <c r="P2" s="1">
        <f>'Asset Prices'!P2/'Asset Prices'!P3-1</f>
        <v>-6.2015503875969546E-3</v>
      </c>
      <c r="Q2" s="1">
        <f>'Asset Prices'!Q2/'Asset Prices'!Q3-1</f>
        <v>7.9705799350924034E-2</v>
      </c>
      <c r="R2" s="1">
        <f>'Asset Prices'!R2/'Asset Prices'!R3-1</f>
        <v>-1.2060158910329299E-2</v>
      </c>
      <c r="S2" s="1">
        <f>'Asset Prices'!S2/'Asset Prices'!S3-1</f>
        <v>2.0675396278428959E-3</v>
      </c>
      <c r="T2" s="1">
        <f>'Asset Prices'!T2/'Asset Prices'!T3-1</f>
        <v>2.5427350427350337E-2</v>
      </c>
      <c r="U2" s="1">
        <f>'Asset Prices'!U2/'Asset Prices'!U3-1</f>
        <v>-2.4136715997181035E-2</v>
      </c>
      <c r="V2" s="1">
        <f>'Asset Prices'!V2/'Asset Prices'!V3-1</f>
        <v>-4.0328524797304421E-2</v>
      </c>
      <c r="W2" s="1">
        <f>'Asset Prices'!W2/'Asset Prices'!W3-1</f>
        <v>-2.6133610245759775E-2</v>
      </c>
      <c r="X2" s="1">
        <f>'Asset Prices'!X2/'Asset Prices'!X3-1</f>
        <v>-1.3044970820459967E-2</v>
      </c>
      <c r="Y2" s="1">
        <f>'Asset Prices'!Y2/'Asset Prices'!Y3-1</f>
        <v>6.7975281715739744E-2</v>
      </c>
      <c r="Z2" s="1">
        <f>'Asset Prices'!Z2/'Asset Prices'!Z3-1</f>
        <v>-4.5670225385526786E-3</v>
      </c>
      <c r="AA2" s="1">
        <f>'Asset Prices'!AA2/'Asset Prices'!AA3-1</f>
        <v>0.10808481296328232</v>
      </c>
      <c r="AB2" s="1">
        <f>'Asset Prices'!AB2/'Asset Prices'!AB3-1</f>
        <v>2.8846153846153744E-3</v>
      </c>
      <c r="AC2" s="1">
        <f>'Asset Prices'!AC2/'Asset Prices'!AC3-1</f>
        <v>3.6573855592260562E-2</v>
      </c>
      <c r="AD2" s="1">
        <f>'Asset Prices'!AD2/'Asset Prices'!AD3-1</f>
        <v>-3.9011703511054874E-3</v>
      </c>
      <c r="AE2" s="1">
        <f>'Asset Prices'!AE2/'Asset Prices'!AE3-1</f>
        <v>4.7015319598520788E-2</v>
      </c>
      <c r="AF2" s="1">
        <f>'Asset Prices'!AF2/'Asset Prices'!AF3-1</f>
        <v>-7.8898101096549933E-2</v>
      </c>
      <c r="AG2" s="1">
        <f>'Asset Prices'!AG2/'Asset Prices'!AG3-1</f>
        <v>-1.3507273147079224E-2</v>
      </c>
      <c r="AH2" s="1">
        <f>'Asset Prices'!AH2/'Asset Prices'!AH3-1</f>
        <v>1.6497859454944086E-2</v>
      </c>
      <c r="AI2" s="1">
        <f>'Asset Prices'!AI2/'Asset Prices'!AI3-1</f>
        <v>1.3182177695755248E-2</v>
      </c>
      <c r="AJ2" s="1">
        <f>'Asset Prices'!AJ2/'Asset Prices'!AJ3-1</f>
        <v>-8.0757097791798071E-2</v>
      </c>
      <c r="AK2" s="1">
        <f>'Asset Prices'!AK2/'Asset Prices'!AK3-1</f>
        <v>-3.1512605042016695E-2</v>
      </c>
      <c r="AL2" s="1">
        <f>'Asset Prices'!AL2/'Asset Prices'!AL3-1</f>
        <v>2.2407967277254137E-2</v>
      </c>
      <c r="AM2" s="1">
        <f>'Asset Prices'!AM2/'Asset Prices'!AM3-1</f>
        <v>3.4283751288217035E-2</v>
      </c>
      <c r="AN2" s="1">
        <f>'Asset Prices'!AN2/'Asset Prices'!AN3-1</f>
        <v>2.7873448137765378E-2</v>
      </c>
      <c r="AO2" s="1">
        <f>'Asset Prices'!AO2/'Asset Prices'!AO3-1</f>
        <v>6.3180063180063861E-3</v>
      </c>
      <c r="AP2" s="1">
        <f>'Asset Prices'!AP2/'Asset Prices'!AP3-1</f>
        <v>-1.6251518833535927E-2</v>
      </c>
      <c r="AQ2" s="1">
        <f>'Asset Prices'!AQ2/'Asset Prices'!AQ3-1</f>
        <v>7.6442221825326007E-2</v>
      </c>
      <c r="AR2" s="1">
        <f>'Asset Prices'!AR2/'Asset Prices'!AR3-1</f>
        <v>0</v>
      </c>
      <c r="AS2" s="1">
        <f>'Asset Prices'!AS2/'Asset Prices'!AS3-1</f>
        <v>2.4659312134977185E-2</v>
      </c>
      <c r="AT2" s="1">
        <f>'Asset Prices'!AT2/'Asset Prices'!AT3-1</f>
        <v>-1.6938597583758819E-2</v>
      </c>
      <c r="AU2" s="1">
        <f>'Asset Prices'!AU2/'Asset Prices'!AU3-1</f>
        <v>1.9483217015619836E-2</v>
      </c>
      <c r="AV2" s="1">
        <f>'Asset Prices'!AV2/'Asset Prices'!AV3-1</f>
        <v>-8.5521081941130062E-3</v>
      </c>
      <c r="AW2" s="1">
        <f>'Asset Prices'!AW2/'Asset Prices'!AW3-1</f>
        <v>5.0092357784665476E-2</v>
      </c>
      <c r="AX2" s="1">
        <f>'Asset Prices'!AX2/'Asset Prices'!AX3-1</f>
        <v>0.13954741379310343</v>
      </c>
      <c r="AY2" s="1">
        <f>'Asset Prices'!AY2/'Asset Prices'!AY3-1</f>
        <v>-5.5905152758778054E-2</v>
      </c>
      <c r="AZ2" s="1">
        <f>'Asset Prices'!AZ2/'Asset Prices'!AZ3-1</f>
        <v>-4.2352941176470482E-2</v>
      </c>
      <c r="BA2" s="1">
        <f>'Asset Prices'!BA2/'Asset Prices'!BA3-1</f>
        <v>-3.9936251992125249E-2</v>
      </c>
      <c r="BB2" s="1">
        <f>'Asset Prices'!BB2/'Asset Prices'!BB3-1</f>
        <v>2.8488140983172094E-2</v>
      </c>
      <c r="BC2" s="1">
        <f>'Asset Prices'!BC2/'Asset Prices'!BC3-1</f>
        <v>-4.2357189149152874E-2</v>
      </c>
      <c r="BD2" s="1">
        <f>'Asset Prices'!BD2/'Asset Prices'!BD3-1</f>
        <v>-1.2324377618929683E-3</v>
      </c>
    </row>
    <row r="3" spans="1:56" x14ac:dyDescent="0.25">
      <c r="A3" s="217"/>
      <c r="C3" s="38">
        <f>'Asset Prices'!C3</f>
        <v>44350</v>
      </c>
      <c r="D3" s="1">
        <f>'Asset Prices'!D3/'Asset Prices'!D4-1</f>
        <v>5.5100061712070048E-3</v>
      </c>
      <c r="E3" s="1">
        <f>'Asset Prices'!E3/'Asset Prices'!E4-1</f>
        <v>-1.5638963360142921E-2</v>
      </c>
      <c r="F3" s="1">
        <f>'Asset Prices'!F3/'Asset Prices'!F4-1</f>
        <v>-1.7501464557703628E-2</v>
      </c>
      <c r="G3" s="1">
        <f>'Asset Prices'!G3/'Asset Prices'!G4-1</f>
        <v>2.671562420866036E-2</v>
      </c>
      <c r="H3" s="1">
        <f>'Asset Prices'!H3/'Asset Prices'!H4-1</f>
        <v>1.0610079575596787E-2</v>
      </c>
      <c r="I3" s="1">
        <f>'Asset Prices'!I3/'Asset Prices'!I4-1</f>
        <v>-2.0165289256198315E-2</v>
      </c>
      <c r="J3" s="1">
        <f>'Asset Prices'!J3/'Asset Prices'!J4-1</f>
        <v>-1.388888888888884E-2</v>
      </c>
      <c r="K3" s="1">
        <f>'Asset Prices'!K3/'Asset Prices'!K4-1</f>
        <v>-1.3343198838429604E-2</v>
      </c>
      <c r="L3" s="1">
        <f>'Asset Prices'!L3/'Asset Prices'!L4-1</f>
        <v>-2.8638907633072641E-2</v>
      </c>
      <c r="M3" s="1">
        <f>'Asset Prices'!M3/'Asset Prices'!M4-1</f>
        <v>-1.4439853997031737E-2</v>
      </c>
      <c r="N3" s="1">
        <f>'Asset Prices'!N3/'Asset Prices'!N4-1</f>
        <v>-6.3910474545854079E-3</v>
      </c>
      <c r="O3" s="1">
        <f>'Asset Prices'!O3/'Asset Prices'!O4-1</f>
        <v>6.2842317670799286E-3</v>
      </c>
      <c r="P3" s="1">
        <f>'Asset Prices'!P3/'Asset Prices'!P4-1</f>
        <v>7.0045149584370137E-3</v>
      </c>
      <c r="Q3" s="1">
        <f>'Asset Prices'!Q3/'Asset Prices'!Q4-1</f>
        <v>-5.4704303316271186E-2</v>
      </c>
      <c r="R3" s="1">
        <f>'Asset Prices'!R3/'Asset Prices'!R4-1</f>
        <v>2.9884730325886455E-3</v>
      </c>
      <c r="S3" s="1">
        <f>'Asset Prices'!S3/'Asset Prices'!S4-1</f>
        <v>-1.0327022375214989E-3</v>
      </c>
      <c r="T3" s="1">
        <f>'Asset Prices'!T3/'Asset Prices'!T4-1</f>
        <v>-3.7301151947339517E-2</v>
      </c>
      <c r="U3" s="1">
        <f>'Asset Prices'!U3/'Asset Prices'!U4-1</f>
        <v>-3.0737704918032849E-2</v>
      </c>
      <c r="V3" s="1">
        <f>'Asset Prices'!V3/'Asset Prices'!V4-1</f>
        <v>-4.0222334512379998E-2</v>
      </c>
      <c r="W3" s="1">
        <f>'Asset Prices'!W3/'Asset Prices'!W4-1</f>
        <v>-2.1838496698831866E-2</v>
      </c>
      <c r="X3" s="1">
        <f>'Asset Prices'!X3/'Asset Prices'!X4-1</f>
        <v>-5.6212538473999651E-2</v>
      </c>
      <c r="Y3" s="1">
        <f>'Asset Prices'!Y3/'Asset Prices'!Y4-1</f>
        <v>-4.0259559028746783E-2</v>
      </c>
      <c r="Z3" s="1">
        <f>'Asset Prices'!Z3/'Asset Prices'!Z4-1</f>
        <v>-6.3593446264926468E-2</v>
      </c>
      <c r="AA3" s="1">
        <f>'Asset Prices'!AA3/'Asset Prices'!AA4-1</f>
        <v>-3.5096473719228194E-2</v>
      </c>
      <c r="AB3" s="1">
        <f>'Asset Prices'!AB3/'Asset Prices'!AB4-1</f>
        <v>-3.4354688950789192E-2</v>
      </c>
      <c r="AC3" s="1">
        <f>'Asset Prices'!AC3/'Asset Prices'!AC4-1</f>
        <v>-9.3038477722192647E-3</v>
      </c>
      <c r="AD3" s="1">
        <f>'Asset Prices'!AD3/'Asset Prices'!AD4-1</f>
        <v>2.8828334134121114E-3</v>
      </c>
      <c r="AE3" s="1">
        <f>'Asset Prices'!AE3/'Asset Prices'!AE4-1</f>
        <v>-2.5231719876415926E-2</v>
      </c>
      <c r="AF3" s="1">
        <f>'Asset Prices'!AF3/'Asset Prices'!AF4-1</f>
        <v>3.8899694359544323E-2</v>
      </c>
      <c r="AG3" s="1">
        <f>'Asset Prices'!AG3/'Asset Prices'!AG4-1</f>
        <v>7.7497201144421046E-2</v>
      </c>
      <c r="AH3" s="1">
        <f>'Asset Prices'!AH3/'Asset Prices'!AH4-1</f>
        <v>-3.0275415147833273E-2</v>
      </c>
      <c r="AI3" s="1">
        <f>'Asset Prices'!AI3/'Asset Prices'!AI4-1</f>
        <v>-3.85297845373892E-2</v>
      </c>
      <c r="AJ3" s="1">
        <f>'Asset Prices'!AJ3/'Asset Prices'!AJ4-1</f>
        <v>5.9137988640160399E-2</v>
      </c>
      <c r="AK3" s="1">
        <f>'Asset Prices'!AK3/'Asset Prices'!AK4-1</f>
        <v>-7.3479318734793297E-2</v>
      </c>
      <c r="AL3" s="1">
        <f>'Asset Prices'!AL3/'Asset Prices'!AL4-1</f>
        <v>1.4615662215806458E-2</v>
      </c>
      <c r="AM3" s="1">
        <f>'Asset Prices'!AM3/'Asset Prices'!AM4-1</f>
        <v>1.2028925045195482E-2</v>
      </c>
      <c r="AN3" s="1">
        <f>'Asset Prices'!AN3/'Asset Prices'!AN4-1</f>
        <v>-1.8899060940630985E-2</v>
      </c>
      <c r="AO3" s="1">
        <f>'Asset Prices'!AO3/'Asset Prices'!AO4-1</f>
        <v>1.2257949902291676E-2</v>
      </c>
      <c r="AP3" s="1">
        <f>'Asset Prices'!AP3/'Asset Prices'!AP4-1</f>
        <v>-2.0820939916716075E-2</v>
      </c>
      <c r="AQ3" s="1">
        <f>'Asset Prices'!AQ3/'Asset Prices'!AQ4-1</f>
        <v>-7.3166694255917819E-2</v>
      </c>
      <c r="AR3" s="1">
        <f>'Asset Prices'!AR3/'Asset Prices'!AR4-1</f>
        <v>-2.7773977288274798E-2</v>
      </c>
      <c r="AS3" s="1">
        <f>'Asset Prices'!AS3/'Asset Prices'!AS4-1</f>
        <v>1.7833553500660404E-2</v>
      </c>
      <c r="AT3" s="1">
        <f>'Asset Prices'!AT3/'Asset Prices'!AT4-1</f>
        <v>-1.8647439085031081E-3</v>
      </c>
      <c r="AU3" s="1">
        <f>'Asset Prices'!AU3/'Asset Prices'!AU4-1</f>
        <v>-9.1309039594922314E-4</v>
      </c>
      <c r="AV3" s="1">
        <f>'Asset Prices'!AV3/'Asset Prices'!AV4-1</f>
        <v>4.4950554390170705E-3</v>
      </c>
      <c r="AW3" s="1">
        <f>'Asset Prices'!AW3/'Asset Prices'!AW4-1</f>
        <v>-3.4927636945946805E-2</v>
      </c>
      <c r="AX3" s="1">
        <f>'Asset Prices'!AX3/'Asset Prices'!AX4-1</f>
        <v>-0.16207674943566597</v>
      </c>
      <c r="AY3" s="1">
        <f>'Asset Prices'!AY3/'Asset Prices'!AY4-1</f>
        <v>-3.5450387051372267E-2</v>
      </c>
      <c r="AZ3" s="1">
        <f>'Asset Prices'!AZ3/'Asset Prices'!AZ4-1</f>
        <v>-1.9607843137254943E-2</v>
      </c>
      <c r="BA3" s="1">
        <f>'Asset Prices'!BA3/'Asset Prices'!BA4-1</f>
        <v>-2.0027560863573712E-2</v>
      </c>
      <c r="BB3" s="1">
        <f>'Asset Prices'!BB3/'Asset Prices'!BB4-1</f>
        <v>9.6321070234113293E-3</v>
      </c>
      <c r="BC3" s="1">
        <f>'Asset Prices'!BC3/'Asset Prices'!BC4-1</f>
        <v>-4.0848947695586446E-2</v>
      </c>
      <c r="BD3" s="1">
        <f>'Asset Prices'!BD3/'Asset Prices'!BD4-1</f>
        <v>6.0756354618722863E-3</v>
      </c>
    </row>
    <row r="4" spans="1:56" x14ac:dyDescent="0.25">
      <c r="A4" s="217"/>
      <c r="C4" s="38">
        <f>'Asset Prices'!C4</f>
        <v>44343</v>
      </c>
      <c r="D4" s="1">
        <f>'Asset Prices'!D4/'Asset Prices'!D5-1</f>
        <v>1.8547959724430907E-3</v>
      </c>
      <c r="E4" s="1">
        <f>'Asset Prices'!E4/'Asset Prices'!E5-1</f>
        <v>4.4817927170868188E-2</v>
      </c>
      <c r="F4" s="1">
        <f>'Asset Prices'!F4/'Asset Prices'!F5-1</f>
        <v>2.468672619494261E-2</v>
      </c>
      <c r="G4" s="1">
        <f>'Asset Prices'!G4/'Asset Prices'!G5-1</f>
        <v>3.3028455284553893E-3</v>
      </c>
      <c r="H4" s="1">
        <f>'Asset Prices'!H4/'Asset Prices'!H5-1</f>
        <v>2.6767096472190222E-2</v>
      </c>
      <c r="I4" s="1">
        <f>'Asset Prices'!I4/'Asset Prices'!I5-1</f>
        <v>4.4380276827469256E-2</v>
      </c>
      <c r="J4" s="1">
        <f>'Asset Prices'!J4/'Asset Prices'!J5-1</f>
        <v>-1.5945330296127547E-2</v>
      </c>
      <c r="K4" s="1">
        <f>'Asset Prices'!K4/'Asset Prices'!K5-1</f>
        <v>-5.4100157650999181E-3</v>
      </c>
      <c r="L4" s="1">
        <f>'Asset Prices'!L4/'Asset Prices'!L5-1</f>
        <v>4.3654194988738126E-3</v>
      </c>
      <c r="M4" s="1">
        <f>'Asset Prices'!M4/'Asset Prices'!M5-1</f>
        <v>1.1481661798117493E-2</v>
      </c>
      <c r="N4" s="1">
        <f>'Asset Prices'!N4/'Asset Prices'!N5-1</f>
        <v>2.4157437309000995E-2</v>
      </c>
      <c r="O4" s="1">
        <f>'Asset Prices'!O4/'Asset Prices'!O5-1</f>
        <v>2.0798428563173488E-3</v>
      </c>
      <c r="P4" s="1">
        <f>'Asset Prices'!P4/'Asset Prices'!P5-1</f>
        <v>3.7695891571367657E-3</v>
      </c>
      <c r="Q4" s="1">
        <f>'Asset Prices'!Q4/'Asset Prices'!Q5-1</f>
        <v>2.019050858989635E-2</v>
      </c>
      <c r="R4" s="1">
        <f>'Asset Prices'!R4/'Asset Prices'!R5-1</f>
        <v>-1.8301201452919802E-2</v>
      </c>
      <c r="S4" s="1">
        <f>'Asset Prices'!S4/'Asset Prices'!S5-1</f>
        <v>-9.8841172460804039E-3</v>
      </c>
      <c r="T4" s="1">
        <f>'Asset Prices'!T4/'Asset Prices'!T5-1</f>
        <v>4.9359620089221679E-2</v>
      </c>
      <c r="U4" s="1">
        <f>'Asset Prices'!U4/'Asset Prices'!U5-1</f>
        <v>1.3850415512465464E-2</v>
      </c>
      <c r="V4" s="1">
        <f>'Asset Prices'!V4/'Asset Prices'!V5-1</f>
        <v>3.840906705845315E-2</v>
      </c>
      <c r="W4" s="1">
        <f>'Asset Prices'!W4/'Asset Prices'!W5-1</f>
        <v>3.1610199091861801E-2</v>
      </c>
      <c r="X4" s="1">
        <f>'Asset Prices'!X4/'Asset Prices'!X5-1</f>
        <v>3.0206942590120134E-2</v>
      </c>
      <c r="Y4" s="1">
        <f>'Asset Prices'!Y4/'Asset Prices'!Y5-1</f>
        <v>5.553100603918093E-2</v>
      </c>
      <c r="Z4" s="1">
        <f>'Asset Prices'!Z4/'Asset Prices'!Z5-1</f>
        <v>5.3416803182775752E-2</v>
      </c>
      <c r="AA4" s="1">
        <f>'Asset Prices'!AA4/'Asset Prices'!AA5-1</f>
        <v>-4.0586432535409944E-3</v>
      </c>
      <c r="AB4" s="1">
        <f>'Asset Prices'!AB4/'Asset Prices'!AB5-1</f>
        <v>2.9636711281070705E-2</v>
      </c>
      <c r="AC4" s="1">
        <f>'Asset Prices'!AC4/'Asset Prices'!AC5-1</f>
        <v>1.4369723987479821E-2</v>
      </c>
      <c r="AD4" s="1">
        <f>'Asset Prices'!AD4/'Asset Prices'!AD5-1</f>
        <v>2.4614951825022935E-2</v>
      </c>
      <c r="AE4" s="1">
        <f>'Asset Prices'!AE4/'Asset Prices'!AE5-1</f>
        <v>-7.2038695070497649E-4</v>
      </c>
      <c r="AF4" s="1">
        <f>'Asset Prices'!AF4/'Asset Prices'!AF5-1</f>
        <v>2.9756795422031468E-2</v>
      </c>
      <c r="AG4" s="1">
        <f>'Asset Prices'!AG4/'Asset Prices'!AG5-1</f>
        <v>2.7085728887185523E-2</v>
      </c>
      <c r="AH4" s="1">
        <f>'Asset Prices'!AH4/'Asset Prices'!AH5-1</f>
        <v>0.18133971291866047</v>
      </c>
      <c r="AI4" s="1">
        <f>'Asset Prices'!AI4/'Asset Prices'!AI5-1</f>
        <v>8.2304526748971263E-2</v>
      </c>
      <c r="AJ4" s="1">
        <f>'Asset Prices'!AJ4/'Asset Prices'!AJ5-1</f>
        <v>3.100241129865644E-2</v>
      </c>
      <c r="AK4" s="1">
        <f>'Asset Prices'!AK4/'Asset Prices'!AK5-1</f>
        <v>4.9540347293156373E-2</v>
      </c>
      <c r="AL4" s="1">
        <f>'Asset Prices'!AL4/'Asset Prices'!AL5-1</f>
        <v>-3.9181692094313436E-2</v>
      </c>
      <c r="AM4" s="1">
        <f>'Asset Prices'!AM4/'Asset Prices'!AM5-1</f>
        <v>-4.170141784820558E-4</v>
      </c>
      <c r="AN4" s="1">
        <f>'Asset Prices'!AN4/'Asset Prices'!AN5-1</f>
        <v>6.2905445252603442E-4</v>
      </c>
      <c r="AO4" s="1">
        <f>'Asset Prices'!AO4/'Asset Prices'!AO5-1</f>
        <v>-8.8043669660151647E-3</v>
      </c>
      <c r="AP4" s="1">
        <f>'Asset Prices'!AP4/'Asset Prices'!AP5-1</f>
        <v>-1.9296422740093799E-3</v>
      </c>
      <c r="AQ4" s="1">
        <f>'Asset Prices'!AQ4/'Asset Prices'!AQ5-1</f>
        <v>3.9222432478926539E-2</v>
      </c>
      <c r="AR4" s="1">
        <f>'Asset Prices'!AR4/'Asset Prices'!AR5-1</f>
        <v>-1.0291130670277426E-2</v>
      </c>
      <c r="AS4" s="1">
        <f>'Asset Prices'!AS4/'Asset Prices'!AS5-1</f>
        <v>-2.8864656831302127E-2</v>
      </c>
      <c r="AT4" s="1">
        <f>'Asset Prices'!AT4/'Asset Prices'!AT5-1</f>
        <v>3.3678433329173973E-3</v>
      </c>
      <c r="AU4" s="1">
        <f>'Asset Prices'!AU4/'Asset Prices'!AU5-1</f>
        <v>-1.5727766657134712E-2</v>
      </c>
      <c r="AV4" s="1">
        <f>'Asset Prices'!AV4/'Asset Prices'!AV5-1</f>
        <v>-7.622035618713674E-2</v>
      </c>
      <c r="AW4" s="1">
        <f>'Asset Prices'!AW4/'Asset Prices'!AW5-1</f>
        <v>-2.561629799288645E-3</v>
      </c>
      <c r="AX4" s="1">
        <f>'Asset Prices'!AX4/'Asset Prices'!AX5-1</f>
        <v>3.2152842497670031E-2</v>
      </c>
      <c r="AY4" s="1">
        <f>'Asset Prices'!AY4/'Asset Prices'!AY5-1</f>
        <v>5.8965999068467667E-2</v>
      </c>
      <c r="AZ4" s="1">
        <f>'Asset Prices'!AZ4/'Asset Prices'!AZ5-1</f>
        <v>4.8922495274102085E-2</v>
      </c>
      <c r="BA4" s="1">
        <f>'Asset Prices'!BA4/'Asset Prices'!BA5-1</f>
        <v>6.2780706893184934E-2</v>
      </c>
      <c r="BB4" s="1">
        <f>'Asset Prices'!BB4/'Asset Prices'!BB5-1</f>
        <v>1.5487026219263678E-2</v>
      </c>
      <c r="BC4" s="1">
        <f>'Asset Prices'!BC4/'Asset Prices'!BC5-1</f>
        <v>2.9200749440204676E-2</v>
      </c>
      <c r="BD4" s="1">
        <f>'Asset Prices'!BD4/'Asset Prices'!BD5-1</f>
        <v>2.7715833067856188E-2</v>
      </c>
    </row>
    <row r="5" spans="1:56" x14ac:dyDescent="0.25">
      <c r="A5" s="217"/>
      <c r="C5" s="38">
        <f>'Asset Prices'!C5</f>
        <v>44336</v>
      </c>
      <c r="D5" s="1">
        <f>'Asset Prices'!D5/'Asset Prices'!D6-1</f>
        <v>1.2067578439259874E-2</v>
      </c>
      <c r="E5" s="1">
        <f>'Asset Prices'!E5/'Asset Prices'!E6-1</f>
        <v>-3.9138723786026675E-2</v>
      </c>
      <c r="F5" s="1">
        <f>'Asset Prices'!F5/'Asset Prices'!F6-1</f>
        <v>-2.5447197066088556E-3</v>
      </c>
      <c r="G5" s="1">
        <f>'Asset Prices'!G5/'Asset Prices'!G6-1</f>
        <v>7.4225748656258084E-3</v>
      </c>
      <c r="H5" s="1">
        <f>'Asset Prices'!H5/'Asset Prices'!H6-1</f>
        <v>-2.1160494855667067E-2</v>
      </c>
      <c r="I5" s="1">
        <f>'Asset Prices'!I5/'Asset Prices'!I6-1</f>
        <v>4.3733211033217589E-2</v>
      </c>
      <c r="J5" s="1">
        <f>'Asset Prices'!J5/'Asset Prices'!J6-1</f>
        <v>1.8724493878530923E-2</v>
      </c>
      <c r="K5" s="1">
        <f>'Asset Prices'!K5/'Asset Prices'!K6-1</f>
        <v>2.7268960325418146E-2</v>
      </c>
      <c r="L5" s="1">
        <f>'Asset Prices'!L5/'Asset Prices'!L6-1</f>
        <v>3.0842888258743262E-2</v>
      </c>
      <c r="M5" s="1">
        <f>'Asset Prices'!M5/'Asset Prices'!M6-1</f>
        <v>1.4195778298975448E-2</v>
      </c>
      <c r="N5" s="1">
        <f>'Asset Prices'!N5/'Asset Prices'!N6-1</f>
        <v>3.4952266446542035E-2</v>
      </c>
      <c r="O5" s="1">
        <f>'Asset Prices'!O5/'Asset Prices'!O6-1</f>
        <v>8.6829836829838136E-3</v>
      </c>
      <c r="P5" s="1">
        <f>'Asset Prices'!P5/'Asset Prices'!P6-1</f>
        <v>2.2077922077922141E-2</v>
      </c>
      <c r="Q5" s="1">
        <f>'Asset Prices'!Q5/'Asset Prices'!Q6-1</f>
        <v>6.1919728333514001E-2</v>
      </c>
      <c r="R5" s="1">
        <f>'Asset Prices'!R5/'Asset Prices'!R6-1</f>
        <v>6.4679415073114477E-3</v>
      </c>
      <c r="S5" s="1">
        <f>'Asset Prices'!S5/'Asset Prices'!S6-1</f>
        <v>1.0330578512396826E-2</v>
      </c>
      <c r="T5" s="1">
        <f>'Asset Prices'!T5/'Asset Prices'!T6-1</f>
        <v>-2.0822862066490755E-3</v>
      </c>
      <c r="U5" s="1">
        <f>'Asset Prices'!U5/'Asset Prices'!U6-1</f>
        <v>3.5868005738880937E-2</v>
      </c>
      <c r="V5" s="1">
        <f>'Asset Prices'!V5/'Asset Prices'!V6-1</f>
        <v>-3.4646945598216905E-2</v>
      </c>
      <c r="W5" s="1">
        <f>'Asset Prices'!W5/'Asset Prices'!W6-1</f>
        <v>-3.7647058823529478E-2</v>
      </c>
      <c r="X5" s="1">
        <f>'Asset Prices'!X5/'Asset Prices'!X6-1</f>
        <v>-1.6686133822785276E-4</v>
      </c>
      <c r="Y5" s="1">
        <f>'Asset Prices'!Y5/'Asset Prices'!Y6-1</f>
        <v>3.7676729079098248E-2</v>
      </c>
      <c r="Z5" s="1">
        <f>'Asset Prices'!Z5/'Asset Prices'!Z6-1</f>
        <v>3.6569834435077997E-2</v>
      </c>
      <c r="AA5" s="1">
        <f>'Asset Prices'!AA5/'Asset Prices'!AA6-1</f>
        <v>2.0713561041596273E-2</v>
      </c>
      <c r="AB5" s="1">
        <f>'Asset Prices'!AB5/'Asset Prices'!AB6-1</f>
        <v>5.9777102330293985E-2</v>
      </c>
      <c r="AC5" s="1">
        <f>'Asset Prices'!AC5/'Asset Prices'!AC6-1</f>
        <v>0.10838940285954579</v>
      </c>
      <c r="AD5" s="1">
        <f>'Asset Prices'!AD5/'Asset Prices'!AD6-1</f>
        <v>-4.4808513617587975E-3</v>
      </c>
      <c r="AE5" s="1">
        <f>'Asset Prices'!AE5/'Asset Prices'!AE6-1</f>
        <v>-3.8587117839121277E-2</v>
      </c>
      <c r="AF5" s="1">
        <f>'Asset Prices'!AF5/'Asset Prices'!AF6-1</f>
        <v>7.7854671280277454E-3</v>
      </c>
      <c r="AG5" s="1">
        <f>'Asset Prices'!AG5/'Asset Prices'!AG6-1</f>
        <v>-1.2615112905260517E-2</v>
      </c>
      <c r="AH5" s="1">
        <f>'Asset Prices'!AH5/'Asset Prices'!AH6-1</f>
        <v>-1.6933207902163794E-2</v>
      </c>
      <c r="AI5" s="1">
        <f>'Asset Prices'!AI5/'Asset Prices'!AI6-1</f>
        <v>-8.1632653061223248E-3</v>
      </c>
      <c r="AJ5" s="1">
        <f>'Asset Prices'!AJ5/'Asset Prices'!AJ6-1</f>
        <v>7.2866065232477517E-3</v>
      </c>
      <c r="AK5" s="1">
        <f>'Asset Prices'!AK5/'Asset Prices'!AK6-1</f>
        <v>3.3245382585751937E-2</v>
      </c>
      <c r="AL5" s="1">
        <f>'Asset Prices'!AL5/'Asset Prices'!AL6-1</f>
        <v>-1.0973936899862813E-2</v>
      </c>
      <c r="AM5" s="1">
        <f>'Asset Prices'!AM5/'Asset Prices'!AM6-1</f>
        <v>-2.0115141846430706E-3</v>
      </c>
      <c r="AN5" s="1">
        <f>'Asset Prices'!AN5/'Asset Prices'!AN6-1</f>
        <v>2.6225539640911899E-2</v>
      </c>
      <c r="AO5" s="1">
        <f>'Asset Prices'!AO5/'Asset Prices'!AO6-1</f>
        <v>-3.4347900017003941E-2</v>
      </c>
      <c r="AP5" s="1">
        <f>'Asset Prices'!AP5/'Asset Prices'!AP6-1</f>
        <v>-4.9788434414668514E-2</v>
      </c>
      <c r="AQ5" s="1">
        <f>'Asset Prices'!AQ5/'Asset Prices'!AQ6-1</f>
        <v>3.8128404321814635E-2</v>
      </c>
      <c r="AR5" s="1">
        <f>'Asset Prices'!AR5/'Asset Prices'!AR6-1</f>
        <v>7.1532211259431211E-2</v>
      </c>
      <c r="AS5" s="1">
        <f>'Asset Prices'!AS5/'Asset Prices'!AS6-1</f>
        <v>-2.1343377275580666E-2</v>
      </c>
      <c r="AT5" s="1">
        <f>'Asset Prices'!AT5/'Asset Prices'!AT6-1</f>
        <v>-3.5490856592877762E-2</v>
      </c>
      <c r="AU5" s="1">
        <f>'Asset Prices'!AU5/'Asset Prices'!AU6-1</f>
        <v>2.9088823336609337E-3</v>
      </c>
      <c r="AV5" s="1">
        <f>'Asset Prices'!AV5/'Asset Prices'!AV6-1</f>
        <v>-1.1042160978280702E-2</v>
      </c>
      <c r="AW5" s="1">
        <f>'Asset Prices'!AW5/'Asset Prices'!AW6-1</f>
        <v>7.409445505454304E-2</v>
      </c>
      <c r="AX5" s="1">
        <f>'Asset Prices'!AX5/'Asset Prices'!AX6-1</f>
        <v>9.994874423372635E-2</v>
      </c>
      <c r="AY5" s="1">
        <f>'Asset Prices'!AY5/'Asset Prices'!AY6-1</f>
        <v>-2.3291784187062126E-2</v>
      </c>
      <c r="AZ5" s="1">
        <f>'Asset Prices'!AZ5/'Asset Prices'!AZ6-1</f>
        <v>-8.7868128836471548E-2</v>
      </c>
      <c r="BA5" s="1">
        <f>'Asset Prices'!BA5/'Asset Prices'!BA6-1</f>
        <v>-3.9662447257383993E-2</v>
      </c>
      <c r="BB5" s="1">
        <f>'Asset Prices'!BB5/'Asset Prices'!BB6-1</f>
        <v>-4.2782834850455198E-2</v>
      </c>
      <c r="BC5" s="1">
        <f>'Asset Prices'!BC5/'Asset Prices'!BC6-1</f>
        <v>-1.7950904276802904E-2</v>
      </c>
      <c r="BD5" s="1">
        <f>'Asset Prices'!BD5/'Asset Prices'!BD6-1</f>
        <v>-1.4752040175769143E-2</v>
      </c>
    </row>
    <row r="6" spans="1:56" x14ac:dyDescent="0.25">
      <c r="C6" s="38">
        <f>'Asset Prices'!C6</f>
        <v>44329</v>
      </c>
      <c r="D6" s="1">
        <f>'Asset Prices'!D6/'Asset Prices'!D7-1</f>
        <v>-3.2768459277191742E-2</v>
      </c>
      <c r="E6" s="1">
        <f>'Asset Prices'!E6/'Asset Prices'!E7-1</f>
        <v>-1.8977941580945012E-2</v>
      </c>
      <c r="F6" s="1">
        <f>'Asset Prices'!F6/'Asset Prices'!F7-1</f>
        <v>8.9894374110421893E-4</v>
      </c>
      <c r="G6" s="1">
        <f>'Asset Prices'!G6/'Asset Prices'!G7-1</f>
        <v>-2.0065211938801064E-2</v>
      </c>
      <c r="H6" s="1">
        <f>'Asset Prices'!H6/'Asset Prices'!H7-1</f>
        <v>1.2654490234951687E-2</v>
      </c>
      <c r="I6" s="1">
        <f>'Asset Prices'!I6/'Asset Prices'!I7-1</f>
        <v>-4.6122117367664472E-2</v>
      </c>
      <c r="J6" s="1">
        <f>'Asset Prices'!J6/'Asset Prices'!J7-1</f>
        <v>-3.6765839371049824E-2</v>
      </c>
      <c r="K6" s="1">
        <f>'Asset Prices'!K6/'Asset Prices'!K7-1</f>
        <v>-4.3824496350983178E-2</v>
      </c>
      <c r="L6" s="1">
        <f>'Asset Prices'!L6/'Asset Prices'!L7-1</f>
        <v>-2.5803222900610545E-2</v>
      </c>
      <c r="M6" s="1">
        <f>'Asset Prices'!M6/'Asset Prices'!M7-1</f>
        <v>-2.6828975293316737E-2</v>
      </c>
      <c r="N6" s="1">
        <f>'Asset Prices'!N6/'Asset Prices'!N7-1</f>
        <v>-4.6338802489999331E-2</v>
      </c>
      <c r="O6" s="1">
        <f>'Asset Prices'!O6/'Asset Prices'!O7-1</f>
        <v>1.7612524461839474E-2</v>
      </c>
      <c r="P6" s="1">
        <f>'Asset Prices'!P6/'Asset Prices'!P7-1</f>
        <v>-4.3953315122920333E-2</v>
      </c>
      <c r="Q6" s="1">
        <f>'Asset Prices'!Q6/'Asset Prices'!Q7-1</f>
        <v>-5.3187850595156738E-2</v>
      </c>
      <c r="R6" s="1">
        <f>'Asset Prices'!R6/'Asset Prices'!R7-1</f>
        <v>-6.0097833682738466E-3</v>
      </c>
      <c r="S6" s="1">
        <f>'Asset Prices'!S6/'Asset Prices'!S7-1</f>
        <v>6.9348127600554754E-3</v>
      </c>
      <c r="T6" s="1">
        <f>'Asset Prices'!T6/'Asset Prices'!T7-1</f>
        <v>-2.3283540220211729E-2</v>
      </c>
      <c r="U6" s="1">
        <f>'Asset Prices'!U6/'Asset Prices'!U7-1</f>
        <v>-2.6366334904836863E-2</v>
      </c>
      <c r="V6" s="1">
        <f>'Asset Prices'!V6/'Asset Prices'!V7-1</f>
        <v>-6.6130558183538413E-2</v>
      </c>
      <c r="W6" s="1">
        <f>'Asset Prices'!W6/'Asset Prices'!W7-1</f>
        <v>-8.6637787404199029E-3</v>
      </c>
      <c r="X6" s="1">
        <f>'Asset Prices'!X6/'Asset Prices'!X7-1</f>
        <v>-1.2522656121272013E-2</v>
      </c>
      <c r="Y6" s="1">
        <f>'Asset Prices'!Y6/'Asset Prices'!Y7-1</f>
        <v>-0.13533337738716722</v>
      </c>
      <c r="Z6" s="1">
        <f>'Asset Prices'!Z6/'Asset Prices'!Z7-1</f>
        <v>-4.2617430180572513E-2</v>
      </c>
      <c r="AA6" s="1">
        <f>'Asset Prices'!AA6/'Asset Prices'!AA7-1</f>
        <v>-1.350894967916183E-3</v>
      </c>
      <c r="AB6" s="1">
        <f>'Asset Prices'!AB6/'Asset Prices'!AB7-1</f>
        <v>-7.8431372549019773E-2</v>
      </c>
      <c r="AC6" s="1">
        <f>'Asset Prices'!AC6/'Asset Prices'!AC7-1</f>
        <v>-0.1282991202346041</v>
      </c>
      <c r="AD6" s="1">
        <f>'Asset Prices'!AD6/'Asset Prices'!AD7-1</f>
        <v>-1.052996189816402E-2</v>
      </c>
      <c r="AE6" s="1">
        <f>'Asset Prices'!AE6/'Asset Prices'!AE7-1</f>
        <v>-4.9021452766277784E-2</v>
      </c>
      <c r="AF6" s="1">
        <f>'Asset Prices'!AF6/'Asset Prices'!AF7-1</f>
        <v>-2.1996615905245376E-2</v>
      </c>
      <c r="AG6" s="1">
        <f>'Asset Prices'!AG6/'Asset Prices'!AG7-1</f>
        <v>-9.7666476949345493E-2</v>
      </c>
      <c r="AH6" s="1">
        <f>'Asset Prices'!AH6/'Asset Prices'!AH7-1</f>
        <v>-3.066225920437704E-2</v>
      </c>
      <c r="AI6" s="1">
        <f>'Asset Prices'!AI6/'Asset Prices'!AI7-1</f>
        <v>-4.9896587383660762E-2</v>
      </c>
      <c r="AJ6" s="1">
        <f>'Asset Prices'!AJ6/'Asset Prices'!AJ7-1</f>
        <v>1.0164738871363488E-2</v>
      </c>
      <c r="AK6" s="1">
        <f>'Asset Prices'!AK6/'Asset Prices'!AK7-1</f>
        <v>-1.9658561821003562E-2</v>
      </c>
      <c r="AL6" s="1">
        <f>'Asset Prices'!AL6/'Asset Prices'!AL7-1</f>
        <v>-1.0015277542013146E-2</v>
      </c>
      <c r="AM6" s="1">
        <f>'Asset Prices'!AM6/'Asset Prices'!AM7-1</f>
        <v>-2.8634954857835848E-2</v>
      </c>
      <c r="AN6" s="1">
        <f>'Asset Prices'!AN6/'Asset Prices'!AN7-1</f>
        <v>-2.4711761696769363E-2</v>
      </c>
      <c r="AO6" s="1">
        <f>'Asset Prices'!AO6/'Asset Prices'!AO7-1</f>
        <v>-8.0958003035924708E-3</v>
      </c>
      <c r="AP6" s="1">
        <f>'Asset Prices'!AP6/'Asset Prices'!AP7-1</f>
        <v>-1.1984392419175038E-2</v>
      </c>
      <c r="AQ6" s="1">
        <f>'Asset Prices'!AQ6/'Asset Prices'!AQ7-1</f>
        <v>-4.1017297482445647E-2</v>
      </c>
      <c r="AR6" s="1">
        <f>'Asset Prices'!AR6/'Asset Prices'!AR7-1</f>
        <v>3.0348333084168067E-2</v>
      </c>
      <c r="AS6" s="1">
        <f>'Asset Prices'!AS6/'Asset Prices'!AS7-1</f>
        <v>0.14357501794687733</v>
      </c>
      <c r="AT6" s="1">
        <f>'Asset Prices'!AT6/'Asset Prices'!AT7-1</f>
        <v>-2.6469899273834474E-2</v>
      </c>
      <c r="AU6" s="1">
        <f>'Asset Prices'!AU6/'Asset Prices'!AU7-1</f>
        <v>1.3579170300236809E-2</v>
      </c>
      <c r="AV6" s="1">
        <f>'Asset Prices'!AV6/'Asset Prices'!AV7-1</f>
        <v>-5.2895419187554027E-2</v>
      </c>
      <c r="AW6" s="1">
        <f>'Asset Prices'!AW6/'Asset Prices'!AW7-1</f>
        <v>-5.5693107137398612E-2</v>
      </c>
      <c r="AX6" s="1">
        <f>'Asset Prices'!AX6/'Asset Prices'!AX7-1</f>
        <v>2.2536687631027341E-2</v>
      </c>
      <c r="AY6" s="1">
        <f>'Asset Prices'!AY6/'Asset Prices'!AY7-1</f>
        <v>9.2745638200182334E-3</v>
      </c>
      <c r="AZ6" s="1">
        <f>'Asset Prices'!AZ6/'Asset Prices'!AZ7-1</f>
        <v>-4.9370417782486853E-2</v>
      </c>
      <c r="BA6" s="1">
        <f>'Asset Prices'!BA6/'Asset Prices'!BA7-1</f>
        <v>6.0560859188544258E-2</v>
      </c>
      <c r="BB6" s="1">
        <f>'Asset Prices'!BB6/'Asset Prices'!BB7-1</f>
        <v>-1.5364916773367376E-2</v>
      </c>
      <c r="BC6" s="1">
        <f>'Asset Prices'!BC6/'Asset Prices'!BC7-1</f>
        <v>8.2805429864254432E-3</v>
      </c>
      <c r="BD6" s="1">
        <f>'Asset Prices'!BD6/'Asset Prices'!BD7-1</f>
        <v>-1.5937731653076215E-2</v>
      </c>
    </row>
    <row r="7" spans="1:56" x14ac:dyDescent="0.25">
      <c r="C7" s="38">
        <f>'Asset Prices'!C7</f>
        <v>44322</v>
      </c>
      <c r="D7" s="1">
        <f>'Asset Prices'!D7/'Asset Prices'!D8-1</f>
        <v>-2.3389343916237482E-2</v>
      </c>
      <c r="E7" s="1">
        <f>'Asset Prices'!E7/'Asset Prices'!E8-1</f>
        <v>-1.9101062968758575E-2</v>
      </c>
      <c r="F7" s="1">
        <f>'Asset Prices'!F7/'Asset Prices'!F8-1</f>
        <v>1.7259492720997915E-3</v>
      </c>
      <c r="G7" s="1">
        <f>'Asset Prices'!G7/'Asset Prices'!G8-1</f>
        <v>5.100830367734277E-2</v>
      </c>
      <c r="H7" s="1">
        <f>'Asset Prices'!H7/'Asset Prices'!H8-1</f>
        <v>4.2203367477029907E-2</v>
      </c>
      <c r="I7" s="1">
        <f>'Asset Prices'!I7/'Asset Prices'!I8-1</f>
        <v>-2.8800339898637395E-2</v>
      </c>
      <c r="J7" s="1">
        <f>'Asset Prices'!J7/'Asset Prices'!J8-1</f>
        <v>-2.8019178903206376E-2</v>
      </c>
      <c r="K7" s="1">
        <f>'Asset Prices'!K7/'Asset Prices'!K8-1</f>
        <v>-4.7515203194183231E-2</v>
      </c>
      <c r="L7" s="1">
        <f>'Asset Prices'!L7/'Asset Prices'!L8-1</f>
        <v>-1.8565815324165014E-2</v>
      </c>
      <c r="M7" s="1">
        <f>'Asset Prices'!M7/'Asset Prices'!M8-1</f>
        <v>-1.1009464971684313E-2</v>
      </c>
      <c r="N7" s="1">
        <f>'Asset Prices'!N7/'Asset Prices'!N8-1</f>
        <v>-2.3157358030057473E-2</v>
      </c>
      <c r="O7" s="1">
        <f>'Asset Prices'!O7/'Asset Prices'!O8-1</f>
        <v>2.6854219948849067E-2</v>
      </c>
      <c r="P7" s="1">
        <f>'Asset Prices'!P7/'Asset Prices'!P8-1</f>
        <v>8.2781456953728849E-5</v>
      </c>
      <c r="Q7" s="1">
        <f>'Asset Prices'!Q7/'Asset Prices'!Q8-1</f>
        <v>-3.2465168613694306E-2</v>
      </c>
      <c r="R7" s="1">
        <f>'Asset Prices'!R7/'Asset Prices'!R8-1</f>
        <v>1.4030612244897878E-2</v>
      </c>
      <c r="S7" s="1">
        <f>'Asset Prices'!S7/'Asset Prices'!S8-1</f>
        <v>-1.4690809702767371E-2</v>
      </c>
      <c r="T7" s="1">
        <f>'Asset Prices'!T7/'Asset Prices'!T8-1</f>
        <v>-5.5882937164801638E-2</v>
      </c>
      <c r="U7" s="1">
        <f>'Asset Prices'!U7/'Asset Prices'!U8-1</f>
        <v>-6.4062755352181644E-2</v>
      </c>
      <c r="V7" s="1">
        <f>'Asset Prices'!V7/'Asset Prices'!V8-1</f>
        <v>6.2833206397563401E-3</v>
      </c>
      <c r="W7" s="1">
        <f>'Asset Prices'!W7/'Asset Prices'!W8-1</f>
        <v>1.4794149970411619E-2</v>
      </c>
      <c r="X7" s="1">
        <f>'Asset Prices'!X7/'Asset Prices'!X8-1</f>
        <v>-2.5373374016380401E-2</v>
      </c>
      <c r="Y7" s="1">
        <f>'Asset Prices'!Y7/'Asset Prices'!Y8-1</f>
        <v>-4.2397013225336844E-2</v>
      </c>
      <c r="Z7" s="1">
        <f>'Asset Prices'!Z7/'Asset Prices'!Z8-1</f>
        <v>-6.5947177178805827E-2</v>
      </c>
      <c r="AA7" s="1">
        <f>'Asset Prices'!AA7/'Asset Prices'!AA8-1</f>
        <v>-6.7181223911160104E-2</v>
      </c>
      <c r="AB7" s="1">
        <f>'Asset Prices'!AB7/'Asset Prices'!AB8-1</f>
        <v>-3.6870503597122184E-2</v>
      </c>
      <c r="AC7" s="1">
        <f>'Asset Prices'!AC7/'Asset Prices'!AC8-1</f>
        <v>-7.5058275058275004E-2</v>
      </c>
      <c r="AD7" s="1">
        <f>'Asset Prices'!AD7/'Asset Prices'!AD8-1</f>
        <v>3.2177332856632157E-2</v>
      </c>
      <c r="AE7" s="1">
        <f>'Asset Prices'!AE7/'Asset Prices'!AE8-1</f>
        <v>-2.7630375114364059E-2</v>
      </c>
      <c r="AF7" s="1">
        <f>'Asset Prices'!AF7/'Asset Prices'!AF8-1</f>
        <v>-2.3140495867768451E-2</v>
      </c>
      <c r="AG7" s="1">
        <f>'Asset Prices'!AG7/'Asset Prices'!AG8-1</f>
        <v>-4.9962149886449758E-2</v>
      </c>
      <c r="AH7" s="1">
        <f>'Asset Prices'!AH7/'Asset Prices'!AH8-1</f>
        <v>5.5335017442559975E-2</v>
      </c>
      <c r="AI7" s="1">
        <f>'Asset Prices'!AI7/'Asset Prices'!AI8-1</f>
        <v>6.2434963579605096E-3</v>
      </c>
      <c r="AJ7" s="1">
        <f>'Asset Prices'!AJ7/'Asset Prices'!AJ8-1</f>
        <v>-4.7730307076101486E-2</v>
      </c>
      <c r="AK7" s="1">
        <f>'Asset Prices'!AK7/'Asset Prices'!AK8-1</f>
        <v>-2.9131089904570695E-2</v>
      </c>
      <c r="AL7" s="1">
        <f>'Asset Prices'!AL7/'Asset Prices'!AL8-1</f>
        <v>8.4947332653739771E-4</v>
      </c>
      <c r="AM7" s="1">
        <f>'Asset Prices'!AM7/'Asset Prices'!AM8-1</f>
        <v>2.8979478646699697E-2</v>
      </c>
      <c r="AN7" s="1">
        <f>'Asset Prices'!AN7/'Asset Prices'!AN8-1</f>
        <v>-3.5303496184944771E-2</v>
      </c>
      <c r="AO7" s="1">
        <f>'Asset Prices'!AO7/'Asset Prices'!AO8-1</f>
        <v>3.4368457780879158E-2</v>
      </c>
      <c r="AP7" s="1">
        <f>'Asset Prices'!AP7/'Asset Prices'!AP8-1</f>
        <v>4.7605712685523383E-3</v>
      </c>
      <c r="AQ7" s="1">
        <f>'Asset Prices'!AQ7/'Asset Prices'!AQ8-1</f>
        <v>-8.9150612276733487E-2</v>
      </c>
      <c r="AR7" s="1">
        <f>'Asset Prices'!AR7/'Asset Prices'!AR8-1</f>
        <v>7.3503450489488031E-2</v>
      </c>
      <c r="AS7" s="1">
        <f>'Asset Prices'!AS7/'Asset Prices'!AS8-1</f>
        <v>4.2664670658682624E-2</v>
      </c>
      <c r="AT7" s="1">
        <f>'Asset Prices'!AT7/'Asset Prices'!AT8-1</f>
        <v>1.4375668290364629E-2</v>
      </c>
      <c r="AU7" s="1">
        <f>'Asset Prices'!AU7/'Asset Prices'!AU8-1</f>
        <v>-4.2200302283032287E-2</v>
      </c>
      <c r="AV7" s="1">
        <f>'Asset Prices'!AV7/'Asset Prices'!AV8-1</f>
        <v>2.3390799618816516E-3</v>
      </c>
      <c r="AW7" s="1">
        <f>'Asset Prices'!AW7/'Asset Prices'!AW8-1</f>
        <v>-0.17017552759740262</v>
      </c>
      <c r="AX7" s="1">
        <f>'Asset Prices'!AX7/'Asset Prices'!AX8-1</f>
        <v>-5.4977711738484536E-2</v>
      </c>
      <c r="AY7" s="1">
        <f>'Asset Prices'!AY7/'Asset Prices'!AY8-1</f>
        <v>-3.5173208115531152E-2</v>
      </c>
      <c r="AZ7" s="1">
        <f>'Asset Prices'!AZ7/'Asset Prices'!AZ8-1</f>
        <v>5.799648506151156E-2</v>
      </c>
      <c r="BA7" s="1">
        <f>'Asset Prices'!BA7/'Asset Prices'!BA8-1</f>
        <v>-5.604055195719515E-2</v>
      </c>
      <c r="BB7" s="1">
        <f>'Asset Prices'!BB7/'Asset Prices'!BB8-1</f>
        <v>-2.4847047072044104E-2</v>
      </c>
      <c r="BC7" s="1">
        <f>'Asset Prices'!BC7/'Asset Prices'!BC8-1</f>
        <v>-6.1690655118244009E-2</v>
      </c>
      <c r="BD7" s="1">
        <f>'Asset Prices'!BD7/'Asset Prices'!BD8-1</f>
        <v>3.4443095405457091E-2</v>
      </c>
    </row>
    <row r="8" spans="1:56" x14ac:dyDescent="0.25">
      <c r="C8" s="38">
        <f>'Asset Prices'!C8</f>
        <v>44315</v>
      </c>
      <c r="D8" s="1">
        <f>'Asset Prices'!D8/'Asset Prices'!D9-1</f>
        <v>4.0822604033923682E-2</v>
      </c>
      <c r="E8" s="1">
        <f>'Asset Prices'!E8/'Asset Prices'!E9-1</f>
        <v>1.4062158021449056E-2</v>
      </c>
      <c r="F8" s="1">
        <f>'Asset Prices'!F8/'Asset Prices'!F9-1</f>
        <v>3.1583836507199203E-2</v>
      </c>
      <c r="G8" s="1">
        <f>'Asset Prices'!G8/'Asset Prices'!G9-1</f>
        <v>1.335648457326033E-2</v>
      </c>
      <c r="H8" s="1">
        <f>'Asset Prices'!H8/'Asset Prices'!H9-1</f>
        <v>-6.2038533793524753E-3</v>
      </c>
      <c r="I8" s="1">
        <f>'Asset Prices'!I8/'Asset Prices'!I9-1</f>
        <v>0.1112572507756644</v>
      </c>
      <c r="J8" s="1">
        <f>'Asset Prices'!J8/'Asset Prices'!J9-1</f>
        <v>1.1671972108534101E-2</v>
      </c>
      <c r="K8" s="1">
        <f>'Asset Prices'!K8/'Asset Prices'!K9-1</f>
        <v>4.9038391799434367E-2</v>
      </c>
      <c r="L8" s="1">
        <f>'Asset Prices'!L8/'Asset Prices'!L9-1</f>
        <v>4.3240693423496346E-4</v>
      </c>
      <c r="M8" s="1">
        <f>'Asset Prices'!M8/'Asset Prices'!M9-1</f>
        <v>-1.8120309522883793E-2</v>
      </c>
      <c r="N8" s="1">
        <f>'Asset Prices'!N8/'Asset Prices'!N9-1</f>
        <v>6.2259158631222E-2</v>
      </c>
      <c r="O8" s="1">
        <f>'Asset Prices'!O8/'Asset Prices'!O9-1</f>
        <v>1.2204142011834174E-2</v>
      </c>
      <c r="P8" s="1">
        <f>'Asset Prices'!P8/'Asset Prices'!P9-1</f>
        <v>1.3720471614987462E-2</v>
      </c>
      <c r="Q8" s="1">
        <f>'Asset Prices'!Q8/'Asset Prices'!Q9-1</f>
        <v>-1.7828411694917889E-2</v>
      </c>
      <c r="R8" s="1">
        <f>'Asset Prices'!R8/'Asset Prices'!R9-1</f>
        <v>-7.8740157480314821E-3</v>
      </c>
      <c r="S8" s="1">
        <f>'Asset Prices'!S8/'Asset Prices'!S9-1</f>
        <v>1.1053540587219413E-2</v>
      </c>
      <c r="T8" s="1">
        <f>'Asset Prices'!T8/'Asset Prices'!T9-1</f>
        <v>2.9937261320240216E-2</v>
      </c>
      <c r="U8" s="1">
        <f>'Asset Prices'!U8/'Asset Prices'!U9-1</f>
        <v>4.9031373221327001E-2</v>
      </c>
      <c r="V8" s="1">
        <f>'Asset Prices'!V8/'Asset Prices'!V9-1</f>
        <v>4.2580645161290454E-2</v>
      </c>
      <c r="W8" s="1">
        <f>'Asset Prices'!W8/'Asset Prices'!W9-1</f>
        <v>2.1179261267367799E-3</v>
      </c>
      <c r="X8" s="1">
        <f>'Asset Prices'!X8/'Asset Prices'!X9-1</f>
        <v>1.9649582446373159E-2</v>
      </c>
      <c r="Y8" s="1">
        <f>'Asset Prices'!Y8/'Asset Prices'!Y9-1</f>
        <v>0.11935118288709434</v>
      </c>
      <c r="Z8" s="1">
        <f>'Asset Prices'!Z8/'Asset Prices'!Z9-1</f>
        <v>7.3407847246477864E-2</v>
      </c>
      <c r="AA8" s="1">
        <f>'Asset Prices'!AA8/'Asset Prices'!AA9-1</f>
        <v>-1.8247892986932746E-2</v>
      </c>
      <c r="AB8" s="1">
        <f>'Asset Prices'!AB8/'Asset Prices'!AB9-1</f>
        <v>4.6095954844778797E-2</v>
      </c>
      <c r="AC8" s="1">
        <f>'Asset Prices'!AC8/'Asset Prices'!AC9-1</f>
        <v>7.6856373511021703E-2</v>
      </c>
      <c r="AD8" s="1">
        <f>'Asset Prices'!AD8/'Asset Prices'!AD9-1</f>
        <v>3.9313317479191312E-2</v>
      </c>
      <c r="AE8" s="1">
        <f>'Asset Prices'!AE8/'Asset Prices'!AE9-1</f>
        <v>5.6651198762567745E-2</v>
      </c>
      <c r="AF8" s="1">
        <f>'Asset Prices'!AF8/'Asset Prices'!AF9-1</f>
        <v>9.8003629764065181E-2</v>
      </c>
      <c r="AG8" s="1">
        <f>'Asset Prices'!AG8/'Asset Prices'!AG9-1</f>
        <v>-2.6119010005265952E-2</v>
      </c>
      <c r="AH8" s="1">
        <f>'Asset Prices'!AH8/'Asset Prices'!AH9-1</f>
        <v>-1.667849538679933E-2</v>
      </c>
      <c r="AI8" s="1">
        <f>'Asset Prices'!AI8/'Asset Prices'!AI9-1</f>
        <v>-1.3347022587269053E-2</v>
      </c>
      <c r="AJ8" s="1">
        <f>'Asset Prices'!AJ8/'Asset Prices'!AJ9-1</f>
        <v>-2.5691056910569054E-2</v>
      </c>
      <c r="AK8" s="1">
        <f>'Asset Prices'!AK8/'Asset Prices'!AK9-1</f>
        <v>3.0226700251887451E-3</v>
      </c>
      <c r="AL8" s="1">
        <f>'Asset Prices'!AL8/'Asset Prices'!AL9-1</f>
        <v>-1.0423671822461289E-2</v>
      </c>
      <c r="AM8" s="1">
        <f>'Asset Prices'!AM8/'Asset Prices'!AM9-1</f>
        <v>2.0951302378255932E-2</v>
      </c>
      <c r="AN8" s="1">
        <f>'Asset Prices'!AN8/'Asset Prices'!AN9-1</f>
        <v>-2.8012264829466726E-3</v>
      </c>
      <c r="AO8" s="1">
        <f>'Asset Prices'!AO8/'Asset Prices'!AO9-1</f>
        <v>6.9832402234637492E-4</v>
      </c>
      <c r="AP8" s="1">
        <f>'Asset Prices'!AP8/'Asset Prices'!AP9-1</f>
        <v>3.2528552840827007E-2</v>
      </c>
      <c r="AQ8" s="1">
        <f>'Asset Prices'!AQ8/'Asset Prices'!AQ9-1</f>
        <v>-5.0225942662419421E-2</v>
      </c>
      <c r="AR8" s="1">
        <f>'Asset Prices'!AR8/'Asset Prices'!AR9-1</f>
        <v>-5.1598173515981727E-2</v>
      </c>
      <c r="AS8" s="1">
        <f>'Asset Prices'!AS8/'Asset Prices'!AS9-1</f>
        <v>0</v>
      </c>
      <c r="AT8" s="1">
        <f>'Asset Prices'!AT8/'Asset Prices'!AT9-1</f>
        <v>2.1728574896819675E-2</v>
      </c>
      <c r="AU8" s="1">
        <f>'Asset Prices'!AU8/'Asset Prices'!AU9-1</f>
        <v>-2.2206665888850008E-2</v>
      </c>
      <c r="AV8" s="1">
        <f>'Asset Prices'!AV8/'Asset Prices'!AV9-1</f>
        <v>2.4316109422493071E-3</v>
      </c>
      <c r="AW8" s="1">
        <f>'Asset Prices'!AW8/'Asset Prices'!AW9-1</f>
        <v>1.0819957950874315E-2</v>
      </c>
      <c r="AX8" s="1">
        <f>'Asset Prices'!AX8/'Asset Prices'!AX9-1</f>
        <v>3.9781203381403785E-3</v>
      </c>
      <c r="AY8" s="1">
        <f>'Asset Prices'!AY8/'Asset Prices'!AY9-1</f>
        <v>-1.4838090250501756E-2</v>
      </c>
      <c r="AZ8" s="1">
        <f>'Asset Prices'!AZ8/'Asset Prices'!AZ9-1</f>
        <v>-8.779631255487752E-4</v>
      </c>
      <c r="BA8" s="1">
        <f>'Asset Prices'!BA8/'Asset Prices'!BA9-1</f>
        <v>1.0433462961206397E-2</v>
      </c>
      <c r="BB8" s="1">
        <f>'Asset Prices'!BB8/'Asset Prices'!BB9-1</f>
        <v>-1.3183834401182759E-2</v>
      </c>
      <c r="BC8" s="1">
        <f>'Asset Prices'!BC8/'Asset Prices'!BC9-1</f>
        <v>1.2031109010441243E-2</v>
      </c>
      <c r="BD8" s="1">
        <f>'Asset Prices'!BD8/'Asset Prices'!BD9-1</f>
        <v>1.715957101072485E-2</v>
      </c>
    </row>
    <row r="9" spans="1:56" x14ac:dyDescent="0.25">
      <c r="C9" s="38">
        <f>'Asset Prices'!C9</f>
        <v>44308</v>
      </c>
      <c r="D9" s="1">
        <f>'Asset Prices'!D9/'Asset Prices'!D10-1</f>
        <v>5.7009015379176908E-3</v>
      </c>
      <c r="E9" s="1">
        <f>'Asset Prices'!E9/'Asset Prices'!E10-1</f>
        <v>-1.7049427203786438E-2</v>
      </c>
      <c r="F9" s="1">
        <f>'Asset Prices'!F9/'Asset Prices'!F10-1</f>
        <v>-3.3590184783421684E-2</v>
      </c>
      <c r="G9" s="1">
        <f>'Asset Prices'!G9/'Asset Prices'!G10-1</f>
        <v>-4.3683739941244082E-2</v>
      </c>
      <c r="H9" s="1">
        <f>'Asset Prices'!H9/'Asset Prices'!H10-1</f>
        <v>-1.5611560295888616E-2</v>
      </c>
      <c r="I9" s="1">
        <f>'Asset Prices'!I9/'Asset Prices'!I10-1</f>
        <v>-3.6709765447339393E-2</v>
      </c>
      <c r="J9" s="1">
        <f>'Asset Prices'!J9/'Asset Prices'!J10-1</f>
        <v>-1.9033457249070684E-2</v>
      </c>
      <c r="K9" s="1">
        <f>'Asset Prices'!K9/'Asset Prices'!K10-1</f>
        <v>-2.0730433341521026E-2</v>
      </c>
      <c r="L9" s="1">
        <f>'Asset Prices'!L9/'Asset Prices'!L10-1</f>
        <v>-7.3631695859582735E-2</v>
      </c>
      <c r="M9" s="1">
        <f>'Asset Prices'!M9/'Asset Prices'!M10-1</f>
        <v>-8.9788053949902968E-3</v>
      </c>
      <c r="N9" s="1">
        <f>'Asset Prices'!N9/'Asset Prices'!N10-1</f>
        <v>-1.4322284213980963E-2</v>
      </c>
      <c r="O9" s="1">
        <f>'Asset Prices'!O9/'Asset Prices'!O10-1</f>
        <v>8.3281541330018083E-3</v>
      </c>
      <c r="P9" s="1">
        <f>'Asset Prices'!P9/'Asset Prices'!P10-1</f>
        <v>1.5899403239556742E-2</v>
      </c>
      <c r="Q9" s="1">
        <f>'Asset Prices'!Q9/'Asset Prices'!Q10-1</f>
        <v>1.4977813701070319E-2</v>
      </c>
      <c r="R9" s="1">
        <f>'Asset Prices'!R9/'Asset Prices'!R10-1</f>
        <v>1.6580903373356382E-2</v>
      </c>
      <c r="S9" s="1">
        <f>'Asset Prices'!S9/'Asset Prices'!S10-1</f>
        <v>-1.3797861331493744E-3</v>
      </c>
      <c r="T9" s="1">
        <f>'Asset Prices'!T9/'Asset Prices'!T10-1</f>
        <v>-1.7026411047057377E-2</v>
      </c>
      <c r="U9" s="1">
        <f>'Asset Prices'!U9/'Asset Prices'!U10-1</f>
        <v>-4.8294991026268552E-2</v>
      </c>
      <c r="V9" s="1">
        <f>'Asset Prices'!V9/'Asset Prices'!V10-1</f>
        <v>-2.108433734939763E-2</v>
      </c>
      <c r="W9" s="1">
        <f>'Asset Prices'!W9/'Asset Prices'!W10-1</f>
        <v>-1.0561609388097137E-2</v>
      </c>
      <c r="X9" s="1">
        <f>'Asset Prices'!X9/'Asset Prices'!X10-1</f>
        <v>-2.9710835716555417E-2</v>
      </c>
      <c r="Y9" s="1">
        <f>'Asset Prices'!Y9/'Asset Prices'!Y10-1</f>
        <v>2.0824295010845928E-2</v>
      </c>
      <c r="Z9" s="1">
        <f>'Asset Prices'!Z9/'Asset Prices'!Z10-1</f>
        <v>5.0315937280600576E-3</v>
      </c>
      <c r="AA9" s="1">
        <f>'Asset Prices'!AA9/'Asset Prices'!AA10-1</f>
        <v>-1.8070002277731367E-2</v>
      </c>
      <c r="AB9" s="1">
        <f>'Asset Prices'!AB9/'Asset Prices'!AB10-1</f>
        <v>-9.3196644920782168E-3</v>
      </c>
      <c r="AC9" s="1">
        <f>'Asset Prices'!AC9/'Asset Prices'!AC10-1</f>
        <v>-1.9861328561842972E-2</v>
      </c>
      <c r="AD9" s="1">
        <f>'Asset Prices'!AD9/'Asset Prices'!AD10-1</f>
        <v>-1.0588235294117676E-2</v>
      </c>
      <c r="AE9" s="1">
        <f>'Asset Prices'!AE9/'Asset Prices'!AE10-1</f>
        <v>9.6767950454812457E-4</v>
      </c>
      <c r="AF9" s="1">
        <f>'Asset Prices'!AF9/'Asset Prices'!AF10-1</f>
        <v>-2.1128886205855624E-3</v>
      </c>
      <c r="AG9" s="1">
        <f>'Asset Prices'!AG9/'Asset Prices'!AG10-1</f>
        <v>9.0329436769394089E-3</v>
      </c>
      <c r="AH9" s="1">
        <f>'Asset Prices'!AH9/'Asset Prices'!AH10-1</f>
        <v>3.3622692260667497E-2</v>
      </c>
      <c r="AI9" s="1">
        <f>'Asset Prices'!AI9/'Asset Prices'!AI10-1</f>
        <v>-2.8154594317890691E-3</v>
      </c>
      <c r="AJ9" s="1">
        <f>'Asset Prices'!AJ9/'Asset Prices'!AJ10-1</f>
        <v>-1.4107085604360359E-2</v>
      </c>
      <c r="AK9" s="1">
        <f>'Asset Prices'!AK9/'Asset Prices'!AK10-1</f>
        <v>-4.0599323344610916E-2</v>
      </c>
      <c r="AL9" s="1">
        <f>'Asset Prices'!AL9/'Asset Prices'!AL10-1</f>
        <v>-3.190104166666663E-2</v>
      </c>
      <c r="AM9" s="1">
        <f>'Asset Prices'!AM9/'Asset Prices'!AM10-1</f>
        <v>6.5620757278624042E-2</v>
      </c>
      <c r="AN9" s="1">
        <f>'Asset Prices'!AN9/'Asset Prices'!AN10-1</f>
        <v>2.8499124002336007E-2</v>
      </c>
      <c r="AO9" s="1">
        <f>'Asset Prices'!AO9/'Asset Prices'!AO10-1</f>
        <v>-7.2790294627382846E-3</v>
      </c>
      <c r="AP9" s="1">
        <f>'Asset Prices'!AP9/'Asset Prices'!AP10-1</f>
        <v>-1.010976314269163E-3</v>
      </c>
      <c r="AQ9" s="1">
        <f>'Asset Prices'!AQ9/'Asset Prices'!AQ10-1</f>
        <v>-9.0241272408680295E-2</v>
      </c>
      <c r="AR9" s="1">
        <f>'Asset Prices'!AR9/'Asset Prices'!AR10-1</f>
        <v>1.4201914171040553E-2</v>
      </c>
      <c r="AS9" s="1">
        <f>'Asset Prices'!AS9/'Asset Prices'!AS10-1</f>
        <v>6.0240963855422436E-3</v>
      </c>
      <c r="AT9" s="1">
        <f>'Asset Prices'!AT9/'Asset Prices'!AT10-1</f>
        <v>2.2338049143708183E-2</v>
      </c>
      <c r="AU9" s="1">
        <f>'Asset Prices'!AU9/'Asset Prices'!AU10-1</f>
        <v>-2.7923211169285089E-3</v>
      </c>
      <c r="AV9" s="1">
        <f>'Asset Prices'!AV9/'Asset Prices'!AV10-1</f>
        <v>-1.5980174329174424E-2</v>
      </c>
      <c r="AW9" s="1">
        <f>'Asset Prices'!AW9/'Asset Prices'!AW10-1</f>
        <v>-2.0493244261389432E-2</v>
      </c>
      <c r="AX9" s="1">
        <f>'Asset Prices'!AX9/'Asset Prices'!AX10-1</f>
        <v>-4.1468064823641626E-2</v>
      </c>
      <c r="AY9" s="1">
        <f>'Asset Prices'!AY9/'Asset Prices'!AY10-1</f>
        <v>1.1744966442952975E-2</v>
      </c>
      <c r="AZ9" s="1">
        <f>'Asset Prices'!AZ9/'Asset Prices'!AZ10-1</f>
        <v>-1.9468909343752117E-2</v>
      </c>
      <c r="BA9" s="1">
        <f>'Asset Prices'!BA9/'Asset Prices'!BA10-1</f>
        <v>-2.9993559665102532E-2</v>
      </c>
      <c r="BB9" s="1">
        <f>'Asset Prices'!BB9/'Asset Prices'!BB10-1</f>
        <v>1.6405760801502911E-2</v>
      </c>
      <c r="BC9" s="1">
        <f>'Asset Prices'!BC9/'Asset Prices'!BC10-1</f>
        <v>-6.6278836509528594E-2</v>
      </c>
      <c r="BD9" s="1">
        <f>'Asset Prices'!BD9/'Asset Prices'!BD10-1</f>
        <v>2.5188245485440186E-2</v>
      </c>
    </row>
    <row r="10" spans="1:56" x14ac:dyDescent="0.25">
      <c r="C10" s="38">
        <f>'Asset Prices'!C10</f>
        <v>44301</v>
      </c>
      <c r="D10" s="1">
        <f>'Asset Prices'!D10/'Asset Prices'!D11-1</f>
        <v>2.5283189850475729E-2</v>
      </c>
      <c r="E10" s="1">
        <f>'Asset Prices'!E10/'Asset Prices'!E11-1</f>
        <v>-7.4204569720264235E-3</v>
      </c>
      <c r="F10" s="1">
        <f>'Asset Prices'!F10/'Asset Prices'!F11-1</f>
        <v>-7.480550568539357E-5</v>
      </c>
      <c r="G10" s="1">
        <f>'Asset Prices'!G10/'Asset Prices'!G11-1</f>
        <v>3.9984059511158465E-2</v>
      </c>
      <c r="H10" s="1">
        <f>'Asset Prices'!H10/'Asset Prices'!H11-1</f>
        <v>8.85109337035761E-3</v>
      </c>
      <c r="I10" s="1">
        <f>'Asset Prices'!I10/'Asset Prices'!I11-1</f>
        <v>-1.6612357037888881E-2</v>
      </c>
      <c r="J10" s="1">
        <f>'Asset Prices'!J10/'Asset Prices'!J11-1</f>
        <v>3.1758208039275759E-2</v>
      </c>
      <c r="K10" s="1">
        <f>'Asset Prices'!K10/'Asset Prices'!K11-1</f>
        <v>2.4183917800745691E-2</v>
      </c>
      <c r="L10" s="1">
        <f>'Asset Prices'!L10/'Asset Prices'!L11-1</f>
        <v>-9.6649716902881266E-3</v>
      </c>
      <c r="M10" s="1">
        <f>'Asset Prices'!M10/'Asset Prices'!M11-1</f>
        <v>2.4679170779861703E-2</v>
      </c>
      <c r="N10" s="1">
        <f>'Asset Prices'!N10/'Asset Prices'!N11-1</f>
        <v>1.5472598570051233E-2</v>
      </c>
      <c r="O10" s="1">
        <f>'Asset Prices'!O10/'Asset Prices'!O11-1</f>
        <v>4.9341078008868777E-3</v>
      </c>
      <c r="P10" s="1">
        <f>'Asset Prices'!P10/'Asset Prices'!P11-1</f>
        <v>4.6340484367334067E-2</v>
      </c>
      <c r="Q10" s="1">
        <f>'Asset Prices'!Q10/'Asset Prices'!Q11-1</f>
        <v>5.2939643942683468E-2</v>
      </c>
      <c r="R10" s="1">
        <f>'Asset Prices'!R10/'Asset Prices'!R11-1</f>
        <v>3.3077377436503186E-2</v>
      </c>
      <c r="S10" s="1">
        <f>'Asset Prices'!S10/'Asset Prices'!S11-1</f>
        <v>9.4011142061281028E-3</v>
      </c>
      <c r="T10" s="1">
        <f>'Asset Prices'!T10/'Asset Prices'!T11-1</f>
        <v>-1.7398286937900798E-3</v>
      </c>
      <c r="U10" s="1">
        <f>'Asset Prices'!U10/'Asset Prices'!U11-1</f>
        <v>-2.0926517571885017E-2</v>
      </c>
      <c r="V10" s="1">
        <f>'Asset Prices'!V10/'Asset Prices'!V11-1</f>
        <v>6.2573328118888938E-3</v>
      </c>
      <c r="W10" s="1">
        <f>'Asset Prices'!W10/'Asset Prices'!W11-1</f>
        <v>-2.675137936799965E-3</v>
      </c>
      <c r="X10" s="1">
        <f>'Asset Prices'!X10/'Asset Prices'!X11-1</f>
        <v>-8.1941380397101415E-3</v>
      </c>
      <c r="Y10" s="1">
        <f>'Asset Prices'!Y10/'Asset Prices'!Y11-1</f>
        <v>1.9084813204627515E-2</v>
      </c>
      <c r="Z10" s="1">
        <f>'Asset Prices'!Z10/'Asset Prices'!Z11-1</f>
        <v>4.8846342660775477E-2</v>
      </c>
      <c r="AA10" s="1">
        <f>'Asset Prices'!AA10/'Asset Prices'!AA11-1</f>
        <v>9.1941634886420154E-2</v>
      </c>
      <c r="AB10" s="1">
        <f>'Asset Prices'!AB10/'Asset Prices'!AB11-1</f>
        <v>4.6816479400748623E-3</v>
      </c>
      <c r="AC10" s="1">
        <f>'Asset Prices'!AC10/'Asset Prices'!AC11-1</f>
        <v>-7.9548729773129656E-2</v>
      </c>
      <c r="AD10" s="1">
        <f>'Asset Prices'!AD10/'Asset Prices'!AD11-1</f>
        <v>5.9767786176264215E-2</v>
      </c>
      <c r="AE10" s="1">
        <f>'Asset Prices'!AE10/'Asset Prices'!AE11-1</f>
        <v>8.6417157275020973E-2</v>
      </c>
      <c r="AF10" s="1">
        <f>'Asset Prices'!AF10/'Asset Prices'!AF11-1</f>
        <v>6.7332474226804218E-2</v>
      </c>
      <c r="AG10" s="1">
        <f>'Asset Prices'!AG10/'Asset Prices'!AG11-1</f>
        <v>8.5852757904454124E-2</v>
      </c>
      <c r="AH10" s="1">
        <f>'Asset Prices'!AH10/'Asset Prices'!AH11-1</f>
        <v>-1.3431013431013383E-3</v>
      </c>
      <c r="AI10" s="1">
        <f>'Asset Prices'!AI10/'Asset Prices'!AI11-1</f>
        <v>4.2144571885836202E-2</v>
      </c>
      <c r="AJ10" s="1">
        <f>'Asset Prices'!AJ10/'Asset Prices'!AJ11-1</f>
        <v>3.5392535392535507E-3</v>
      </c>
      <c r="AK10" s="1">
        <f>'Asset Prices'!AK10/'Asset Prices'!AK11-1</f>
        <v>-1.8966334755808334E-2</v>
      </c>
      <c r="AL10" s="1">
        <f>'Asset Prices'!AL10/'Asset Prices'!AL11-1</f>
        <v>1.8398806563898473E-2</v>
      </c>
      <c r="AM10" s="1">
        <f>'Asset Prices'!AM10/'Asset Prices'!AM11-1</f>
        <v>-1.8798105387803354E-2</v>
      </c>
      <c r="AN10" s="1">
        <f>'Asset Prices'!AN10/'Asset Prices'!AN11-1</f>
        <v>2.7934525953495992E-2</v>
      </c>
      <c r="AO10" s="1">
        <f>'Asset Prices'!AO10/'Asset Prices'!AO11-1</f>
        <v>1.7361111111111605E-3</v>
      </c>
      <c r="AP10" s="1">
        <f>'Asset Prices'!AP10/'Asset Prices'!AP11-1</f>
        <v>3.042155584528361E-3</v>
      </c>
      <c r="AQ10" s="1">
        <f>'Asset Prices'!AQ10/'Asset Prices'!AQ11-1</f>
        <v>6.0008572653236225E-2</v>
      </c>
      <c r="AR10" s="1">
        <f>'Asset Prices'!AR10/'Asset Prices'!AR11-1</f>
        <v>4.8220064724919132E-2</v>
      </c>
      <c r="AS10" s="1">
        <f>'Asset Prices'!AS10/'Asset Prices'!AS11-1</f>
        <v>-7.5244544770503019E-4</v>
      </c>
      <c r="AT10" s="1">
        <f>'Asset Prices'!AT10/'Asset Prices'!AT11-1</f>
        <v>-3.7216226274661146E-4</v>
      </c>
      <c r="AU10" s="1">
        <f>'Asset Prices'!AU10/'Asset Prices'!AU11-1</f>
        <v>6.1679087577716452E-2</v>
      </c>
      <c r="AV10" s="1">
        <f>'Asset Prices'!AV10/'Asset Prices'!AV11-1</f>
        <v>1.1978097193703352E-3</v>
      </c>
      <c r="AW10" s="1">
        <f>'Asset Prices'!AW10/'Asset Prices'!AW11-1</f>
        <v>5.0495989869143054E-2</v>
      </c>
      <c r="AX10" s="1">
        <f>'Asset Prices'!AX10/'Asset Prices'!AX11-1</f>
        <v>4.742885671492747E-2</v>
      </c>
      <c r="AY10" s="1">
        <f>'Asset Prices'!AY10/'Asset Prices'!AY11-1</f>
        <v>2.1560667568786718E-2</v>
      </c>
      <c r="AZ10" s="1">
        <f>'Asset Prices'!AZ10/'Asset Prices'!AZ11-1</f>
        <v>3.8583218707015199E-2</v>
      </c>
      <c r="BA10" s="1">
        <f>'Asset Prices'!BA10/'Asset Prices'!BA11-1</f>
        <v>4.2689946277820523E-2</v>
      </c>
      <c r="BB10" s="1">
        <f>'Asset Prices'!BB10/'Asset Prices'!BB11-1</f>
        <v>2.5690430314707857E-2</v>
      </c>
      <c r="BC10" s="1">
        <f>'Asset Prices'!BC10/'Asset Prices'!BC11-1</f>
        <v>-7.0116728417194407E-3</v>
      </c>
      <c r="BD10" s="1">
        <f>'Asset Prices'!BD10/'Asset Prices'!BD11-1</f>
        <v>3.2686484998623699E-2</v>
      </c>
    </row>
    <row r="11" spans="1:56" x14ac:dyDescent="0.25">
      <c r="C11" s="38">
        <f>'Asset Prices'!C11</f>
        <v>44294</v>
      </c>
      <c r="D11" s="1">
        <f>'Asset Prices'!D11/'Asset Prices'!D12-1</f>
        <v>1.7707276583971199E-2</v>
      </c>
      <c r="E11" s="1">
        <f>'Asset Prices'!E11/'Asset Prices'!E12-1</f>
        <v>-8.7315446896333304E-3</v>
      </c>
      <c r="F11" s="1">
        <f>'Asset Prices'!F11/'Asset Prices'!F12-1</f>
        <v>8.6772806157096039E-3</v>
      </c>
      <c r="G11" s="1">
        <f>'Asset Prices'!G11/'Asset Prices'!G12-1</f>
        <v>4.8321960729703406E-2</v>
      </c>
      <c r="H11" s="1">
        <f>'Asset Prices'!H11/'Asset Prices'!H12-1</f>
        <v>-9.7104064621467145E-3</v>
      </c>
      <c r="I11" s="1">
        <f>'Asset Prices'!I11/'Asset Prices'!I12-1</f>
        <v>4.8081430389071089E-2</v>
      </c>
      <c r="J11" s="1">
        <f>'Asset Prices'!J11/'Asset Prices'!J12-1</f>
        <v>5.9837398373983941E-2</v>
      </c>
      <c r="K11" s="1">
        <f>'Asset Prices'!K11/'Asset Prices'!K12-1</f>
        <v>4.3751977222397986E-2</v>
      </c>
      <c r="L11" s="1">
        <f>'Asset Prices'!L11/'Asset Prices'!L12-1</f>
        <v>2.8104260131252223E-2</v>
      </c>
      <c r="M11" s="1">
        <f>'Asset Prices'!M11/'Asset Prices'!M12-1</f>
        <v>4.4976273983907689E-2</v>
      </c>
      <c r="N11" s="1">
        <f>'Asset Prices'!N11/'Asset Prices'!N12-1</f>
        <v>5.6649043563184787E-2</v>
      </c>
      <c r="O11" s="1">
        <f>'Asset Prices'!O11/'Asset Prices'!O12-1</f>
        <v>8.5034013605442826E-3</v>
      </c>
      <c r="P11" s="1">
        <f>'Asset Prices'!P11/'Asset Prices'!P12-1</f>
        <v>-2.3560665447260654E-2</v>
      </c>
      <c r="Q11" s="1">
        <f>'Asset Prices'!Q11/'Asset Prices'!Q12-1</f>
        <v>5.6325107788276485E-2</v>
      </c>
      <c r="R11" s="1">
        <f>'Asset Prices'!R11/'Asset Prices'!R12-1</f>
        <v>1.3924240155711809E-2</v>
      </c>
      <c r="S11" s="1">
        <f>'Asset Prices'!S11/'Asset Prices'!S12-1</f>
        <v>-1.7379214459506409E-3</v>
      </c>
      <c r="T11" s="1">
        <f>'Asset Prices'!T11/'Asset Prices'!T12-1</f>
        <v>7.8910096445672373E-3</v>
      </c>
      <c r="U11" s="1">
        <f>'Asset Prices'!U11/'Asset Prices'!U12-1</f>
        <v>1.2126111560226249E-2</v>
      </c>
      <c r="V11" s="1">
        <f>'Asset Prices'!V11/'Asset Prices'!V12-1</f>
        <v>-1.1118630958136033E-2</v>
      </c>
      <c r="W11" s="1">
        <f>'Asset Prices'!W11/'Asset Prices'!W12-1</f>
        <v>3.3344851416724275E-2</v>
      </c>
      <c r="X11" s="1">
        <f>'Asset Prices'!X11/'Asset Prices'!X12-1</f>
        <v>3.5236541598695048E-2</v>
      </c>
      <c r="Y11" s="1">
        <f>'Asset Prices'!Y11/'Asset Prices'!Y12-1</f>
        <v>-8.8345726275496084E-4</v>
      </c>
      <c r="Z11" s="1">
        <f>'Asset Prices'!Z11/'Asset Prices'!Z12-1</f>
        <v>2.2397891963109595E-2</v>
      </c>
      <c r="AA11" s="1">
        <f>'Asset Prices'!AA11/'Asset Prices'!AA12-1</f>
        <v>2.2290024578354162E-2</v>
      </c>
      <c r="AB11" s="1">
        <f>'Asset Prices'!AB11/'Asset Prices'!AB12-1</f>
        <v>1.9083969465648831E-2</v>
      </c>
      <c r="AC11" s="1">
        <f>'Asset Prices'!AC11/'Asset Prices'!AC12-1</f>
        <v>1.9862265894011966E-2</v>
      </c>
      <c r="AD11" s="1">
        <f>'Asset Prices'!AD11/'Asset Prices'!AD12-1</f>
        <v>6.6677125823659811E-3</v>
      </c>
      <c r="AE11" s="1">
        <f>'Asset Prices'!AE11/'Asset Prices'!AE12-1</f>
        <v>3.4813798923936101E-3</v>
      </c>
      <c r="AF11" s="1">
        <f>'Asset Prices'!AF11/'Asset Prices'!AF12-1</f>
        <v>-7.0377479206654714E-3</v>
      </c>
      <c r="AG11" s="1">
        <f>'Asset Prices'!AG11/'Asset Prices'!AG12-1</f>
        <v>-1.7460317460317509E-2</v>
      </c>
      <c r="AH11" s="1">
        <f>'Asset Prices'!AH11/'Asset Prices'!AH12-1</f>
        <v>3.3177746940835195E-2</v>
      </c>
      <c r="AI11" s="1">
        <f>'Asset Prices'!AI11/'Asset Prices'!AI12-1</f>
        <v>1.8706574024585088E-3</v>
      </c>
      <c r="AJ11" s="1">
        <f>'Asset Prices'!AJ11/'Asset Prices'!AJ12-1</f>
        <v>-1.3333333333333419E-2</v>
      </c>
      <c r="AK11" s="1">
        <f>'Asset Prices'!AK11/'Asset Prices'!AK12-1</f>
        <v>3.5346097201767179E-2</v>
      </c>
      <c r="AL11" s="1">
        <f>'Asset Prices'!AL11/'Asset Prices'!AL12-1</f>
        <v>3.499742665980432E-2</v>
      </c>
      <c r="AM11" s="1">
        <f>'Asset Prices'!AM11/'Asset Prices'!AM12-1</f>
        <v>1.4185994145462955E-2</v>
      </c>
      <c r="AN11" s="1">
        <f>'Asset Prices'!AN11/'Asset Prices'!AN12-1</f>
        <v>2.8483227001440792E-2</v>
      </c>
      <c r="AO11" s="1">
        <f>'Asset Prices'!AO11/'Asset Prices'!AO12-1</f>
        <v>-1.2006861063464713E-2</v>
      </c>
      <c r="AP11" s="1">
        <f>'Asset Prices'!AP11/'Asset Prices'!AP12-1</f>
        <v>4.6226129130039428E-2</v>
      </c>
      <c r="AQ11" s="1">
        <f>'Asset Prices'!AQ11/'Asset Prices'!AQ12-1</f>
        <v>1.2367107832501389E-2</v>
      </c>
      <c r="AR11" s="1">
        <f>'Asset Prices'!AR11/'Asset Prices'!AR12-1</f>
        <v>-1.6178611875106164E-4</v>
      </c>
      <c r="AS11" s="1">
        <f>'Asset Prices'!AS11/'Asset Prices'!AS12-1</f>
        <v>-4.3884892086331062E-2</v>
      </c>
      <c r="AT11" s="1">
        <f>'Asset Prices'!AT11/'Asset Prices'!AT12-1</f>
        <v>3.3594050519297314E-2</v>
      </c>
      <c r="AU11" s="1">
        <f>'Asset Prices'!AU11/'Asset Prices'!AU12-1</f>
        <v>5.3398460137428216E-3</v>
      </c>
      <c r="AV11" s="1">
        <f>'Asset Prices'!AV11/'Asset Prices'!AV12-1</f>
        <v>8.1946001897696963E-3</v>
      </c>
      <c r="AW11" s="1">
        <f>'Asset Prices'!AW11/'Asset Prices'!AW12-1</f>
        <v>6.0783012607830145E-3</v>
      </c>
      <c r="AX11" s="1">
        <f>'Asset Prices'!AX11/'Asset Prices'!AX12-1</f>
        <v>4.5135406218654861E-3</v>
      </c>
      <c r="AY11" s="1">
        <f>'Asset Prices'!AY11/'Asset Prices'!AY12-1</f>
        <v>2.6959421901056047E-2</v>
      </c>
      <c r="AZ11" s="1">
        <f>'Asset Prices'!AZ11/'Asset Prices'!AZ12-1</f>
        <v>6.7857637446335772E-3</v>
      </c>
      <c r="BA11" s="1">
        <f>'Asset Prices'!BA11/'Asset Prices'!BA12-1</f>
        <v>4.6376229672756342E-2</v>
      </c>
      <c r="BB11" s="1">
        <f>'Asset Prices'!BB11/'Asset Prices'!BB12-1</f>
        <v>1.353990365837765E-2</v>
      </c>
      <c r="BC11" s="1">
        <f>'Asset Prices'!BC11/'Asset Prices'!BC12-1</f>
        <v>2.557711950970365E-2</v>
      </c>
      <c r="BD11" s="1">
        <f>'Asset Prices'!BD11/'Asset Prices'!BD12-1</f>
        <v>2.1222768798313307E-2</v>
      </c>
    </row>
    <row r="12" spans="1:56" x14ac:dyDescent="0.25">
      <c r="C12" s="38">
        <f>'Asset Prices'!C12</f>
        <v>44287</v>
      </c>
      <c r="D12" s="1">
        <f>'Asset Prices'!D12/'Asset Prices'!D13-1</f>
        <v>4.2746549983170734E-2</v>
      </c>
      <c r="E12" s="1">
        <f>'Asset Prices'!E12/'Asset Prices'!E13-1</f>
        <v>1.1021347172435858E-2</v>
      </c>
      <c r="F12" s="1">
        <f>'Asset Prices'!F12/'Asset Prices'!F13-1</f>
        <v>3.0239427860696555E-2</v>
      </c>
      <c r="G12" s="1">
        <f>'Asset Prices'!G12/'Asset Prices'!G13-1</f>
        <v>4.6335421827189416E-2</v>
      </c>
      <c r="H12" s="1">
        <f>'Asset Prices'!H12/'Asset Prices'!H13-1</f>
        <v>3.7859531772575394E-2</v>
      </c>
      <c r="I12" s="1">
        <f>'Asset Prices'!I12/'Asset Prices'!I13-1</f>
        <v>7.1464447155054955E-2</v>
      </c>
      <c r="J12" s="1">
        <f>'Asset Prices'!J12/'Asset Prices'!J13-1</f>
        <v>1.9985073389169994E-2</v>
      </c>
      <c r="K12" s="1">
        <f>'Asset Prices'!K12/'Asset Prices'!K13-1</f>
        <v>3.7665859119050848E-2</v>
      </c>
      <c r="L12" s="1">
        <f>'Asset Prices'!L12/'Asset Prices'!L13-1</f>
        <v>7.2704132362884089E-2</v>
      </c>
      <c r="M12" s="1">
        <f>'Asset Prices'!M12/'Asset Prices'!M13-1</f>
        <v>4.3083412240681795E-2</v>
      </c>
      <c r="N12" s="1">
        <f>'Asset Prices'!N12/'Asset Prices'!N13-1</f>
        <v>4.7882861163319301E-2</v>
      </c>
      <c r="O12" s="1">
        <f>'Asset Prices'!O12/'Asset Prices'!O13-1</f>
        <v>1.0952623535404937E-2</v>
      </c>
      <c r="P12" s="1">
        <f>'Asset Prices'!P12/'Asset Prices'!P13-1</f>
        <v>-6.6620522581760655E-3</v>
      </c>
      <c r="Q12" s="1">
        <f>'Asset Prices'!Q12/'Asset Prices'!Q13-1</f>
        <v>5.2484214185027023E-2</v>
      </c>
      <c r="R12" s="1">
        <f>'Asset Prices'!R12/'Asset Prices'!R13-1</f>
        <v>1.1969696969696964E-2</v>
      </c>
      <c r="S12" s="1">
        <f>'Asset Prices'!S12/'Asset Prices'!S13-1</f>
        <v>1.3922728854856015E-3</v>
      </c>
      <c r="T12" s="1">
        <f>'Asset Prices'!T12/'Asset Prices'!T13-1</f>
        <v>1.1598553592140348E-2</v>
      </c>
      <c r="U12" s="1">
        <f>'Asset Prices'!U12/'Asset Prices'!U13-1</f>
        <v>1.86100131752307E-2</v>
      </c>
      <c r="V12" s="1">
        <f>'Asset Prices'!V12/'Asset Prices'!V13-1</f>
        <v>4.3272140407504711E-2</v>
      </c>
      <c r="W12" s="1">
        <f>'Asset Prices'!W12/'Asset Prices'!W13-1</f>
        <v>-3.6150800482011025E-3</v>
      </c>
      <c r="X12" s="1">
        <f>'Asset Prices'!X12/'Asset Prices'!X13-1</f>
        <v>2.3201468869971542E-2</v>
      </c>
      <c r="Y12" s="1">
        <f>'Asset Prices'!Y12/'Asset Prices'!Y13-1</f>
        <v>0.10233728290861888</v>
      </c>
      <c r="Z12" s="1">
        <f>'Asset Prices'!Z12/'Asset Prices'!Z13-1</f>
        <v>8.8209189595138904E-2</v>
      </c>
      <c r="AA12" s="1">
        <f>'Asset Prices'!AA12/'Asset Prices'!AA13-1</f>
        <v>4.406689673480213E-2</v>
      </c>
      <c r="AB12" s="1">
        <f>'Asset Prices'!AB12/'Asset Prices'!AB13-1</f>
        <v>6.720977596741351E-2</v>
      </c>
      <c r="AC12" s="1">
        <f>'Asset Prices'!AC12/'Asset Prices'!AC13-1</f>
        <v>5.190158575908832E-2</v>
      </c>
      <c r="AD12" s="1">
        <f>'Asset Prices'!AD12/'Asset Prices'!AD13-1</f>
        <v>6.829799715075846E-2</v>
      </c>
      <c r="AE12" s="1">
        <f>'Asset Prices'!AE12/'Asset Prices'!AE13-1</f>
        <v>5.8514796203238628E-2</v>
      </c>
      <c r="AF12" s="1">
        <f>'Asset Prices'!AF12/'Asset Prices'!AF13-1</f>
        <v>1.5924601884953038E-2</v>
      </c>
      <c r="AG12" s="1">
        <f>'Asset Prices'!AG12/'Asset Prices'!AG13-1</f>
        <v>3.7647058823529367E-2</v>
      </c>
      <c r="AH12" s="1">
        <f>'Asset Prices'!AH12/'Asset Prices'!AH13-1</f>
        <v>3.5397074190177458E-2</v>
      </c>
      <c r="AI12" s="1">
        <f>'Asset Prices'!AI12/'Asset Prices'!AI13-1</f>
        <v>4.2941492216854726E-3</v>
      </c>
      <c r="AJ12" s="1">
        <f>'Asset Prices'!AJ12/'Asset Prices'!AJ13-1</f>
        <v>5.6338028169014009E-2</v>
      </c>
      <c r="AK12" s="1">
        <f>'Asset Prices'!AK12/'Asset Prices'!AK13-1</f>
        <v>3.7169042769857441E-2</v>
      </c>
      <c r="AL12" s="1">
        <f>'Asset Prices'!AL12/'Asset Prices'!AL13-1</f>
        <v>-3.3653846153846145E-2</v>
      </c>
      <c r="AM12" s="1">
        <f>'Asset Prices'!AM12/'Asset Prices'!AM13-1</f>
        <v>1.2023746900127197E-3</v>
      </c>
      <c r="AN12" s="1">
        <f>'Asset Prices'!AN12/'Asset Prices'!AN13-1</f>
        <v>3.2336194442083688E-2</v>
      </c>
      <c r="AO12" s="1">
        <f>'Asset Prices'!AO12/'Asset Prices'!AO13-1</f>
        <v>1.6033461136284233E-2</v>
      </c>
      <c r="AP12" s="1">
        <f>'Asset Prices'!AP12/'Asset Prices'!AP13-1</f>
        <v>1.3829133374308578E-2</v>
      </c>
      <c r="AQ12" s="1">
        <f>'Asset Prices'!AQ12/'Asset Prices'!AQ13-1</f>
        <v>4.017151884450465E-2</v>
      </c>
      <c r="AR12" s="1">
        <f>'Asset Prices'!AR12/'Asset Prices'!AR13-1</f>
        <v>3.2231128924515628E-2</v>
      </c>
      <c r="AS12" s="1">
        <f>'Asset Prices'!AS12/'Asset Prices'!AS13-1</f>
        <v>-8.5592011412267688E-3</v>
      </c>
      <c r="AT12" s="1">
        <f>'Asset Prices'!AT12/'Asset Prices'!AT13-1</f>
        <v>-2.0103028018595426E-2</v>
      </c>
      <c r="AU12" s="1">
        <f>'Asset Prices'!AU12/'Asset Prices'!AU13-1</f>
        <v>-6.205270342943825E-4</v>
      </c>
      <c r="AV12" s="1">
        <f>'Asset Prices'!AV12/'Asset Prices'!AV13-1</f>
        <v>4.3662225423118484E-2</v>
      </c>
      <c r="AW12" s="1">
        <f>'Asset Prices'!AW12/'Asset Prices'!AW13-1</f>
        <v>3.7735849056603765E-2</v>
      </c>
      <c r="AX12" s="1">
        <f>'Asset Prices'!AX12/'Asset Prices'!AX13-1</f>
        <v>9.109311740890691E-3</v>
      </c>
      <c r="AY12" s="1">
        <f>'Asset Prices'!AY12/'Asset Prices'!AY13-1</f>
        <v>0.10176584668776156</v>
      </c>
      <c r="AZ12" s="1">
        <f>'Asset Prices'!AZ12/'Asset Prices'!AZ13-1</f>
        <v>2.5273321027970974E-2</v>
      </c>
      <c r="BA12" s="1">
        <f>'Asset Prices'!BA12/'Asset Prices'!BA13-1</f>
        <v>3.4368186065829143E-2</v>
      </c>
      <c r="BB12" s="1">
        <f>'Asset Prices'!BB12/'Asset Prices'!BB13-1</f>
        <v>2.1137995214038918E-2</v>
      </c>
      <c r="BC12" s="1">
        <f>'Asset Prices'!BC12/'Asset Prices'!BC13-1</f>
        <v>-9.1494271486983747E-3</v>
      </c>
      <c r="BD12" s="1">
        <f>'Asset Prices'!BD12/'Asset Prices'!BD13-1</f>
        <v>-8.6387069806324046E-3</v>
      </c>
    </row>
    <row r="13" spans="1:56" x14ac:dyDescent="0.25">
      <c r="C13" s="38">
        <f>'Asset Prices'!C13</f>
        <v>44280</v>
      </c>
      <c r="D13" s="1">
        <f>'Asset Prices'!D13/'Asset Prices'!D14-1</f>
        <v>-5.7509290310885475E-2</v>
      </c>
      <c r="E13" s="1">
        <f>'Asset Prices'!E13/'Asset Prices'!E14-1</f>
        <v>-2.792802163511543E-2</v>
      </c>
      <c r="F13" s="1">
        <f>'Asset Prices'!F13/'Asset Prices'!F14-1</f>
        <v>-0.10148774184535869</v>
      </c>
      <c r="G13" s="1">
        <f>'Asset Prices'!G13/'Asset Prices'!G14-1</f>
        <v>2.8318849265807522E-2</v>
      </c>
      <c r="H13" s="1">
        <f>'Asset Prices'!H13/'Asset Prices'!H14-1</f>
        <v>-2.7874111323044959E-2</v>
      </c>
      <c r="I13" s="1">
        <f>'Asset Prices'!I13/'Asset Prices'!I14-1</f>
        <v>4.3069413538154855E-4</v>
      </c>
      <c r="J13" s="1">
        <f>'Asset Prices'!J13/'Asset Prices'!J14-1</f>
        <v>4.9780137725052853E-4</v>
      </c>
      <c r="K13" s="1">
        <f>'Asset Prices'!K13/'Asset Prices'!K14-1</f>
        <v>6.0337055274293228E-3</v>
      </c>
      <c r="L13" s="1">
        <f>'Asset Prices'!L13/'Asset Prices'!L14-1</f>
        <v>-3.8233720953267936E-3</v>
      </c>
      <c r="M13" s="1">
        <f>'Asset Prices'!M13/'Asset Prices'!M14-1</f>
        <v>7.0214979195561966E-3</v>
      </c>
      <c r="N13" s="1">
        <f>'Asset Prices'!N13/'Asset Prices'!N14-1</f>
        <v>5.5013011170808035E-3</v>
      </c>
      <c r="O13" s="1">
        <f>'Asset Prices'!O13/'Asset Prices'!O14-1</f>
        <v>6.2151598641635442E-3</v>
      </c>
      <c r="P13" s="1">
        <f>'Asset Prices'!P13/'Asset Prices'!P14-1</f>
        <v>3.8949236162211243E-4</v>
      </c>
      <c r="Q13" s="1">
        <f>'Asset Prices'!Q13/'Asset Prices'!Q14-1</f>
        <v>6.824014309044335E-3</v>
      </c>
      <c r="R13" s="1">
        <f>'Asset Prices'!R13/'Asset Prices'!R14-1</f>
        <v>5.7692307692307709E-2</v>
      </c>
      <c r="S13" s="1">
        <f>'Asset Prices'!S13/'Asset Prices'!S14-1</f>
        <v>-3.2334119232064751E-2</v>
      </c>
      <c r="T13" s="1">
        <f>'Asset Prices'!T13/'Asset Prices'!T14-1</f>
        <v>-5.0035647157949281E-2</v>
      </c>
      <c r="U13" s="1">
        <f>'Asset Prices'!U13/'Asset Prices'!U14-1</f>
        <v>-6.2528948587308952E-2</v>
      </c>
      <c r="V13" s="1">
        <f>'Asset Prices'!V13/'Asset Prices'!V14-1</f>
        <v>4.7548605240912867E-2</v>
      </c>
      <c r="W13" s="1">
        <f>'Asset Prices'!W13/'Asset Prices'!W14-1</f>
        <v>2.4695713529723218E-2</v>
      </c>
      <c r="X13" s="1">
        <f>'Asset Prices'!X13/'Asset Prices'!X14-1</f>
        <v>-1.6901870692484389E-2</v>
      </c>
      <c r="Y13" s="1">
        <f>'Asset Prices'!Y13/'Asset Prices'!Y14-1</f>
        <v>-3.2734123557579098E-2</v>
      </c>
      <c r="Z13" s="1">
        <f>'Asset Prices'!Z13/'Asset Prices'!Z14-1</f>
        <v>9.0245246624414133E-3</v>
      </c>
      <c r="AA13" s="1">
        <f>'Asset Prices'!AA13/'Asset Prices'!AA14-1</f>
        <v>5.6059797116925214E-3</v>
      </c>
      <c r="AB13" s="1">
        <f>'Asset Prices'!AB13/'Asset Prices'!AB14-1</f>
        <v>-7.0778564206269712E-3</v>
      </c>
      <c r="AC13" s="1">
        <f>'Asset Prices'!AC13/'Asset Prices'!AC14-1</f>
        <v>-2.6432882505837973E-3</v>
      </c>
      <c r="AD13" s="1">
        <f>'Asset Prices'!AD13/'Asset Prices'!AD14-1</f>
        <v>-5.5186064924782285E-2</v>
      </c>
      <c r="AE13" s="1">
        <f>'Asset Prices'!AE13/'Asset Prices'!AE14-1</f>
        <v>-1.2896825396825462E-2</v>
      </c>
      <c r="AF13" s="1">
        <f>'Asset Prices'!AF13/'Asset Prices'!AF14-1</f>
        <v>-8.0943847072879271E-2</v>
      </c>
      <c r="AG13" s="1">
        <f>'Asset Prices'!AG13/'Asset Prices'!AG14-1</f>
        <v>-1.1742820602255621E-2</v>
      </c>
      <c r="AH13" s="1">
        <f>'Asset Prices'!AH13/'Asset Prices'!AH14-1</f>
        <v>-1.3656274156145343E-2</v>
      </c>
      <c r="AI13" s="1">
        <f>'Asset Prices'!AI13/'Asset Prices'!AI14-1</f>
        <v>-2.5627615062761566E-2</v>
      </c>
      <c r="AJ13" s="1">
        <f>'Asset Prices'!AJ13/'Asset Prices'!AJ14-1</f>
        <v>1.6706443914081159E-2</v>
      </c>
      <c r="AK13" s="1">
        <f>'Asset Prices'!AK13/'Asset Prices'!AK14-1</f>
        <v>-5.1207729468598973E-2</v>
      </c>
      <c r="AL13" s="1">
        <f>'Asset Prices'!AL13/'Asset Prices'!AL14-1</f>
        <v>3.0054644808743092E-2</v>
      </c>
      <c r="AM13" s="1">
        <f>'Asset Prices'!AM13/'Asset Prices'!AM14-1</f>
        <v>2.3143164693218532E-2</v>
      </c>
      <c r="AN13" s="1">
        <f>'Asset Prices'!AN13/'Asset Prices'!AN14-1</f>
        <v>1.9405700424499628E-2</v>
      </c>
      <c r="AO13" s="1">
        <f>'Asset Prices'!AO13/'Asset Prices'!AO14-1</f>
        <v>1.9001953471852184E-2</v>
      </c>
      <c r="AP13" s="1">
        <f>'Asset Prices'!AP13/'Asset Prices'!AP14-1</f>
        <v>-2.1647624774503882E-2</v>
      </c>
      <c r="AQ13" s="1">
        <f>'Asset Prices'!AQ13/'Asset Prices'!AQ14-1</f>
        <v>-6.7991631799162455E-3</v>
      </c>
      <c r="AR13" s="1">
        <f>'Asset Prices'!AR13/'Asset Prices'!AR14-1</f>
        <v>-3.8226790876967454E-2</v>
      </c>
      <c r="AS13" s="1">
        <f>'Asset Prices'!AS13/'Asset Prices'!AS14-1</f>
        <v>-3.9067854694996629E-2</v>
      </c>
      <c r="AT13" s="1">
        <f>'Asset Prices'!AT13/'Asset Prices'!AT14-1</f>
        <v>9.7690941385435437E-3</v>
      </c>
      <c r="AU13" s="1">
        <f>'Asset Prices'!AU13/'Asset Prices'!AU14-1</f>
        <v>1.0576923076923039E-2</v>
      </c>
      <c r="AV13" s="1">
        <f>'Asset Prices'!AV13/'Asset Prices'!AV14-1</f>
        <v>5.5391923990498748E-2</v>
      </c>
      <c r="AW13" s="1">
        <f>'Asset Prices'!AW13/'Asset Prices'!AW14-1</f>
        <v>-6.3225312021020219E-3</v>
      </c>
      <c r="AX13" s="1">
        <f>'Asset Prices'!AX13/'Asset Prices'!AX14-1</f>
        <v>1.4634146341463428E-2</v>
      </c>
      <c r="AY13" s="1">
        <f>'Asset Prices'!AY13/'Asset Prices'!AY14-1</f>
        <v>-5.580185042405561E-2</v>
      </c>
      <c r="AZ13" s="1">
        <f>'Asset Prices'!AZ13/'Asset Prices'!AZ14-1</f>
        <v>-4.456352167130162E-2</v>
      </c>
      <c r="BA13" s="1">
        <f>'Asset Prices'!BA13/'Asset Prices'!BA14-1</f>
        <v>4.8215063125816249E-2</v>
      </c>
      <c r="BB13" s="1">
        <f>'Asset Prices'!BB13/'Asset Prices'!BB14-1</f>
        <v>6.8263953955294276E-3</v>
      </c>
      <c r="BC13" s="1">
        <f>'Asset Prices'!BC13/'Asset Prices'!BC14-1</f>
        <v>-3.3928466667970447E-2</v>
      </c>
      <c r="BD13" s="1">
        <f>'Asset Prices'!BD13/'Asset Prices'!BD14-1</f>
        <v>6.5212818175441889E-3</v>
      </c>
    </row>
    <row r="14" spans="1:56" x14ac:dyDescent="0.25">
      <c r="C14" s="38">
        <f>'Asset Prices'!C14</f>
        <v>44273</v>
      </c>
      <c r="D14" s="1">
        <f>'Asset Prices'!D14/'Asset Prices'!D15-1</f>
        <v>-2.4275923059915994E-2</v>
      </c>
      <c r="E14" s="1">
        <f>'Asset Prices'!E14/'Asset Prices'!E15-1</f>
        <v>-2.2719186785260526E-2</v>
      </c>
      <c r="F14" s="1">
        <f>'Asset Prices'!F14/'Asset Prices'!F15-1</f>
        <v>1.4023656066293633E-2</v>
      </c>
      <c r="G14" s="1">
        <f>'Asset Prices'!G14/'Asset Prices'!G15-1</f>
        <v>-9.9391781634772247E-3</v>
      </c>
      <c r="H14" s="1">
        <f>'Asset Prices'!H14/'Asset Prices'!H15-1</f>
        <v>4.9690571532581052E-2</v>
      </c>
      <c r="I14" s="1">
        <f>'Asset Prices'!I14/'Asset Prices'!I15-1</f>
        <v>1.7306849715203798E-2</v>
      </c>
      <c r="J14" s="1">
        <f>'Asset Prices'!J14/'Asset Prices'!J15-1</f>
        <v>-1.1725155788783193E-2</v>
      </c>
      <c r="K14" s="1">
        <f>'Asset Prices'!K14/'Asset Prices'!K15-1</f>
        <v>-2.7492380178507858E-2</v>
      </c>
      <c r="L14" s="1">
        <f>'Asset Prices'!L14/'Asset Prices'!L15-1</f>
        <v>-3.4929071234657494E-2</v>
      </c>
      <c r="M14" s="1">
        <f>'Asset Prices'!M14/'Asset Prices'!M15-1</f>
        <v>-2.7031586049846013E-2</v>
      </c>
      <c r="N14" s="1">
        <f>'Asset Prices'!N14/'Asset Prices'!N15-1</f>
        <v>-3.7704590248221925E-2</v>
      </c>
      <c r="O14" s="1">
        <f>'Asset Prices'!O14/'Asset Prices'!O15-1</f>
        <v>2.7452271231072967E-2</v>
      </c>
      <c r="P14" s="1">
        <f>'Asset Prices'!P14/'Asset Prices'!P15-1</f>
        <v>1.0760684134552223E-2</v>
      </c>
      <c r="Q14" s="1">
        <f>'Asset Prices'!Q14/'Asset Prices'!Q15-1</f>
        <v>-5.4485294117647021E-2</v>
      </c>
      <c r="R14" s="1">
        <f>'Asset Prices'!R14/'Asset Prices'!R15-1</f>
        <v>8.7293889427739746E-3</v>
      </c>
      <c r="S14" s="1">
        <f>'Asset Prices'!S14/'Asset Prices'!S15-1</f>
        <v>9.1142962146269824E-2</v>
      </c>
      <c r="T14" s="1">
        <f>'Asset Prices'!T14/'Asset Prices'!T15-1</f>
        <v>3.6686151985486637E-2</v>
      </c>
      <c r="U14" s="1">
        <f>'Asset Prices'!U14/'Asset Prices'!U15-1</f>
        <v>2.5490816972767671E-2</v>
      </c>
      <c r="V14" s="1">
        <f>'Asset Prices'!V14/'Asset Prices'!V15-1</f>
        <v>4.011429827453572E-2</v>
      </c>
      <c r="W14" s="1">
        <f>'Asset Prices'!W14/'Asset Prices'!W15-1</f>
        <v>4.4207036286608936E-2</v>
      </c>
      <c r="X14" s="1">
        <f>'Asset Prices'!X14/'Asset Prices'!X15-1</f>
        <v>4.2243885753377786E-2</v>
      </c>
      <c r="Y14" s="1">
        <f>'Asset Prices'!Y14/'Asset Prices'!Y15-1</f>
        <v>-1.1761016151795589E-3</v>
      </c>
      <c r="Z14" s="1">
        <f>'Asset Prices'!Z14/'Asset Prices'!Z15-1</f>
        <v>-7.4706782253952109E-2</v>
      </c>
      <c r="AA14" s="1">
        <f>'Asset Prices'!AA14/'Asset Prices'!AA15-1</f>
        <v>-9.5096223528464474E-2</v>
      </c>
      <c r="AB14" s="1">
        <f>'Asset Prices'!AB14/'Asset Prices'!AB15-1</f>
        <v>-3.1341821743388842E-2</v>
      </c>
      <c r="AC14" s="1">
        <f>'Asset Prices'!AC14/'Asset Prices'!AC15-1</f>
        <v>2.2892163489703021E-2</v>
      </c>
      <c r="AD14" s="1">
        <f>'Asset Prices'!AD14/'Asset Prices'!AD15-1</f>
        <v>3.2959842970475162E-2</v>
      </c>
      <c r="AE14" s="1">
        <f>'Asset Prices'!AE14/'Asset Prices'!AE15-1</f>
        <v>-5.7062675397567819E-2</v>
      </c>
      <c r="AF14" s="1">
        <f>'Asset Prices'!AF14/'Asset Prices'!AF15-1</f>
        <v>8.9686098654695456E-4</v>
      </c>
      <c r="AG14" s="1">
        <f>'Asset Prices'!AG14/'Asset Prices'!AG15-1</f>
        <v>-6.9457968192145447E-2</v>
      </c>
      <c r="AH14" s="1">
        <f>'Asset Prices'!AH14/'Asset Prices'!AH15-1</f>
        <v>5.318860244233381E-2</v>
      </c>
      <c r="AI14" s="1">
        <f>'Asset Prices'!AI14/'Asset Prices'!AI15-1</f>
        <v>3.2676208479611057E-2</v>
      </c>
      <c r="AJ14" s="1">
        <f>'Asset Prices'!AJ14/'Asset Prices'!AJ15-1</f>
        <v>3.1293952180027951E-2</v>
      </c>
      <c r="AK14" s="1">
        <f>'Asset Prices'!AK14/'Asset Prices'!AK15-1</f>
        <v>6.5088757396449815E-2</v>
      </c>
      <c r="AL14" s="1">
        <f>'Asset Prices'!AL14/'Asset Prices'!AL15-1</f>
        <v>1.8257694314032458E-2</v>
      </c>
      <c r="AM14" s="1">
        <f>'Asset Prices'!AM14/'Asset Prices'!AM15-1</f>
        <v>2.2966808242881775E-2</v>
      </c>
      <c r="AN14" s="1">
        <f>'Asset Prices'!AN14/'Asset Prices'!AN15-1</f>
        <v>-3.5108250438853017E-2</v>
      </c>
      <c r="AO14" s="1">
        <f>'Asset Prices'!AO14/'Asset Prices'!AO15-1</f>
        <v>1.4411817690506368E-2</v>
      </c>
      <c r="AP14" s="1">
        <f>'Asset Prices'!AP14/'Asset Prices'!AP15-1</f>
        <v>6.6585956416465031E-3</v>
      </c>
      <c r="AQ14" s="1">
        <f>'Asset Prices'!AQ14/'Asset Prices'!AQ15-1</f>
        <v>-3.1478399305304272E-2</v>
      </c>
      <c r="AR14" s="1">
        <f>'Asset Prices'!AR14/'Asset Prices'!AR15-1</f>
        <v>6.5183917878528508E-2</v>
      </c>
      <c r="AS14" s="1">
        <f>'Asset Prices'!AS14/'Asset Prices'!AS15-1</f>
        <v>3.4751773049645385E-2</v>
      </c>
      <c r="AT14" s="1">
        <f>'Asset Prices'!AT14/'Asset Prices'!AT15-1</f>
        <v>-2.727384919165754E-2</v>
      </c>
      <c r="AU14" s="1">
        <f>'Asset Prices'!AU14/'Asset Prices'!AU15-1</f>
        <v>4.198152812762368E-3</v>
      </c>
      <c r="AV14" s="1">
        <f>'Asset Prices'!AV14/'Asset Prices'!AV15-1</f>
        <v>-3.0579349728285798E-2</v>
      </c>
      <c r="AW14" s="1">
        <f>'Asset Prices'!AW14/'Asset Prices'!AW15-1</f>
        <v>-6.2794992817566064E-2</v>
      </c>
      <c r="AX14" s="1">
        <f>'Asset Prices'!AX14/'Asset Prices'!AX15-1</f>
        <v>-5.4611650485436924E-2</v>
      </c>
      <c r="AY14" s="1">
        <f>'Asset Prices'!AY14/'Asset Prices'!AY15-1</f>
        <v>-2.8464419475655367E-2</v>
      </c>
      <c r="AZ14" s="1">
        <f>'Asset Prices'!AZ14/'Asset Prices'!AZ15-1</f>
        <v>8.0706641254947975E-2</v>
      </c>
      <c r="BA14" s="1">
        <f>'Asset Prices'!BA14/'Asset Prices'!BA15-1</f>
        <v>-1.4374597725809957E-2</v>
      </c>
      <c r="BB14" s="1">
        <f>'Asset Prices'!BB14/'Asset Prices'!BB15-1</f>
        <v>1.3016949152542256E-2</v>
      </c>
      <c r="BC14" s="1">
        <f>'Asset Prices'!BC14/'Asset Prices'!BC15-1</f>
        <v>1.8138016166925564E-2</v>
      </c>
      <c r="BD14" s="1">
        <f>'Asset Prices'!BD14/'Asset Prices'!BD15-1</f>
        <v>4.4991573239539839E-2</v>
      </c>
    </row>
    <row r="15" spans="1:56" x14ac:dyDescent="0.25">
      <c r="C15" s="38">
        <f>'Asset Prices'!C15</f>
        <v>44266</v>
      </c>
      <c r="D15" s="1">
        <f>'Asset Prices'!D15/'Asset Prices'!D16-1</f>
        <v>6.9267139479905371E-2</v>
      </c>
      <c r="E15" s="1">
        <f>'Asset Prices'!E15/'Asset Prices'!E16-1</f>
        <v>4.6375578365154491E-2</v>
      </c>
      <c r="F15" s="1">
        <f>'Asset Prices'!F15/'Asset Prices'!F16-1</f>
        <v>6.9297182671917756E-2</v>
      </c>
      <c r="G15" s="1">
        <f>'Asset Prices'!G15/'Asset Prices'!G16-1</f>
        <v>2.7434842249657088E-2</v>
      </c>
      <c r="H15" s="1">
        <f>'Asset Prices'!H15/'Asset Prices'!H16-1</f>
        <v>3.2852375804859557E-2</v>
      </c>
      <c r="I15" s="1">
        <f>'Asset Prices'!I15/'Asset Prices'!I16-1</f>
        <v>6.303369042074225E-2</v>
      </c>
      <c r="J15" s="1">
        <f>'Asset Prices'!J15/'Asset Prices'!J16-1</f>
        <v>1.5233497044867983E-2</v>
      </c>
      <c r="K15" s="1">
        <f>'Asset Prices'!K15/'Asset Prices'!K16-1</f>
        <v>4.568154568994176E-2</v>
      </c>
      <c r="L15" s="1">
        <f>'Asset Prices'!L15/'Asset Prices'!L16-1</f>
        <v>2.3020203798235661E-2</v>
      </c>
      <c r="M15" s="1">
        <f>'Asset Prices'!M15/'Asset Prices'!M16-1</f>
        <v>4.5869536453049919E-2</v>
      </c>
      <c r="N15" s="1">
        <f>'Asset Prices'!N15/'Asset Prices'!N16-1</f>
        <v>3.2749406321751495E-2</v>
      </c>
      <c r="O15" s="1">
        <f>'Asset Prices'!O15/'Asset Prices'!O16-1</f>
        <v>3.9770004791566782E-2</v>
      </c>
      <c r="P15" s="1">
        <f>'Asset Prices'!P15/'Asset Prices'!P16-1</f>
        <v>8.2690030783802992E-2</v>
      </c>
      <c r="Q15" s="1">
        <f>'Asset Prices'!Q15/'Asset Prices'!Q16-1</f>
        <v>4.5249303487366666E-2</v>
      </c>
      <c r="R15" s="1">
        <f>'Asset Prices'!R15/'Asset Prices'!R16-1</f>
        <v>4.989816700611005E-2</v>
      </c>
      <c r="S15" s="1">
        <f>'Asset Prices'!S15/'Asset Prices'!S16-1</f>
        <v>-2.5080616266571099E-2</v>
      </c>
      <c r="T15" s="1">
        <f>'Asset Prices'!T15/'Asset Prices'!T16-1</f>
        <v>2.804448435449336E-2</v>
      </c>
      <c r="U15" s="1">
        <f>'Asset Prices'!U15/'Asset Prices'!U16-1</f>
        <v>1.2991178829189876E-2</v>
      </c>
      <c r="V15" s="1">
        <f>'Asset Prices'!V15/'Asset Prices'!V16-1</f>
        <v>0.13143496642626196</v>
      </c>
      <c r="W15" s="1">
        <f>'Asset Prices'!W15/'Asset Prices'!W16-1</f>
        <v>0.10525244299674275</v>
      </c>
      <c r="X15" s="1">
        <f>'Asset Prices'!X15/'Asset Prices'!X16-1</f>
        <v>4.2617689015691962E-2</v>
      </c>
      <c r="Y15" s="1">
        <f>'Asset Prices'!Y15/'Asset Prices'!Y16-1</f>
        <v>5.9654370222665287E-2</v>
      </c>
      <c r="Z15" s="1">
        <f>'Asset Prices'!Z15/'Asset Prices'!Z16-1</f>
        <v>0.12001142285999866</v>
      </c>
      <c r="AA15" s="1">
        <f>'Asset Prices'!AA15/'Asset Prices'!AA16-1</f>
        <v>4.837075806179314E-2</v>
      </c>
      <c r="AB15" s="1">
        <f>'Asset Prices'!AB15/'Asset Prices'!AB16-1</f>
        <v>-2.57633587786259E-2</v>
      </c>
      <c r="AC15" s="1">
        <f>'Asset Prices'!AC15/'Asset Prices'!AC16-1</f>
        <v>0.14664393117346153</v>
      </c>
      <c r="AD15" s="1">
        <f>'Asset Prices'!AD15/'Asset Prices'!AD16-1</f>
        <v>6.2847705146036104E-2</v>
      </c>
      <c r="AE15" s="1">
        <f>'Asset Prices'!AE15/'Asset Prices'!AE16-1</f>
        <v>0.12988843217850832</v>
      </c>
      <c r="AF15" s="1">
        <f>'Asset Prices'!AF15/'Asset Prices'!AF16-1</f>
        <v>0.13121406831247895</v>
      </c>
      <c r="AG15" s="1">
        <f>'Asset Prices'!AG15/'Asset Prices'!AG16-1</f>
        <v>0.12500000000000022</v>
      </c>
      <c r="AH15" s="1">
        <f>'Asset Prices'!AH15/'Asset Prices'!AH16-1</f>
        <v>5.4967077011165211E-2</v>
      </c>
      <c r="AI15" s="1">
        <f>'Asset Prices'!AI15/'Asset Prices'!AI16-1</f>
        <v>8.369915130231198E-2</v>
      </c>
      <c r="AJ15" s="1">
        <f>'Asset Prices'!AJ15/'Asset Prices'!AJ16-1</f>
        <v>6.2184873949579833E-2</v>
      </c>
      <c r="AK15" s="1">
        <f>'Asset Prices'!AK15/'Asset Prices'!AK16-1</f>
        <v>3.2678002125398509E-2</v>
      </c>
      <c r="AL15" s="1">
        <f>'Asset Prices'!AL15/'Asset Prices'!AL16-1</f>
        <v>8.5934759733425903E-3</v>
      </c>
      <c r="AM15" s="1">
        <f>'Asset Prices'!AM15/'Asset Prices'!AM16-1</f>
        <v>5.8529681125634836E-2</v>
      </c>
      <c r="AN15" s="1">
        <f>'Asset Prices'!AN15/'Asset Prices'!AN16-1</f>
        <v>1.4673452078032057E-2</v>
      </c>
      <c r="AO15" s="1">
        <f>'Asset Prices'!AO15/'Asset Prices'!AO16-1</f>
        <v>1.2956204379562131E-2</v>
      </c>
      <c r="AP15" s="1">
        <f>'Asset Prices'!AP15/'Asset Prices'!AP16-1</f>
        <v>5.6434852118305345E-2</v>
      </c>
      <c r="AQ15" s="1">
        <f>'Asset Prices'!AQ15/'Asset Prices'!AQ16-1</f>
        <v>-9.1776009177600981E-3</v>
      </c>
      <c r="AR15" s="1">
        <f>'Asset Prices'!AR15/'Asset Prices'!AR16-1</f>
        <v>5.4673403103572715E-2</v>
      </c>
      <c r="AS15" s="1">
        <f>'Asset Prices'!AS15/'Asset Prices'!AS16-1</f>
        <v>3.7527593818984517E-2</v>
      </c>
      <c r="AT15" s="1">
        <f>'Asset Prices'!AT15/'Asset Prices'!AT16-1</f>
        <v>2.027197179551754E-2</v>
      </c>
      <c r="AU15" s="1">
        <f>'Asset Prices'!AU15/'Asset Prices'!AU16-1</f>
        <v>-1.1125871803387644E-2</v>
      </c>
      <c r="AV15" s="1">
        <f>'Asset Prices'!AV15/'Asset Prices'!AV16-1</f>
        <v>6.6398192711914161E-2</v>
      </c>
      <c r="AW15" s="1">
        <f>'Asset Prices'!AW15/'Asset Prices'!AW16-1</f>
        <v>0.11801313487625098</v>
      </c>
      <c r="AX15" s="1">
        <f>'Asset Prices'!AX15/'Asset Prices'!AX16-1</f>
        <v>9.5744680851063801E-2</v>
      </c>
      <c r="AY15" s="1">
        <f>'Asset Prices'!AY15/'Asset Prices'!AY16-1</f>
        <v>3.3581728442853009E-2</v>
      </c>
      <c r="AZ15" s="1">
        <f>'Asset Prices'!AZ15/'Asset Prices'!AZ16-1</f>
        <v>8.4764631043257044E-2</v>
      </c>
      <c r="BA15" s="1">
        <f>'Asset Prices'!BA15/'Asset Prices'!BA16-1</f>
        <v>0.13420124102688891</v>
      </c>
      <c r="BB15" s="1">
        <f>'Asset Prices'!BB15/'Asset Prices'!BB16-1</f>
        <v>7.2103503416194092E-2</v>
      </c>
      <c r="BC15" s="1">
        <f>'Asset Prices'!BC15/'Asset Prices'!BC16-1</f>
        <v>2.9094783428267101E-2</v>
      </c>
      <c r="BD15" s="1">
        <f>'Asset Prices'!BD15/'Asset Prices'!BD16-1</f>
        <v>6.5505933791380366E-2</v>
      </c>
    </row>
    <row r="16" spans="1:56" x14ac:dyDescent="0.25">
      <c r="C16" s="38">
        <f>'Asset Prices'!C16</f>
        <v>44259</v>
      </c>
      <c r="D16" s="1">
        <f>'Asset Prices'!D16/'Asset Prices'!D17-1</f>
        <v>-1.0526315789473717E-2</v>
      </c>
      <c r="E16" s="1">
        <f>'Asset Prices'!E16/'Asset Prices'!E17-1</f>
        <v>-1.544664362760495E-2</v>
      </c>
      <c r="F16" s="1">
        <f>'Asset Prices'!F16/'Asset Prices'!F17-1</f>
        <v>-2.5822635384388337E-2</v>
      </c>
      <c r="G16" s="1">
        <f>'Asset Prices'!G16/'Asset Prices'!G17-1</f>
        <v>4.7473200612557775E-3</v>
      </c>
      <c r="H16" s="1">
        <f>'Asset Prices'!H16/'Asset Prices'!H17-1</f>
        <v>-4.0798845911099058E-2</v>
      </c>
      <c r="I16" s="1">
        <f>'Asset Prices'!I16/'Asset Prices'!I17-1</f>
        <v>1.1582708390592389E-2</v>
      </c>
      <c r="J16" s="1">
        <f>'Asset Prices'!J16/'Asset Prices'!J17-1</f>
        <v>-7.1080254566493473E-3</v>
      </c>
      <c r="K16" s="1">
        <f>'Asset Prices'!K16/'Asset Prices'!K17-1</f>
        <v>-2.603396616467557E-2</v>
      </c>
      <c r="L16" s="1">
        <f>'Asset Prices'!L16/'Asset Prices'!L17-1</f>
        <v>-6.4770440826778852E-2</v>
      </c>
      <c r="M16" s="1">
        <f>'Asset Prices'!M16/'Asset Prices'!M17-1</f>
        <v>-9.8694266125158858E-3</v>
      </c>
      <c r="N16" s="1">
        <f>'Asset Prices'!N16/'Asset Prices'!N17-1</f>
        <v>8.9188719958332996E-3</v>
      </c>
      <c r="O16" s="1">
        <f>'Asset Prices'!O16/'Asset Prices'!O17-1</f>
        <v>-1.002913871383071E-2</v>
      </c>
      <c r="P16" s="1">
        <f>'Asset Prices'!P16/'Asset Prices'!P17-1</f>
        <v>-3.1110907172027691E-2</v>
      </c>
      <c r="Q16" s="1">
        <f>'Asset Prices'!Q16/'Asset Prices'!Q17-1</f>
        <v>-6.4124004243764632E-2</v>
      </c>
      <c r="R16" s="1">
        <f>'Asset Prices'!R16/'Asset Prices'!R17-1</f>
        <v>-1.5374331550802145E-2</v>
      </c>
      <c r="S16" s="1">
        <f>'Asset Prices'!S16/'Asset Prices'!S17-1</f>
        <v>3.4086698777324953E-2</v>
      </c>
      <c r="T16" s="1">
        <f>'Asset Prices'!T16/'Asset Prices'!T17-1</f>
        <v>-3.5445399427010416E-2</v>
      </c>
      <c r="U16" s="1">
        <f>'Asset Prices'!U16/'Asset Prices'!U17-1</f>
        <v>-3.1974420463628528E-3</v>
      </c>
      <c r="V16" s="1">
        <f>'Asset Prices'!V16/'Asset Prices'!V17-1</f>
        <v>2.4875621890552146E-4</v>
      </c>
      <c r="W16" s="1">
        <f>'Asset Prices'!W16/'Asset Prices'!W17-1</f>
        <v>-4.5657664659024655E-2</v>
      </c>
      <c r="X16" s="1">
        <f>'Asset Prices'!X16/'Asset Prices'!X17-1</f>
        <v>-3.8243868976161943E-2</v>
      </c>
      <c r="Y16" s="1">
        <f>'Asset Prices'!Y16/'Asset Prices'!Y17-1</f>
        <v>-9.5717505634860922E-2</v>
      </c>
      <c r="Z16" s="1">
        <f>'Asset Prices'!Z16/'Asset Prices'!Z17-1</f>
        <v>-9.2517006802721125E-2</v>
      </c>
      <c r="AA16" s="1">
        <f>'Asset Prices'!AA16/'Asset Prices'!AA17-1</f>
        <v>-9.371891974600266E-2</v>
      </c>
      <c r="AB16" s="1">
        <f>'Asset Prices'!AB16/'Asset Prices'!AB17-1</f>
        <v>-5.0724637681159312E-2</v>
      </c>
      <c r="AC16" s="1">
        <f>'Asset Prices'!AC16/'Asset Prices'!AC17-1</f>
        <v>-6.9164542350055314E-2</v>
      </c>
      <c r="AD16" s="1">
        <f>'Asset Prices'!AD16/'Asset Prices'!AD17-1</f>
        <v>1.4462081128747695E-2</v>
      </c>
      <c r="AE16" s="1">
        <f>'Asset Prices'!AE16/'Asset Prices'!AE17-1</f>
        <v>-5.0089245872378396E-2</v>
      </c>
      <c r="AF16" s="1">
        <f>'Asset Prices'!AF16/'Asset Prices'!AF17-1</f>
        <v>-3.9311241065627112E-2</v>
      </c>
      <c r="AG16" s="1">
        <f>'Asset Prices'!AG16/'Asset Prices'!AG17-1</f>
        <v>-1.9436345966957758E-3</v>
      </c>
      <c r="AH16" s="1">
        <f>'Asset Prices'!AH16/'Asset Prices'!AH17-1</f>
        <v>-4.3537787513691195E-2</v>
      </c>
      <c r="AI16" s="1">
        <f>'Asset Prices'!AI16/'Asset Prices'!AI17-1</f>
        <v>2.2747680335229115E-2</v>
      </c>
      <c r="AJ16" s="1">
        <f>'Asset Prices'!AJ16/'Asset Prices'!AJ17-1</f>
        <v>-4.9858055358410258E-2</v>
      </c>
      <c r="AK16" s="1">
        <f>'Asset Prices'!AK16/'Asset Prices'!AK17-1</f>
        <v>1.7847485127095775E-2</v>
      </c>
      <c r="AL16" s="1">
        <f>'Asset Prices'!AL16/'Asset Prices'!AL17-1</f>
        <v>2.4434063959755781E-2</v>
      </c>
      <c r="AM16" s="1">
        <f>'Asset Prices'!AM16/'Asset Prices'!AM17-1</f>
        <v>-1.9270025312321359E-2</v>
      </c>
      <c r="AN16" s="1">
        <f>'Asset Prices'!AN16/'Asset Prices'!AN17-1</f>
        <v>-4.0605419480836513E-2</v>
      </c>
      <c r="AO16" s="1">
        <f>'Asset Prices'!AO16/'Asset Prices'!AO17-1</f>
        <v>-3.0088495575221308E-2</v>
      </c>
      <c r="AP16" s="1">
        <f>'Asset Prices'!AP16/'Asset Prices'!AP17-1</f>
        <v>-7.5797872340425676E-2</v>
      </c>
      <c r="AQ16" s="1">
        <f>'Asset Prices'!AQ16/'Asset Prices'!AQ17-1</f>
        <v>-3.8668320926385502E-2</v>
      </c>
      <c r="AR16" s="1">
        <f>'Asset Prices'!AR16/'Asset Prices'!AR17-1</f>
        <v>-1.2473271560940802E-2</v>
      </c>
      <c r="AS16" s="1">
        <f>'Asset Prices'!AS16/'Asset Prices'!AS17-1</f>
        <v>-9.7009966777408696E-2</v>
      </c>
      <c r="AT16" s="1">
        <f>'Asset Prices'!AT16/'Asset Prices'!AT17-1</f>
        <v>-1.218905472636822E-2</v>
      </c>
      <c r="AU16" s="1">
        <f>'Asset Prices'!AU16/'Asset Prices'!AU17-1</f>
        <v>-2.5369208982399361E-2</v>
      </c>
      <c r="AV16" s="1">
        <f>'Asset Prices'!AV16/'Asset Prices'!AV17-1</f>
        <v>2.9631877022653796E-2</v>
      </c>
      <c r="AW16" s="1">
        <f>'Asset Prices'!AW16/'Asset Prices'!AW17-1</f>
        <v>-5.327034291765087E-2</v>
      </c>
      <c r="AX16" s="1">
        <f>'Asset Prices'!AX16/'Asset Prices'!AX17-1</f>
        <v>-2.9426948890036164E-2</v>
      </c>
      <c r="AY16" s="1">
        <f>'Asset Prices'!AY16/'Asset Prices'!AY17-1</f>
        <v>-4.7386374112657892E-2</v>
      </c>
      <c r="AZ16" s="1">
        <f>'Asset Prices'!AZ16/'Asset Prices'!AZ17-1</f>
        <v>-2.6323939300092802E-2</v>
      </c>
      <c r="BA16" s="1">
        <f>'Asset Prices'!BA16/'Asset Prices'!BA17-1</f>
        <v>2.4339783375926238E-4</v>
      </c>
      <c r="BB16" s="1">
        <f>'Asset Prices'!BB16/'Asset Prices'!BB17-1</f>
        <v>-3.1879437762643015E-3</v>
      </c>
      <c r="BC16" s="1">
        <f>'Asset Prices'!BC16/'Asset Prices'!BC17-1</f>
        <v>-1.8817096216477092E-2</v>
      </c>
      <c r="BD16" s="1">
        <f>'Asset Prices'!BD16/'Asset Prices'!BD17-1</f>
        <v>2.3248382200207862E-2</v>
      </c>
    </row>
    <row r="17" spans="3:56" x14ac:dyDescent="0.25">
      <c r="C17" s="38">
        <f>'Asset Prices'!C17</f>
        <v>44252</v>
      </c>
      <c r="D17" s="1">
        <f>'Asset Prices'!D17/'Asset Prices'!D18-1</f>
        <v>2.1017434917602218E-2</v>
      </c>
      <c r="E17" s="1">
        <f>'Asset Prices'!E17/'Asset Prices'!E18-1</f>
        <v>4.3606557377049215E-2</v>
      </c>
      <c r="F17" s="1">
        <f>'Asset Prices'!F17/'Asset Prices'!F18-1</f>
        <v>-6.5821214418636753E-2</v>
      </c>
      <c r="G17" s="1">
        <f>'Asset Prices'!G17/'Asset Prices'!G18-1</f>
        <v>5.2038021588528993E-2</v>
      </c>
      <c r="H17" s="1">
        <f>'Asset Prices'!H17/'Asset Prices'!H18-1</f>
        <v>0.10954381752701092</v>
      </c>
      <c r="I17" s="1">
        <f>'Asset Prices'!I17/'Asset Prices'!I18-1</f>
        <v>-5.4567727087122764E-2</v>
      </c>
      <c r="J17" s="1">
        <f>'Asset Prices'!J17/'Asset Prices'!J18-1</f>
        <v>-6.7226890756302615E-2</v>
      </c>
      <c r="K17" s="1">
        <f>'Asset Prices'!K17/'Asset Prices'!K18-1</f>
        <v>-8.1445693356528848E-2</v>
      </c>
      <c r="L17" s="1">
        <f>'Asset Prices'!L17/'Asset Prices'!L18-1</f>
        <v>-2.7726095363175274E-3</v>
      </c>
      <c r="M17" s="1">
        <f>'Asset Prices'!M17/'Asset Prices'!M18-1</f>
        <v>-6.0707986381721923E-2</v>
      </c>
      <c r="N17" s="1">
        <f>'Asset Prices'!N17/'Asset Prices'!N18-1</f>
        <v>-4.2672415839985489E-2</v>
      </c>
      <c r="O17" s="1">
        <f>'Asset Prices'!O17/'Asset Prices'!O18-1</f>
        <v>-3.5427152101444648E-2</v>
      </c>
      <c r="P17" s="1">
        <f>'Asset Prices'!P17/'Asset Prices'!P18-1</f>
        <v>-3.6475373596250749E-2</v>
      </c>
      <c r="Q17" s="1">
        <f>'Asset Prices'!Q17/'Asset Prices'!Q18-1</f>
        <v>-6.5345636061110213E-2</v>
      </c>
      <c r="R17" s="1">
        <f>'Asset Prices'!R17/'Asset Prices'!R18-1</f>
        <v>-3.9486356340288853E-2</v>
      </c>
      <c r="S17" s="1">
        <f>'Asset Prices'!S17/'Asset Prices'!S18-1</f>
        <v>-2.8087864602088675E-2</v>
      </c>
      <c r="T17" s="1">
        <f>'Asset Prices'!T17/'Asset Prices'!T18-1</f>
        <v>0.13721776026670729</v>
      </c>
      <c r="U17" s="1">
        <f>'Asset Prices'!U17/'Asset Prices'!U18-1</f>
        <v>7.4004120879120894E-2</v>
      </c>
      <c r="V17" s="1">
        <f>'Asset Prices'!V17/'Asset Prices'!V18-1</f>
        <v>-6.9228988191710972E-2</v>
      </c>
      <c r="W17" s="1">
        <f>'Asset Prices'!W17/'Asset Prices'!W18-1</f>
        <v>-0.11836245289482705</v>
      </c>
      <c r="X17" s="1">
        <f>'Asset Prices'!X17/'Asset Prices'!X18-1</f>
        <v>0.12242540904716082</v>
      </c>
      <c r="Y17" s="1">
        <f>'Asset Prices'!Y17/'Asset Prices'!Y18-1</f>
        <v>-4.5946527130671599E-2</v>
      </c>
      <c r="Z17" s="1">
        <f>'Asset Prices'!Z17/'Asset Prices'!Z18-1</f>
        <v>-3.2773530517608784E-2</v>
      </c>
      <c r="AA17" s="1">
        <f>'Asset Prices'!AA17/'Asset Prices'!AA18-1</f>
        <v>-8.6646635455244203E-2</v>
      </c>
      <c r="AB17" s="1">
        <f>'Asset Prices'!AB17/'Asset Prices'!AB18-1</f>
        <v>-8.7603305785123986E-2</v>
      </c>
      <c r="AC17" s="1">
        <f>'Asset Prices'!AC17/'Asset Prices'!AC18-1</f>
        <v>-0.12329749103942655</v>
      </c>
      <c r="AD17" s="1">
        <f>'Asset Prices'!AD17/'Asset Prices'!AD18-1</f>
        <v>-4.0771443072238123E-2</v>
      </c>
      <c r="AE17" s="1">
        <f>'Asset Prices'!AE17/'Asset Prices'!AE18-1</f>
        <v>-0.12418172936003902</v>
      </c>
      <c r="AF17" s="1">
        <f>'Asset Prices'!AF17/'Asset Prices'!AF18-1</f>
        <v>0.1132007233273058</v>
      </c>
      <c r="AG17" s="1">
        <f>'Asset Prices'!AG17/'Asset Prices'!AG18-1</f>
        <v>-0.14294638209266008</v>
      </c>
      <c r="AH17" s="1">
        <f>'Asset Prices'!AH17/'Asset Prices'!AH18-1</f>
        <v>-1.9130910084722563E-3</v>
      </c>
      <c r="AI17" s="1">
        <f>'Asset Prices'!AI17/'Asset Prices'!AI18-1</f>
        <v>4.3736332396126176E-2</v>
      </c>
      <c r="AJ17" s="1">
        <f>'Asset Prices'!AJ17/'Asset Prices'!AJ18-1</f>
        <v>3.0254493682149164E-3</v>
      </c>
      <c r="AK17" s="1">
        <f>'Asset Prices'!AK17/'Asset Prices'!AK18-1</f>
        <v>9.9940511600237869E-2</v>
      </c>
      <c r="AL17" s="1">
        <f>'Asset Prices'!AL17/'Asset Prices'!AL18-1</f>
        <v>-5.3869635482139966E-4</v>
      </c>
      <c r="AM17" s="1">
        <f>'Asset Prices'!AM17/'Asset Prices'!AM18-1</f>
        <v>1.4412325022778116E-2</v>
      </c>
      <c r="AN17" s="1">
        <f>'Asset Prices'!AN17/'Asset Prices'!AN18-1</f>
        <v>2.5289606787404217E-3</v>
      </c>
      <c r="AO17" s="1">
        <f>'Asset Prices'!AO17/'Asset Prices'!AO18-1</f>
        <v>-8.4240084240083668E-3</v>
      </c>
      <c r="AP17" s="1">
        <f>'Asset Prices'!AP17/'Asset Prices'!AP18-1</f>
        <v>-9.0775988286967424E-3</v>
      </c>
      <c r="AQ17" s="1">
        <f>'Asset Prices'!AQ17/'Asset Prices'!AQ18-1</f>
        <v>-0.12943294329432942</v>
      </c>
      <c r="AR17" s="1">
        <f>'Asset Prices'!AR17/'Asset Prices'!AR18-1</f>
        <v>-2.1617852161785245E-2</v>
      </c>
      <c r="AS17" s="1">
        <f>'Asset Prices'!AS17/'Asset Prices'!AS18-1</f>
        <v>-0.17624521072796928</v>
      </c>
      <c r="AT17" s="1">
        <f>'Asset Prices'!AT17/'Asset Prices'!AT18-1</f>
        <v>7.3001468036834272E-2</v>
      </c>
      <c r="AU17" s="1">
        <f>'Asset Prices'!AU17/'Asset Prices'!AU18-1</f>
        <v>-3.3891017121413403E-2</v>
      </c>
      <c r="AV17" s="1">
        <f>'Asset Prices'!AV17/'Asset Prices'!AV18-1</f>
        <v>-8.2405345211581382E-2</v>
      </c>
      <c r="AW17" s="1">
        <f>'Asset Prices'!AW17/'Asset Prices'!AW18-1</f>
        <v>-8.2779230481882737E-2</v>
      </c>
      <c r="AX17" s="1">
        <f>'Asset Prices'!AX17/'Asset Prices'!AX18-1</f>
        <v>-7.7399380804953566E-2</v>
      </c>
      <c r="AY17" s="1">
        <f>'Asset Prices'!AY17/'Asset Prices'!AY18-1</f>
        <v>0.11457048910809697</v>
      </c>
      <c r="AZ17" s="1">
        <f>'Asset Prices'!AZ17/'Asset Prices'!AZ18-1</f>
        <v>0.12244720604849224</v>
      </c>
      <c r="BA17" s="1">
        <f>'Asset Prices'!BA17/'Asset Prices'!BA18-1</f>
        <v>-2.4225151407196166E-2</v>
      </c>
      <c r="BB17" s="1">
        <f>'Asset Prices'!BB17/'Asset Prices'!BB18-1</f>
        <v>-6.2109268823049679E-2</v>
      </c>
      <c r="BC17" s="1">
        <f>'Asset Prices'!BC17/'Asset Prices'!BC18-1</f>
        <v>8.3798152344430887E-2</v>
      </c>
      <c r="BD17" s="1">
        <f>'Asset Prices'!BD17/'Asset Prices'!BD18-1</f>
        <v>1.9548749694550782E-2</v>
      </c>
    </row>
    <row r="18" spans="3:56" x14ac:dyDescent="0.25">
      <c r="C18" s="38">
        <f>'Asset Prices'!C18</f>
        <v>44245</v>
      </c>
      <c r="D18" s="1">
        <f>'Asset Prices'!D18/'Asset Prices'!D19-1</f>
        <v>-6.2185512199752768E-3</v>
      </c>
      <c r="E18" s="1">
        <f>'Asset Prices'!E18/'Asset Prices'!E19-1</f>
        <v>-4.1433136032685502E-2</v>
      </c>
      <c r="F18" s="1">
        <f>'Asset Prices'!F18/'Asset Prices'!F19-1</f>
        <v>1.0798383725790783E-2</v>
      </c>
      <c r="G18" s="1">
        <f>'Asset Prices'!G18/'Asset Prices'!G19-1</f>
        <v>-1.0047846889952194E-2</v>
      </c>
      <c r="H18" s="1">
        <f>'Asset Prices'!H18/'Asset Prices'!H19-1</f>
        <v>7.9153012351902419E-3</v>
      </c>
      <c r="I18" s="1">
        <f>'Asset Prices'!I18/'Asset Prices'!I19-1</f>
        <v>-3.6983616257997287E-3</v>
      </c>
      <c r="J18" s="1">
        <f>'Asset Prices'!J18/'Asset Prices'!J19-1</f>
        <v>-4.0109524161918042E-2</v>
      </c>
      <c r="K18" s="1">
        <f>'Asset Prices'!K18/'Asset Prices'!K19-1</f>
        <v>2.0262834405740948E-2</v>
      </c>
      <c r="L18" s="1">
        <f>'Asset Prices'!L18/'Asset Prices'!L19-1</f>
        <v>-1.6804462059936465E-2</v>
      </c>
      <c r="M18" s="1">
        <f>'Asset Prices'!M18/'Asset Prices'!M19-1</f>
        <v>-2.863102785390037E-3</v>
      </c>
      <c r="N18" s="1">
        <f>'Asset Prices'!N18/'Asset Prices'!N19-1</f>
        <v>8.1675643327348002E-3</v>
      </c>
      <c r="O18" s="1">
        <f>'Asset Prices'!O18/'Asset Prices'!O19-1</f>
        <v>1.7085493950272701E-2</v>
      </c>
      <c r="P18" s="1">
        <f>'Asset Prices'!P18/'Asset Prices'!P19-1</f>
        <v>-4.3191336350945408E-2</v>
      </c>
      <c r="Q18" s="1">
        <f>'Asset Prices'!Q18/'Asset Prices'!Q19-1</f>
        <v>-6.6944908180300855E-3</v>
      </c>
      <c r="R18" s="1">
        <f>'Asset Prices'!R18/'Asset Prices'!R19-1</f>
        <v>1.1856423582913722E-2</v>
      </c>
      <c r="S18" s="1">
        <f>'Asset Prices'!S18/'Asset Prices'!S19-1</f>
        <v>-6.0844667143880038E-3</v>
      </c>
      <c r="T18" s="1">
        <f>'Asset Prices'!T18/'Asset Prices'!T19-1</f>
        <v>4.2084484800631428E-2</v>
      </c>
      <c r="U18" s="1">
        <f>'Asset Prices'!U18/'Asset Prices'!U19-1</f>
        <v>5.8909090909091022E-2</v>
      </c>
      <c r="V18" s="1">
        <f>'Asset Prices'!V18/'Asset Prices'!V19-1</f>
        <v>-8.6505922165820759E-2</v>
      </c>
      <c r="W18" s="1">
        <f>'Asset Prices'!W18/'Asset Prices'!W19-1</f>
        <v>-2.3664185968726437E-2</v>
      </c>
      <c r="X18" s="1">
        <f>'Asset Prices'!X18/'Asset Prices'!X19-1</f>
        <v>1.0307273434461361E-2</v>
      </c>
      <c r="Y18" s="1">
        <f>'Asset Prices'!Y18/'Asset Prices'!Y19-1</f>
        <v>-0.1859135204528215</v>
      </c>
      <c r="Z18" s="1">
        <f>'Asset Prices'!Z18/'Asset Prices'!Z19-1</f>
        <v>-4.8930210382025052E-2</v>
      </c>
      <c r="AA18" s="1">
        <f>'Asset Prices'!AA18/'Asset Prices'!AA19-1</f>
        <v>-1.9861653311416871E-2</v>
      </c>
      <c r="AB18" s="1">
        <f>'Asset Prices'!AB18/'Asset Prices'!AB19-1</f>
        <v>1.001669449081799E-2</v>
      </c>
      <c r="AC18" s="1">
        <f>'Asset Prices'!AC18/'Asset Prices'!AC19-1</f>
        <v>-2.08505367464904E-2</v>
      </c>
      <c r="AD18" s="1">
        <f>'Asset Prices'!AD18/'Asset Prices'!AD19-1</f>
        <v>5.2721088435374597E-3</v>
      </c>
      <c r="AE18" s="1">
        <f>'Asset Prices'!AE18/'Asset Prices'!AE19-1</f>
        <v>-1.586538461538467E-2</v>
      </c>
      <c r="AF18" s="1">
        <f>'Asset Prices'!AF18/'Asset Prices'!AF19-1</f>
        <v>-7.1813285457810183E-3</v>
      </c>
      <c r="AG18" s="1">
        <f>'Asset Prices'!AG18/'Asset Prices'!AG19-1</f>
        <v>4.3114682884448197E-2</v>
      </c>
      <c r="AH18" s="1">
        <f>'Asset Prices'!AH18/'Asset Prices'!AH19-1</f>
        <v>-3.9506496915605593E-2</v>
      </c>
      <c r="AI18" s="1">
        <f>'Asset Prices'!AI18/'Asset Prices'!AI19-1</f>
        <v>-5.2827843380982564E-3</v>
      </c>
      <c r="AJ18" s="1">
        <f>'Asset Prices'!AJ18/'Asset Prices'!AJ19-1</f>
        <v>1.170327691753692E-2</v>
      </c>
      <c r="AK18" s="1">
        <f>'Asset Prices'!AK18/'Asset Prices'!AK19-1</f>
        <v>1.7554479418886215E-2</v>
      </c>
      <c r="AL18" s="1">
        <f>'Asset Prices'!AL18/'Asset Prices'!AL19-1</f>
        <v>-4.542338018512182E-2</v>
      </c>
      <c r="AM18" s="1">
        <f>'Asset Prices'!AM18/'Asset Prices'!AM19-1</f>
        <v>-1.4887106111983739E-3</v>
      </c>
      <c r="AN18" s="1">
        <f>'Asset Prices'!AN18/'Asset Prices'!AN19-1</f>
        <v>-7.3367571533389242E-4</v>
      </c>
      <c r="AO18" s="1">
        <f>'Asset Prices'!AO18/'Asset Prices'!AO19-1</f>
        <v>4.3589743589743435E-2</v>
      </c>
      <c r="AP18" s="1">
        <f>'Asset Prices'!AP18/'Asset Prices'!AP19-1</f>
        <v>-1.0431758910460776E-2</v>
      </c>
      <c r="AQ18" s="1">
        <f>'Asset Prices'!AQ18/'Asset Prices'!AQ19-1</f>
        <v>-1.9475170628383109E-2</v>
      </c>
      <c r="AR18" s="1">
        <f>'Asset Prices'!AR18/'Asset Prices'!AR19-1</f>
        <v>-1.747173689619741E-2</v>
      </c>
      <c r="AS18" s="1">
        <f>'Asset Prices'!AS18/'Asset Prices'!AS19-1</f>
        <v>1.6447368421053099E-3</v>
      </c>
      <c r="AT18" s="1">
        <f>'Asset Prices'!AT18/'Asset Prices'!AT19-1</f>
        <v>-1.6924691681973081E-2</v>
      </c>
      <c r="AU18" s="1">
        <f>'Asset Prices'!AU18/'Asset Prices'!AU19-1</f>
        <v>9.5899601404949575E-3</v>
      </c>
      <c r="AV18" s="1">
        <f>'Asset Prices'!AV18/'Asset Prices'!AV19-1</f>
        <v>-1.2191768264735559E-2</v>
      </c>
      <c r="AW18" s="1">
        <f>'Asset Prices'!AW18/'Asset Prices'!AW19-1</f>
        <v>-1.4165766473534291E-2</v>
      </c>
      <c r="AX18" s="1">
        <f>'Asset Prices'!AX18/'Asset Prices'!AX19-1</f>
        <v>-1.19999999999999E-2</v>
      </c>
      <c r="AY18" s="1">
        <f>'Asset Prices'!AY18/'Asset Prices'!AY19-1</f>
        <v>-4.2971147943523524E-3</v>
      </c>
      <c r="AZ18" s="1">
        <f>'Asset Prices'!AZ18/'Asset Prices'!AZ19-1</f>
        <v>-4.830038871888187E-2</v>
      </c>
      <c r="BA18" s="1">
        <f>'Asset Prices'!BA18/'Asset Prices'!BA19-1</f>
        <v>-7.2781325699185162E-2</v>
      </c>
      <c r="BB18" s="1">
        <f>'Asset Prices'!BB18/'Asset Prices'!BB19-1</f>
        <v>3.1356509884117312E-3</v>
      </c>
      <c r="BC18" s="1">
        <f>'Asset Prices'!BC18/'Asset Prices'!BC19-1</f>
        <v>6.5218400408485255E-2</v>
      </c>
      <c r="BD18" s="1">
        <f>'Asset Prices'!BD18/'Asset Prices'!BD19-1</f>
        <v>-5.9089515634579981E-2</v>
      </c>
    </row>
    <row r="19" spans="3:56" x14ac:dyDescent="0.25">
      <c r="C19" s="38">
        <f>'Asset Prices'!C19</f>
        <v>44238</v>
      </c>
      <c r="D19" s="1">
        <f>'Asset Prices'!D19/'Asset Prices'!D20-1</f>
        <v>6.7383512544803015E-3</v>
      </c>
      <c r="E19" s="1">
        <f>'Asset Prices'!E19/'Asset Prices'!E20-1</f>
        <v>5.9257615269378006E-2</v>
      </c>
      <c r="F19" s="1">
        <f>'Asset Prices'!F19/'Asset Prices'!F20-1</f>
        <v>2.0692597596529971E-2</v>
      </c>
      <c r="G19" s="1">
        <f>'Asset Prices'!G19/'Asset Prices'!G20-1</f>
        <v>-1.0260457774269871E-2</v>
      </c>
      <c r="H19" s="1">
        <f>'Asset Prices'!H19/'Asset Prices'!H20-1</f>
        <v>3.4959561701017439E-2</v>
      </c>
      <c r="I19" s="1">
        <f>'Asset Prices'!I19/'Asset Prices'!I20-1</f>
        <v>1.4634695485759242E-2</v>
      </c>
      <c r="J19" s="1">
        <f>'Asset Prices'!J19/'Asset Prices'!J20-1</f>
        <v>-1.6449523254967513E-2</v>
      </c>
      <c r="K19" s="1">
        <f>'Asset Prices'!K19/'Asset Prices'!K20-1</f>
        <v>-2.06754728309817E-2</v>
      </c>
      <c r="L19" s="1">
        <f>'Asset Prices'!L19/'Asset Prices'!L20-1</f>
        <v>9.8341060562157079E-3</v>
      </c>
      <c r="M19" s="1">
        <f>'Asset Prices'!M19/'Asset Prices'!M20-1</f>
        <v>1.0247510433453177E-2</v>
      </c>
      <c r="N19" s="1">
        <f>'Asset Prices'!N19/'Asset Prices'!N20-1</f>
        <v>1.710142528108749E-2</v>
      </c>
      <c r="O19" s="1">
        <f>'Asset Prices'!O19/'Asset Prices'!O20-1</f>
        <v>2.1736177149843661E-2</v>
      </c>
      <c r="P19" s="1">
        <f>'Asset Prices'!P19/'Asset Prices'!P20-1</f>
        <v>5.7626056999686703E-2</v>
      </c>
      <c r="Q19" s="1">
        <f>'Asset Prices'!Q19/'Asset Prices'!Q20-1</f>
        <v>-2.6269588399765897E-2</v>
      </c>
      <c r="R19" s="1">
        <f>'Asset Prices'!R19/'Asset Prices'!R20-1</f>
        <v>-3.1766000943544648E-2</v>
      </c>
      <c r="S19" s="1">
        <f>'Asset Prices'!S19/'Asset Prices'!S20-1</f>
        <v>1.4336917562725038E-3</v>
      </c>
      <c r="T19" s="1">
        <f>'Asset Prices'!T19/'Asset Prices'!T20-1</f>
        <v>9.5655639697089789E-3</v>
      </c>
      <c r="U19" s="1">
        <f>'Asset Prices'!U19/'Asset Prices'!U20-1</f>
        <v>3.8715769593956617E-2</v>
      </c>
      <c r="V19" s="1">
        <f>'Asset Prices'!V19/'Asset Prices'!V20-1</f>
        <v>8.8523080465062742E-2</v>
      </c>
      <c r="W19" s="1">
        <f>'Asset Prices'!W19/'Asset Prices'!W20-1</f>
        <v>5.0509486999297248E-2</v>
      </c>
      <c r="X19" s="1">
        <f>'Asset Prices'!X19/'Asset Prices'!X20-1</f>
        <v>4.6611031956034887E-2</v>
      </c>
      <c r="Y19" s="1">
        <f>'Asset Prices'!Y19/'Asset Prices'!Y20-1</f>
        <v>0.12087121459873118</v>
      </c>
      <c r="Z19" s="1">
        <f>'Asset Prices'!Z19/'Asset Prices'!Z20-1</f>
        <v>8.9474709434452349E-2</v>
      </c>
      <c r="AA19" s="1">
        <f>'Asset Prices'!AA19/'Asset Prices'!AA20-1</f>
        <v>5.5214280552142725E-2</v>
      </c>
      <c r="AB19" s="1">
        <f>'Asset Prices'!AB19/'Asset Prices'!AB20-1</f>
        <v>0.1642371234207971</v>
      </c>
      <c r="AC19" s="1">
        <f>'Asset Prices'!AC19/'Asset Prices'!AC20-1</f>
        <v>3.5573798529160205E-2</v>
      </c>
      <c r="AD19" s="1">
        <f>'Asset Prices'!AD19/'Asset Prices'!AD20-1</f>
        <v>-4.0650406504065817E-3</v>
      </c>
      <c r="AE19" s="1">
        <f>'Asset Prices'!AE19/'Asset Prices'!AE20-1</f>
        <v>5.927887553473199E-2</v>
      </c>
      <c r="AF19" s="1">
        <f>'Asset Prices'!AF19/'Asset Prices'!AF20-1</f>
        <v>1.4571948998178597E-2</v>
      </c>
      <c r="AG19" s="1">
        <f>'Asset Prices'!AG19/'Asset Prices'!AG20-1</f>
        <v>3.2590983161329135E-4</v>
      </c>
      <c r="AH19" s="1">
        <f>'Asset Prices'!AH19/'Asset Prices'!AH20-1</f>
        <v>2.8899392302498272E-2</v>
      </c>
      <c r="AI19" s="1">
        <f>'Asset Prices'!AI19/'Asset Prices'!AI20-1</f>
        <v>0.12399580859238557</v>
      </c>
      <c r="AJ19" s="1">
        <f>'Asset Prices'!AJ19/'Asset Prices'!AJ20-1</f>
        <v>1.12891478514201E-2</v>
      </c>
      <c r="AK19" s="1">
        <f>'Asset Prices'!AK19/'Asset Prices'!AK20-1</f>
        <v>3.5736677115987492E-2</v>
      </c>
      <c r="AL19" s="1">
        <f>'Asset Prices'!AL19/'Asset Prices'!AL20-1</f>
        <v>-9.3394464255390774E-3</v>
      </c>
      <c r="AM19" s="1">
        <f>'Asset Prices'!AM19/'Asset Prices'!AM20-1</f>
        <v>-9.0894067096347619E-4</v>
      </c>
      <c r="AN19" s="1">
        <f>'Asset Prices'!AN19/'Asset Prices'!AN20-1</f>
        <v>3.4840560148473143E-2</v>
      </c>
      <c r="AO19" s="1">
        <f>'Asset Prices'!AO19/'Asset Prices'!AO20-1</f>
        <v>-9.7932535364526618E-3</v>
      </c>
      <c r="AP19" s="1">
        <f>'Asset Prices'!AP19/'Asset Prices'!AP20-1</f>
        <v>6.4158646835812405E-3</v>
      </c>
      <c r="AQ19" s="1">
        <f>'Asset Prices'!AQ19/'Asset Prices'!AQ20-1</f>
        <v>-1.3351909903633996E-2</v>
      </c>
      <c r="AR19" s="1">
        <f>'Asset Prices'!AR19/'Asset Prices'!AR20-1</f>
        <v>1.2486992715921019E-2</v>
      </c>
      <c r="AS19" s="1">
        <f>'Asset Prices'!AS19/'Asset Prices'!AS20-1</f>
        <v>1.3333333333333197E-2</v>
      </c>
      <c r="AT19" s="1">
        <f>'Asset Prices'!AT19/'Asset Prices'!AT20-1</f>
        <v>-3.9205436487192991E-3</v>
      </c>
      <c r="AU19" s="1">
        <f>'Asset Prices'!AU19/'Asset Prices'!AU20-1</f>
        <v>-5.8848915218329134E-3</v>
      </c>
      <c r="AV19" s="1">
        <f>'Asset Prices'!AV19/'Asset Prices'!AV20-1</f>
        <v>2.7793480309025842E-2</v>
      </c>
      <c r="AW19" s="1">
        <f>'Asset Prices'!AW19/'Asset Prices'!AW20-1</f>
        <v>-4.8673393124065822E-2</v>
      </c>
      <c r="AX19" s="1">
        <f>'Asset Prices'!AX19/'Asset Prices'!AX20-1</f>
        <v>1.3835877862595325E-2</v>
      </c>
      <c r="AY19" s="1">
        <f>'Asset Prices'!AY19/'Asset Prices'!AY20-1</f>
        <v>-5.5287067465687234E-2</v>
      </c>
      <c r="AZ19" s="1">
        <f>'Asset Prices'!AZ19/'Asset Prices'!AZ20-1</f>
        <v>-1.56895127993395E-3</v>
      </c>
      <c r="BA19" s="1">
        <f>'Asset Prices'!BA19/'Asset Prices'!BA20-1</f>
        <v>9.9915223446772394E-2</v>
      </c>
      <c r="BB19" s="1">
        <f>'Asset Prices'!BB19/'Asset Prices'!BB20-1</f>
        <v>1.298163237121952E-2</v>
      </c>
      <c r="BC19" s="1">
        <f>'Asset Prices'!BC19/'Asset Prices'!BC20-1</f>
        <v>-1.800528762877196E-2</v>
      </c>
      <c r="BD19" s="1">
        <f>'Asset Prices'!BD19/'Asset Prices'!BD20-1</f>
        <v>-1.0615711252653925E-2</v>
      </c>
    </row>
    <row r="20" spans="3:56" x14ac:dyDescent="0.25">
      <c r="C20" s="38">
        <f>'Asset Prices'!C20</f>
        <v>44231</v>
      </c>
      <c r="D20" s="1">
        <f>'Asset Prices'!D20/'Asset Prices'!D21-1</f>
        <v>5.5645242659670968E-2</v>
      </c>
      <c r="E20" s="1">
        <f>'Asset Prices'!E20/'Asset Prices'!E21-1</f>
        <v>4.8580404933674659E-2</v>
      </c>
      <c r="F20" s="1">
        <f>'Asset Prices'!F20/'Asset Prices'!F21-1</f>
        <v>4.3868764845605757E-2</v>
      </c>
      <c r="G20" s="1">
        <f>'Asset Prices'!G20/'Asset Prices'!G21-1</f>
        <v>3.4792551453773246E-2</v>
      </c>
      <c r="H20" s="1">
        <f>'Asset Prices'!H20/'Asset Prices'!H21-1</f>
        <v>3.9654985353151817E-2</v>
      </c>
      <c r="I20" s="1">
        <f>'Asset Prices'!I20/'Asset Prices'!I21-1</f>
        <v>5.6226415094340343E-3</v>
      </c>
      <c r="J20" s="1">
        <f>'Asset Prices'!J20/'Asset Prices'!J21-1</f>
        <v>2.1883434240279609E-3</v>
      </c>
      <c r="K20" s="1">
        <f>'Asset Prices'!K20/'Asset Prices'!K21-1</f>
        <v>2.884217418968249E-2</v>
      </c>
      <c r="L20" s="1">
        <f>'Asset Prices'!L20/'Asset Prices'!L21-1</f>
        <v>2.5176383215744336E-2</v>
      </c>
      <c r="M20" s="1">
        <f>'Asset Prices'!M20/'Asset Prices'!M21-1</f>
        <v>1.2890804838237013E-2</v>
      </c>
      <c r="N20" s="1">
        <f>'Asset Prices'!N20/'Asset Prices'!N21-1</f>
        <v>0.10815346427800554</v>
      </c>
      <c r="O20" s="1">
        <f>'Asset Prices'!O20/'Asset Prices'!O21-1</f>
        <v>-6.6797112205654319E-3</v>
      </c>
      <c r="P20" s="1">
        <f>'Asset Prices'!P20/'Asset Prices'!P21-1</f>
        <v>3.0712474060410333E-2</v>
      </c>
      <c r="Q20" s="1">
        <f>'Asset Prices'!Q20/'Asset Prices'!Q21-1</f>
        <v>0.14644600991464451</v>
      </c>
      <c r="R20" s="1">
        <f>'Asset Prices'!R20/'Asset Prices'!R21-1</f>
        <v>-7.856693903205425E-4</v>
      </c>
      <c r="S20" s="1">
        <f>'Asset Prices'!S20/'Asset Prices'!S21-1</f>
        <v>-8.176324209029473E-3</v>
      </c>
      <c r="T20" s="1">
        <f>'Asset Prices'!T20/'Asset Prices'!T21-1</f>
        <v>3.9267666307679638E-2</v>
      </c>
      <c r="U20" s="1">
        <f>'Asset Prices'!U20/'Asset Prices'!U21-1</f>
        <v>7.885085574572126E-2</v>
      </c>
      <c r="V20" s="1">
        <f>'Asset Prices'!V20/'Asset Prices'!V21-1</f>
        <v>3.0364132368639662E-2</v>
      </c>
      <c r="W20" s="1">
        <f>'Asset Prices'!W20/'Asset Prices'!W21-1</f>
        <v>1.3623007746416116E-2</v>
      </c>
      <c r="X20" s="1">
        <f>'Asset Prices'!X20/'Asset Prices'!X21-1</f>
        <v>0.10156950672645748</v>
      </c>
      <c r="Y20" s="1">
        <f>'Asset Prices'!Y20/'Asset Prices'!Y21-1</f>
        <v>-5.2052833626131667E-3</v>
      </c>
      <c r="Z20" s="1">
        <f>'Asset Prices'!Z20/'Asset Prices'!Z21-1</f>
        <v>5.7180120812740043E-2</v>
      </c>
      <c r="AA20" s="1">
        <f>'Asset Prices'!AA20/'Asset Prices'!AA21-1</f>
        <v>5.0964605802825469E-2</v>
      </c>
      <c r="AB20" s="1">
        <f>'Asset Prices'!AB20/'Asset Prices'!AB21-1</f>
        <v>4.4670050761421276E-2</v>
      </c>
      <c r="AC20" s="1">
        <f>'Asset Prices'!AC20/'Asset Prices'!AC21-1</f>
        <v>-1.8959731543624181E-2</v>
      </c>
      <c r="AD20" s="1">
        <f>'Asset Prices'!AD20/'Asset Prices'!AD21-1</f>
        <v>2.973750763059213E-2</v>
      </c>
      <c r="AE20" s="1">
        <f>'Asset Prices'!AE20/'Asset Prices'!AE21-1</f>
        <v>6.7522018049364085E-2</v>
      </c>
      <c r="AF20" s="1">
        <f>'Asset Prices'!AF20/'Asset Prices'!AF21-1</f>
        <v>8.8202866593163343E-3</v>
      </c>
      <c r="AG20" s="1">
        <f>'Asset Prices'!AG20/'Asset Prices'!AG21-1</f>
        <v>-5.6381342901076326E-2</v>
      </c>
      <c r="AH20" s="1">
        <f>'Asset Prices'!AH20/'Asset Prices'!AH21-1</f>
        <v>8.7211863162531156E-2</v>
      </c>
      <c r="AI20" s="1">
        <f>'Asset Prices'!AI20/'Asset Prices'!AI21-1</f>
        <v>5.3735737946264184E-2</v>
      </c>
      <c r="AJ20" s="1">
        <f>'Asset Prices'!AJ20/'Asset Prices'!AJ21-1</f>
        <v>1.8923933209647581E-2</v>
      </c>
      <c r="AK20" s="1">
        <f>'Asset Prices'!AK20/'Asset Prices'!AK21-1</f>
        <v>8.8737201365187701E-2</v>
      </c>
      <c r="AL20" s="1">
        <f>'Asset Prices'!AL20/'Asset Prices'!AL21-1</f>
        <v>0</v>
      </c>
      <c r="AM20" s="1">
        <f>'Asset Prices'!AM20/'Asset Prices'!AM21-1</f>
        <v>7.8281145902732163E-3</v>
      </c>
      <c r="AN20" s="1">
        <f>'Asset Prices'!AN20/'Asset Prices'!AN21-1</f>
        <v>3.0782608695652192E-2</v>
      </c>
      <c r="AO20" s="1">
        <f>'Asset Prices'!AO20/'Asset Prices'!AO21-1</f>
        <v>-4.1538739389560542E-3</v>
      </c>
      <c r="AP20" s="1">
        <f>'Asset Prices'!AP20/'Asset Prices'!AP21-1</f>
        <v>4.7182775996335469E-2</v>
      </c>
      <c r="AQ20" s="1">
        <f>'Asset Prices'!AQ20/'Asset Prices'!AQ21-1</f>
        <v>2.2435897435897356E-2</v>
      </c>
      <c r="AR20" s="1">
        <f>'Asset Prices'!AR20/'Asset Prices'!AR21-1</f>
        <v>-3.4655951783023609E-2</v>
      </c>
      <c r="AS20" s="1">
        <f>'Asset Prices'!AS20/'Asset Prices'!AS21-1</f>
        <v>4.7120418848167533E-2</v>
      </c>
      <c r="AT20" s="1">
        <f>'Asset Prices'!AT20/'Asset Prices'!AT21-1</f>
        <v>3.1962238705326884E-2</v>
      </c>
      <c r="AU20" s="1">
        <f>'Asset Prices'!AU20/'Asset Prices'!AU21-1</f>
        <v>-5.1520237305334726E-3</v>
      </c>
      <c r="AV20" s="1">
        <f>'Asset Prices'!AV20/'Asset Prices'!AV21-1</f>
        <v>3.1787693205016065E-2</v>
      </c>
      <c r="AW20" s="1">
        <f>'Asset Prices'!AW20/'Asset Prices'!AW21-1</f>
        <v>0.10695726363142799</v>
      </c>
      <c r="AX20" s="1">
        <f>'Asset Prices'!AX20/'Asset Prices'!AX21-1</f>
        <v>-8.9834515366429279E-3</v>
      </c>
      <c r="AY20" s="1">
        <f>'Asset Prices'!AY20/'Asset Prices'!AY21-1</f>
        <v>0.21076653013458158</v>
      </c>
      <c r="AZ20" s="1">
        <f>'Asset Prices'!AZ20/'Asset Prices'!AZ21-1</f>
        <v>7.7114649115004985E-2</v>
      </c>
      <c r="BA20" s="1">
        <f>'Asset Prices'!BA20/'Asset Prices'!BA21-1</f>
        <v>7.3871764858889133E-2</v>
      </c>
      <c r="BB20" s="1">
        <f>'Asset Prices'!BB20/'Asset Prices'!BB21-1</f>
        <v>-8.7611225188227726E-3</v>
      </c>
      <c r="BC20" s="1">
        <f>'Asset Prices'!BC20/'Asset Prices'!BC21-1</f>
        <v>0.16803322329890324</v>
      </c>
      <c r="BD20" s="1">
        <f>'Asset Prices'!BD20/'Asset Prices'!BD21-1</f>
        <v>-1.2134831460674178E-2</v>
      </c>
    </row>
    <row r="21" spans="3:56" x14ac:dyDescent="0.25">
      <c r="C21" s="38">
        <f>'Asset Prices'!C21</f>
        <v>44224</v>
      </c>
      <c r="D21" s="1">
        <f>'Asset Prices'!D21/'Asset Prices'!D22-1</f>
        <v>-3.3733060349029897E-2</v>
      </c>
      <c r="E21" s="1">
        <f>'Asset Prices'!E21/'Asset Prices'!E22-1</f>
        <v>3.5030359645025211E-3</v>
      </c>
      <c r="F21" s="1">
        <f>'Asset Prices'!F21/'Asset Prices'!F22-1</f>
        <v>-4.8654756020055201E-2</v>
      </c>
      <c r="G21" s="1">
        <f>'Asset Prices'!G21/'Asset Prices'!G22-1</f>
        <v>1.6337199803939662E-4</v>
      </c>
      <c r="H21" s="1">
        <f>'Asset Prices'!H21/'Asset Prices'!H22-1</f>
        <v>-4.0844997138248629E-2</v>
      </c>
      <c r="I21" s="1">
        <f>'Asset Prices'!I21/'Asset Prices'!I22-1</f>
        <v>-2.8841572910176971E-2</v>
      </c>
      <c r="J21" s="1">
        <f>'Asset Prices'!J21/'Asset Prices'!J22-1</f>
        <v>1.6073646525900376E-3</v>
      </c>
      <c r="K21" s="1">
        <f>'Asset Prices'!K21/'Asset Prices'!K22-1</f>
        <v>-2.0976779488296016E-2</v>
      </c>
      <c r="L21" s="1">
        <f>'Asset Prices'!L21/'Asset Prices'!L22-1</f>
        <v>-7.1123068432671133E-2</v>
      </c>
      <c r="M21" s="1">
        <f>'Asset Prices'!M21/'Asset Prices'!M22-1</f>
        <v>6.2052718140196417E-2</v>
      </c>
      <c r="N21" s="1">
        <f>'Asset Prices'!N21/'Asset Prices'!N22-1</f>
        <v>-1.6426505320701668E-2</v>
      </c>
      <c r="O21" s="1">
        <f>'Asset Prices'!O21/'Asset Prices'!O22-1</f>
        <v>-5.1684789904683504E-3</v>
      </c>
      <c r="P21" s="1">
        <f>'Asset Prices'!P21/'Asset Prices'!P22-1</f>
        <v>-5.1773142682233653E-2</v>
      </c>
      <c r="Q21" s="1">
        <f>'Asset Prices'!Q21/'Asset Prices'!Q22-1</f>
        <v>-1.3295084680310931E-2</v>
      </c>
      <c r="R21" s="1">
        <f>'Asset Prices'!R21/'Asset Prices'!R22-1</f>
        <v>-2.257717708493312E-2</v>
      </c>
      <c r="S21" s="1">
        <f>'Asset Prices'!S21/'Asset Prices'!S22-1</f>
        <v>1.3328530259365978E-2</v>
      </c>
      <c r="T21" s="1">
        <f>'Asset Prices'!T21/'Asset Prices'!T22-1</f>
        <v>-4.6675090822934862E-2</v>
      </c>
      <c r="U21" s="1">
        <f>'Asset Prices'!U21/'Asset Prices'!U22-1</f>
        <v>-0.11375947995666313</v>
      </c>
      <c r="V21" s="1">
        <f>'Asset Prices'!V21/'Asset Prices'!V22-1</f>
        <v>8.4928229665073296E-3</v>
      </c>
      <c r="W21" s="1">
        <f>'Asset Prices'!W21/'Asset Prices'!W22-1</f>
        <v>-1.9126637554585102E-2</v>
      </c>
      <c r="X21" s="1">
        <f>'Asset Prices'!X21/'Asset Prices'!X22-1</f>
        <v>-6.6359639941385828E-2</v>
      </c>
      <c r="Y21" s="1">
        <f>'Asset Prices'!Y21/'Asset Prices'!Y22-1</f>
        <v>-2.53115264797521E-3</v>
      </c>
      <c r="Z21" s="1">
        <f>'Asset Prices'!Z21/'Asset Prices'!Z22-1</f>
        <v>1.5812994156068072E-3</v>
      </c>
      <c r="AA21" s="1">
        <f>'Asset Prices'!AA21/'Asset Prices'!AA22-1</f>
        <v>-7.6718092566619878E-2</v>
      </c>
      <c r="AB21" s="1">
        <f>'Asset Prices'!AB21/'Asset Prices'!AB22-1</f>
        <v>-4.8309178743961345E-2</v>
      </c>
      <c r="AC21" s="1">
        <f>'Asset Prices'!AC21/'Asset Prices'!AC22-1</f>
        <v>-6.6927592954990178E-2</v>
      </c>
      <c r="AD21" s="1">
        <f>'Asset Prices'!AD21/'Asset Prices'!AD22-1</f>
        <v>-4.4814660558100794E-2</v>
      </c>
      <c r="AE21" s="1">
        <f>'Asset Prices'!AE21/'Asset Prices'!AE22-1</f>
        <v>-3.3827082676751719E-2</v>
      </c>
      <c r="AF21" s="1">
        <f>'Asset Prices'!AF21/'Asset Prices'!AF22-1</f>
        <v>-4.2238648363252307E-2</v>
      </c>
      <c r="AG21" s="1">
        <f>'Asset Prices'!AG21/'Asset Prices'!AG22-1</f>
        <v>4.6673819742489187E-2</v>
      </c>
      <c r="AH21" s="1">
        <f>'Asset Prices'!AH21/'Asset Prices'!AH22-1</f>
        <v>4.8686928297432264E-3</v>
      </c>
      <c r="AI21" s="1">
        <f>'Asset Prices'!AI21/'Asset Prices'!AI22-1</f>
        <v>-5.0995459308417646E-2</v>
      </c>
      <c r="AJ21" s="1">
        <f>'Asset Prices'!AJ21/'Asset Prices'!AJ22-1</f>
        <v>8.9769510715729917E-2</v>
      </c>
      <c r="AK21" s="1">
        <f>'Asset Prices'!AK21/'Asset Prices'!AK22-1</f>
        <v>-4.0602488539620119E-2</v>
      </c>
      <c r="AL21" s="1">
        <f>'Asset Prices'!AL21/'Asset Prices'!AL22-1</f>
        <v>-7.4161469745490649E-3</v>
      </c>
      <c r="AM21" s="1">
        <f>'Asset Prices'!AM21/'Asset Prices'!AM22-1</f>
        <v>-8.788454234713261E-2</v>
      </c>
      <c r="AN21" s="1">
        <f>'Asset Prices'!AN21/'Asset Prices'!AN22-1</f>
        <v>-5.5829228243021278E-2</v>
      </c>
      <c r="AO21" s="1">
        <f>'Asset Prices'!AO21/'Asset Prices'!AO22-1</f>
        <v>-3.3176182992840975E-2</v>
      </c>
      <c r="AP21" s="1">
        <f>'Asset Prices'!AP21/'Asset Prices'!AP22-1</f>
        <v>-3.7760799294740077E-2</v>
      </c>
      <c r="AQ21" s="1">
        <f>'Asset Prices'!AQ21/'Asset Prices'!AQ22-1</f>
        <v>-1.9496013501716924E-2</v>
      </c>
      <c r="AR21" s="1">
        <f>'Asset Prices'!AR21/'Asset Prices'!AR22-1</f>
        <v>-4.1405873856523945E-2</v>
      </c>
      <c r="AS21" s="1">
        <f>'Asset Prices'!AS21/'Asset Prices'!AS22-1</f>
        <v>-6.9324090121315463E-3</v>
      </c>
      <c r="AT21" s="1">
        <f>'Asset Prices'!AT21/'Asset Prices'!AT22-1</f>
        <v>-3.4882207471039872E-2</v>
      </c>
      <c r="AU21" s="1">
        <f>'Asset Prices'!AU21/'Asset Prices'!AU22-1</f>
        <v>-2.1725849560901067E-2</v>
      </c>
      <c r="AV21" s="1">
        <f>'Asset Prices'!AV21/'Asset Prices'!AV22-1</f>
        <v>-4.5644308377400522E-2</v>
      </c>
      <c r="AW21" s="1">
        <f>'Asset Prices'!AW21/'Asset Prices'!AW22-1</f>
        <v>-4.3853360690183529E-2</v>
      </c>
      <c r="AX21" s="1">
        <f>'Asset Prices'!AX21/'Asset Prices'!AX22-1</f>
        <v>-6.4159292035398385E-2</v>
      </c>
      <c r="AY21" s="1">
        <f>'Asset Prices'!AY21/'Asset Prices'!AY22-1</f>
        <v>-6.8258641369534301E-2</v>
      </c>
      <c r="AZ21" s="1">
        <f>'Asset Prices'!AZ21/'Asset Prices'!AZ22-1</f>
        <v>-2.2942556704614536E-2</v>
      </c>
      <c r="BA21" s="1">
        <f>'Asset Prices'!BA21/'Asset Prices'!BA22-1</f>
        <v>-2.6004420751524204E-4</v>
      </c>
      <c r="BB21" s="1">
        <f>'Asset Prices'!BB21/'Asset Prices'!BB22-1</f>
        <v>3.440951571792672E-2</v>
      </c>
      <c r="BC21" s="1">
        <f>'Asset Prices'!BC21/'Asset Prices'!BC22-1</f>
        <v>-1.2772667542707006E-2</v>
      </c>
      <c r="BD21" s="1">
        <f>'Asset Prices'!BD21/'Asset Prices'!BD22-1</f>
        <v>-3.0571490814029545E-2</v>
      </c>
    </row>
    <row r="22" spans="3:56" x14ac:dyDescent="0.25">
      <c r="C22" s="38">
        <f>'Asset Prices'!C22</f>
        <v>44217</v>
      </c>
      <c r="D22" s="1">
        <f>'Asset Prices'!D22/'Asset Prices'!D23-1</f>
        <v>1.6248885366095145E-2</v>
      </c>
      <c r="E22" s="1">
        <f>'Asset Prices'!E22/'Asset Prices'!E23-1</f>
        <v>-1.2396932479963096E-2</v>
      </c>
      <c r="F22" s="1">
        <f>'Asset Prices'!F22/'Asset Prices'!F23-1</f>
        <v>2.1939136588817743E-3</v>
      </c>
      <c r="G22" s="1">
        <f>'Asset Prices'!G22/'Asset Prices'!G23-1</f>
        <v>-6.3311688311687986E-3</v>
      </c>
      <c r="H22" s="1">
        <f>'Asset Prices'!H22/'Asset Prices'!H23-1</f>
        <v>-2.6393110435663614E-2</v>
      </c>
      <c r="I22" s="1">
        <f>'Asset Prices'!I22/'Asset Prices'!I23-1</f>
        <v>0.1108532812245564</v>
      </c>
      <c r="J22" s="1">
        <f>'Asset Prices'!J22/'Asset Prices'!J23-1</f>
        <v>6.1748506710107787E-2</v>
      </c>
      <c r="K22" s="1">
        <f>'Asset Prices'!K22/'Asset Prices'!K23-1</f>
        <v>5.7401030225709526E-2</v>
      </c>
      <c r="L22" s="1">
        <f>'Asset Prices'!L22/'Asset Prices'!L23-1</f>
        <v>0.15768877530647285</v>
      </c>
      <c r="M22" s="1">
        <f>'Asset Prices'!M22/'Asset Prices'!M23-1</f>
        <v>5.6098018965355267E-2</v>
      </c>
      <c r="N22" s="1">
        <f>'Asset Prices'!N22/'Asset Prices'!N23-1</f>
        <v>8.8525177362327456E-2</v>
      </c>
      <c r="O22" s="1">
        <f>'Asset Prices'!O22/'Asset Prices'!O23-1</f>
        <v>1.0582010582010692E-2</v>
      </c>
      <c r="P22" s="1">
        <f>'Asset Prices'!P22/'Asset Prices'!P23-1</f>
        <v>2.1393479231799795E-2</v>
      </c>
      <c r="Q22" s="1">
        <f>'Asset Prices'!Q22/'Asset Prices'!Q23-1</f>
        <v>-1.9526179143228073E-2</v>
      </c>
      <c r="R22" s="1">
        <f>'Asset Prices'!R22/'Asset Prices'!R23-1</f>
        <v>2.4386406544996797E-2</v>
      </c>
      <c r="S22" s="1">
        <f>'Asset Prices'!S22/'Asset Prices'!S23-1</f>
        <v>-1.595179014533854E-2</v>
      </c>
      <c r="T22" s="1">
        <f>'Asset Prices'!T22/'Asset Prices'!T23-1</f>
        <v>-1.7916698983944768E-2</v>
      </c>
      <c r="U22" s="1">
        <f>'Asset Prices'!U22/'Asset Prices'!U23-1</f>
        <v>-5.3879310344827624E-3</v>
      </c>
      <c r="V22" s="1">
        <f>'Asset Prices'!V22/'Asset Prices'!V23-1</f>
        <v>0.11451806425809874</v>
      </c>
      <c r="W22" s="1">
        <f>'Asset Prices'!W22/'Asset Prices'!W23-1</f>
        <v>5.0912921348313933E-3</v>
      </c>
      <c r="X22" s="1">
        <f>'Asset Prices'!X22/'Asset Prices'!X23-1</f>
        <v>-2.1507578861122423E-2</v>
      </c>
      <c r="Y22" s="1">
        <f>'Asset Prices'!Y22/'Asset Prices'!Y23-1</f>
        <v>5.3322395406070644E-2</v>
      </c>
      <c r="Z22" s="1">
        <f>'Asset Prices'!Z22/'Asset Prices'!Z23-1</f>
        <v>1.358885017421585E-2</v>
      </c>
      <c r="AA22" s="1">
        <f>'Asset Prices'!AA22/'Asset Prices'!AA23-1</f>
        <v>6.8164794007490537E-2</v>
      </c>
      <c r="AB22" s="1">
        <f>'Asset Prices'!AB22/'Asset Prices'!AB23-1</f>
        <v>4.4399596367305616E-2</v>
      </c>
      <c r="AC22" s="1">
        <f>'Asset Prices'!AC22/'Asset Prices'!AC23-1</f>
        <v>-4.9460606768703119E-3</v>
      </c>
      <c r="AD22" s="1">
        <f>'Asset Prices'!AD22/'Asset Prices'!AD23-1</f>
        <v>-6.2086092715232244E-3</v>
      </c>
      <c r="AE22" s="1">
        <f>'Asset Prices'!AE22/'Asset Prices'!AE23-1</f>
        <v>3.4898891063274595E-2</v>
      </c>
      <c r="AF22" s="1">
        <f>'Asset Prices'!AF22/'Asset Prices'!AF23-1</f>
        <v>-1.6955017301037989E-2</v>
      </c>
      <c r="AG22" s="1">
        <f>'Asset Prices'!AG22/'Asset Prices'!AG23-1</f>
        <v>-3.4196891191709766E-2</v>
      </c>
      <c r="AH22" s="1">
        <f>'Asset Prices'!AH22/'Asset Prices'!AH23-1</f>
        <v>1.0435301132975638E-2</v>
      </c>
      <c r="AI22" s="1">
        <f>'Asset Prices'!AI22/'Asset Prices'!AI23-1</f>
        <v>1.0489510489508636E-3</v>
      </c>
      <c r="AJ22" s="1">
        <f>'Asset Prices'!AJ22/'Asset Prices'!AJ23-1</f>
        <v>2.4321037697607739E-3</v>
      </c>
      <c r="AK22" s="1">
        <f>'Asset Prices'!AK22/'Asset Prices'!AK23-1</f>
        <v>-2.8625954198473358E-2</v>
      </c>
      <c r="AL22" s="1">
        <f>'Asset Prices'!AL22/'Asset Prices'!AL23-1</f>
        <v>-3.7319487262696849E-2</v>
      </c>
      <c r="AM22" s="1">
        <f>'Asset Prices'!AM22/'Asset Prices'!AM23-1</f>
        <v>2.0780026362720028E-2</v>
      </c>
      <c r="AN22" s="1">
        <f>'Asset Prices'!AN22/'Asset Prices'!AN23-1</f>
        <v>6.0711188204682909E-3</v>
      </c>
      <c r="AO22" s="1">
        <f>'Asset Prices'!AO22/'Asset Prices'!AO23-1</f>
        <v>4.0322580645162365E-3</v>
      </c>
      <c r="AP22" s="1">
        <f>'Asset Prices'!AP22/'Asset Prices'!AP23-1</f>
        <v>5.8806233460750867E-4</v>
      </c>
      <c r="AQ22" s="1">
        <f>'Asset Prices'!AQ22/'Asset Prices'!AQ23-1</f>
        <v>5.1477040070198044E-3</v>
      </c>
      <c r="AR22" s="1">
        <f>'Asset Prices'!AR22/'Asset Prices'!AR23-1</f>
        <v>-1.6106110847939337E-2</v>
      </c>
      <c r="AS22" s="1">
        <f>'Asset Prices'!AS22/'Asset Prices'!AS23-1</f>
        <v>0</v>
      </c>
      <c r="AT22" s="1">
        <f>'Asset Prices'!AT22/'Asset Prices'!AT23-1</f>
        <v>1.7481128327373696E-2</v>
      </c>
      <c r="AU22" s="1">
        <f>'Asset Prices'!AU22/'Asset Prices'!AU23-1</f>
        <v>1.6022035147612135E-2</v>
      </c>
      <c r="AV22" s="1">
        <f>'Asset Prices'!AV22/'Asset Prices'!AV23-1</f>
        <v>-1.9823588251341229E-2</v>
      </c>
      <c r="AW22" s="1">
        <f>'Asset Prices'!AW22/'Asset Prices'!AW23-1</f>
        <v>-2.0484757500181638E-2</v>
      </c>
      <c r="AX22" s="1">
        <f>'Asset Prices'!AX22/'Asset Prices'!AX23-1</f>
        <v>1.1638316920322467E-2</v>
      </c>
      <c r="AY22" s="1">
        <f>'Asset Prices'!AY22/'Asset Prices'!AY23-1</f>
        <v>9.6884289331717888E-3</v>
      </c>
      <c r="AZ22" s="1">
        <f>'Asset Prices'!AZ22/'Asset Prices'!AZ23-1</f>
        <v>-1.0320805022791868E-2</v>
      </c>
      <c r="BA22" s="1">
        <f>'Asset Prices'!BA22/'Asset Prices'!BA23-1</f>
        <v>2.1923996811054947E-2</v>
      </c>
      <c r="BB22" s="1">
        <f>'Asset Prices'!BB22/'Asset Prices'!BB23-1</f>
        <v>-1.1754827875734564E-2</v>
      </c>
      <c r="BC22" s="1">
        <f>'Asset Prices'!BC22/'Asset Prices'!BC23-1</f>
        <v>-2.9881189128550423E-2</v>
      </c>
      <c r="BD22" s="1">
        <f>'Asset Prices'!BD22/'Asset Prices'!BD23-1</f>
        <v>-1.0206281894630798E-2</v>
      </c>
    </row>
    <row r="23" spans="3:56" x14ac:dyDescent="0.25">
      <c r="C23" s="38">
        <f>'Asset Prices'!C23</f>
        <v>44210</v>
      </c>
      <c r="D23" s="1">
        <f>'Asset Prices'!D23/'Asset Prices'!D24-1</f>
        <v>-5.5890744118609947E-2</v>
      </c>
      <c r="E23" s="1">
        <f>'Asset Prices'!E23/'Asset Prices'!E24-1</f>
        <v>-2.8838615746444196E-2</v>
      </c>
      <c r="F23" s="1">
        <f>'Asset Prices'!F23/'Asset Prices'!F24-1</f>
        <v>-2.5181096929975721E-2</v>
      </c>
      <c r="G23" s="1">
        <f>'Asset Prices'!G23/'Asset Prices'!G24-1</f>
        <v>-2.3307436182019914E-2</v>
      </c>
      <c r="H23" s="1">
        <f>'Asset Prices'!H23/'Asset Prices'!H24-1</f>
        <v>1.6320856716264265E-2</v>
      </c>
      <c r="I23" s="1">
        <f>'Asset Prices'!I23/'Asset Prices'!I24-1</f>
        <v>-8.5956686760437662E-2</v>
      </c>
      <c r="J23" s="1">
        <f>'Asset Prices'!J23/'Asset Prices'!J24-1</f>
        <v>-1.5352887259394987E-2</v>
      </c>
      <c r="K23" s="1">
        <f>'Asset Prices'!K23/'Asset Prices'!K24-1</f>
        <v>-1.0970349381435485E-2</v>
      </c>
      <c r="L23" s="1">
        <f>'Asset Prices'!L23/'Asset Prices'!L24-1</f>
        <v>-1.5779441529603644E-2</v>
      </c>
      <c r="M23" s="1">
        <f>'Asset Prices'!M23/'Asset Prices'!M24-1</f>
        <v>-2.4142196161070051E-2</v>
      </c>
      <c r="N23" s="1">
        <f>'Asset Prices'!N23/'Asset Prices'!N24-1</f>
        <v>-2.4471070933417383E-2</v>
      </c>
      <c r="O23" s="1">
        <f>'Asset Prices'!O23/'Asset Prices'!O24-1</f>
        <v>-2.4806509228021412E-2</v>
      </c>
      <c r="P23" s="1">
        <f>'Asset Prices'!P23/'Asset Prices'!P24-1</f>
        <v>-2.171538427928521E-2</v>
      </c>
      <c r="Q23" s="1">
        <f>'Asset Prices'!Q23/'Asset Prices'!Q24-1</f>
        <v>-6.6623683644960741E-3</v>
      </c>
      <c r="R23" s="1">
        <f>'Asset Prices'!R23/'Asset Prices'!R24-1</f>
        <v>-2.4554941682013443E-2</v>
      </c>
      <c r="S23" s="1">
        <f>'Asset Prices'!S23/'Asset Prices'!S24-1</f>
        <v>1.6943042537851616E-2</v>
      </c>
      <c r="T23" s="1">
        <f>'Asset Prices'!T23/'Asset Prices'!T24-1</f>
        <v>-1.0893747602608306E-2</v>
      </c>
      <c r="U23" s="1">
        <f>'Asset Prices'!U23/'Asset Prices'!U24-1</f>
        <v>-4.2476354256233861E-2</v>
      </c>
      <c r="V23" s="1">
        <f>'Asset Prices'!V23/'Asset Prices'!V24-1</f>
        <v>-8.9840137402562581E-3</v>
      </c>
      <c r="W23" s="1">
        <f>'Asset Prices'!W23/'Asset Prices'!W24-1</f>
        <v>5.7654813852010101E-2</v>
      </c>
      <c r="X23" s="1">
        <f>'Asset Prices'!X23/'Asset Prices'!X24-1</f>
        <v>3.1481090217621022E-2</v>
      </c>
      <c r="Y23" s="1">
        <f>'Asset Prices'!Y23/'Asset Prices'!Y24-1</f>
        <v>9.8722816706937611E-3</v>
      </c>
      <c r="Z23" s="1">
        <f>'Asset Prices'!Z23/'Asset Prices'!Z24-1</f>
        <v>-2.2679288973643019E-2</v>
      </c>
      <c r="AA23" s="1">
        <f>'Asset Prices'!AA23/'Asset Prices'!AA24-1</f>
        <v>-2.0039638846069074E-2</v>
      </c>
      <c r="AB23" s="1">
        <f>'Asset Prices'!AB23/'Asset Prices'!AB24-1</f>
        <v>7.1138211382113514E-3</v>
      </c>
      <c r="AC23" s="1">
        <f>'Asset Prices'!AC23/'Asset Prices'!AC24-1</f>
        <v>6.6453461810026093E-2</v>
      </c>
      <c r="AD23" s="1">
        <f>'Asset Prices'!AD23/'Asset Prices'!AD24-1</f>
        <v>-4.7994325793994874E-2</v>
      </c>
      <c r="AE23" s="1">
        <f>'Asset Prices'!AE23/'Asset Prices'!AE24-1</f>
        <v>1.5231788079470343E-2</v>
      </c>
      <c r="AF23" s="1">
        <f>'Asset Prices'!AF23/'Asset Prices'!AF24-1</f>
        <v>7.3950204384986895E-2</v>
      </c>
      <c r="AG23" s="1">
        <f>'Asset Prices'!AG23/'Asset Prices'!AG24-1</f>
        <v>3.7299795764807131E-2</v>
      </c>
      <c r="AH23" s="1">
        <f>'Asset Prices'!AH23/'Asset Prices'!AH24-1</f>
        <v>7.0710295291300795E-2</v>
      </c>
      <c r="AI23" s="1">
        <f>'Asset Prices'!AI23/'Asset Prices'!AI24-1</f>
        <v>2.3255813953488413E-2</v>
      </c>
      <c r="AJ23" s="1">
        <f>'Asset Prices'!AJ23/'Asset Prices'!AJ24-1</f>
        <v>-3.6328124999999933E-2</v>
      </c>
      <c r="AK23" s="1">
        <f>'Asset Prices'!AK23/'Asset Prices'!AK24-1</f>
        <v>8.3390764989662358E-2</v>
      </c>
      <c r="AL23" s="1">
        <f>'Asset Prices'!AL23/'Asset Prices'!AL24-1</f>
        <v>-6.7687348912166545E-3</v>
      </c>
      <c r="AM23" s="1">
        <f>'Asset Prices'!AM23/'Asset Prices'!AM24-1</f>
        <v>-1.5505077913025023E-4</v>
      </c>
      <c r="AN23" s="1">
        <f>'Asset Prices'!AN23/'Asset Prices'!AN24-1</f>
        <v>-6.5238798621368721E-3</v>
      </c>
      <c r="AO23" s="1">
        <f>'Asset Prices'!AO23/'Asset Prices'!AO24-1</f>
        <v>-2.5457030582607287E-2</v>
      </c>
      <c r="AP23" s="1">
        <f>'Asset Prices'!AP23/'Asset Prices'!AP24-1</f>
        <v>-2.689556509299007E-2</v>
      </c>
      <c r="AQ23" s="1">
        <f>'Asset Prices'!AQ23/'Asset Prices'!AQ24-1</f>
        <v>4.8515701668302214E-2</v>
      </c>
      <c r="AR23" s="1">
        <f>'Asset Prices'!AR23/'Asset Prices'!AR24-1</f>
        <v>-2.7786306416948126E-2</v>
      </c>
      <c r="AS23" s="1">
        <f>'Asset Prices'!AS23/'Asset Prices'!AS24-1</f>
        <v>-6.5334773218142628E-2</v>
      </c>
      <c r="AT23" s="1">
        <f>'Asset Prices'!AT23/'Asset Prices'!AT24-1</f>
        <v>-1.0583410504034774E-3</v>
      </c>
      <c r="AU23" s="1">
        <f>'Asset Prices'!AU23/'Asset Prices'!AU24-1</f>
        <v>1.6844181459565899E-2</v>
      </c>
      <c r="AV23" s="1">
        <f>'Asset Prices'!AV23/'Asset Prices'!AV24-1</f>
        <v>-4.1655773420479325E-2</v>
      </c>
      <c r="AW23" s="1">
        <f>'Asset Prices'!AW23/'Asset Prices'!AW24-1</f>
        <v>-4.3428915551026126E-2</v>
      </c>
      <c r="AX23" s="1">
        <f>'Asset Prices'!AX23/'Asset Prices'!AX24-1</f>
        <v>-1.8884497145366663E-2</v>
      </c>
      <c r="AY23" s="1">
        <f>'Asset Prices'!AY23/'Asset Prices'!AY24-1</f>
        <v>-5.0292764533667933E-2</v>
      </c>
      <c r="AZ23" s="1">
        <f>'Asset Prices'!AZ23/'Asset Prices'!AZ24-1</f>
        <v>1.280487804878061E-2</v>
      </c>
      <c r="BA23" s="1">
        <f>'Asset Prices'!BA23/'Asset Prices'!BA24-1</f>
        <v>-2.2978060495910668E-2</v>
      </c>
      <c r="BB23" s="1">
        <f>'Asset Prices'!BB23/'Asset Prices'!BB24-1</f>
        <v>-3.9645208977288071E-2</v>
      </c>
      <c r="BC23" s="1">
        <f>'Asset Prices'!BC23/'Asset Prices'!BC24-1</f>
        <v>2.9286726499763827E-2</v>
      </c>
      <c r="BD23" s="1">
        <f>'Asset Prices'!BD23/'Asset Prices'!BD24-1</f>
        <v>-1.5071049232094902E-3</v>
      </c>
    </row>
    <row r="24" spans="3:56" x14ac:dyDescent="0.25">
      <c r="C24" s="38">
        <f>'Asset Prices'!C24</f>
        <v>44203</v>
      </c>
      <c r="D24" s="1">
        <f>'Asset Prices'!D24/'Asset Prices'!D25-1</f>
        <v>-2.2493485118639356E-2</v>
      </c>
      <c r="E24" s="1">
        <f>'Asset Prices'!E24/'Asset Prices'!E25-1</f>
        <v>-1.435036979799087E-2</v>
      </c>
      <c r="F24" s="1">
        <f>'Asset Prices'!F24/'Asset Prices'!F25-1</f>
        <v>2.4598854880893306E-2</v>
      </c>
      <c r="G24" s="1">
        <f>'Asset Prices'!G24/'Asset Prices'!G25-1</f>
        <v>-2.5042510434379328E-2</v>
      </c>
      <c r="H24" s="1">
        <f>'Asset Prices'!H24/'Asset Prices'!H25-1</f>
        <v>6.7080540599933958E-2</v>
      </c>
      <c r="I24" s="1">
        <f>'Asset Prices'!I24/'Asset Prices'!I25-1</f>
        <v>-1.6180992824718188E-2</v>
      </c>
      <c r="J24" s="1">
        <f>'Asset Prices'!J24/'Asset Prices'!J25-1</f>
        <v>-1.3339362423694379E-2</v>
      </c>
      <c r="K24" s="1">
        <f>'Asset Prices'!K24/'Asset Prices'!K25-1</f>
        <v>-2.9097954208410992E-2</v>
      </c>
      <c r="L24" s="1">
        <f>'Asset Prices'!L24/'Asset Prices'!L25-1</f>
        <v>-5.8883361381835697E-2</v>
      </c>
      <c r="M24" s="1">
        <f>'Asset Prices'!M24/'Asset Prices'!M25-1</f>
        <v>-1.8568474058088258E-2</v>
      </c>
      <c r="N24" s="1">
        <f>'Asset Prices'!N24/'Asset Prices'!N25-1</f>
        <v>1.2381321891546282E-2</v>
      </c>
      <c r="O24" s="1">
        <f>'Asset Prices'!O24/'Asset Prices'!O25-1</f>
        <v>-7.6150462811004349E-3</v>
      </c>
      <c r="P24" s="1">
        <f>'Asset Prices'!P24/'Asset Prices'!P25-1</f>
        <v>4.4829947500570677E-2</v>
      </c>
      <c r="Q24" s="1">
        <f>'Asset Prices'!Q24/'Asset Prices'!Q25-1</f>
        <v>4.4874433923425272E-2</v>
      </c>
      <c r="R24" s="1">
        <f>'Asset Prices'!R24/'Asset Prices'!R25-1</f>
        <v>-2.264886755662221E-2</v>
      </c>
      <c r="S24" s="1">
        <f>'Asset Prices'!S24/'Asset Prices'!S25-1</f>
        <v>-1.6312056737588732E-2</v>
      </c>
      <c r="T24" s="1">
        <f>'Asset Prices'!T24/'Asset Prices'!T25-1</f>
        <v>-1.1901152213462662E-2</v>
      </c>
      <c r="U24" s="1">
        <f>'Asset Prices'!U24/'Asset Prices'!U25-1</f>
        <v>-2.4328859060402719E-2</v>
      </c>
      <c r="V24" s="1">
        <f>'Asset Prices'!V24/'Asset Prices'!V25-1</f>
        <v>-7.0838252656435508E-3</v>
      </c>
      <c r="W24" s="1">
        <f>'Asset Prices'!W24/'Asset Prices'!W25-1</f>
        <v>7.9366670007014584E-2</v>
      </c>
      <c r="X24" s="1">
        <f>'Asset Prices'!X24/'Asset Prices'!X25-1</f>
        <v>1.5447328899377721E-2</v>
      </c>
      <c r="Y24" s="1">
        <f>'Asset Prices'!Y24/'Asset Prices'!Y25-1</f>
        <v>9.2795171633345719E-2</v>
      </c>
      <c r="Z24" s="1">
        <f>'Asset Prices'!Z24/'Asset Prices'!Z25-1</f>
        <v>3.408690752869914E-2</v>
      </c>
      <c r="AA24" s="1">
        <f>'Asset Prices'!AA24/'Asset Prices'!AA25-1</f>
        <v>2.228725799189557E-2</v>
      </c>
      <c r="AB24" s="1">
        <f>'Asset Prices'!AB24/'Asset Prices'!AB25-1</f>
        <v>-3.0395136778115228E-3</v>
      </c>
      <c r="AC24" s="1">
        <f>'Asset Prices'!AC24/'Asset Prices'!AC25-1</f>
        <v>4.7737162750217665E-2</v>
      </c>
      <c r="AD24" s="1">
        <f>'Asset Prices'!AD24/'Asset Prices'!AD25-1</f>
        <v>6.4513422818792021E-2</v>
      </c>
      <c r="AE24" s="1">
        <f>'Asset Prices'!AE24/'Asset Prices'!AE25-1</f>
        <v>8.217869087434293E-2</v>
      </c>
      <c r="AF24" s="1">
        <f>'Asset Prices'!AF24/'Asset Prices'!AF25-1</f>
        <v>0.16949152542372881</v>
      </c>
      <c r="AG24" s="1">
        <f>'Asset Prices'!AG24/'Asset Prices'!AG25-1</f>
        <v>0.13770331417390258</v>
      </c>
      <c r="AH24" s="1">
        <f>'Asset Prices'!AH24/'Asset Prices'!AH25-1</f>
        <v>0.11457036114570363</v>
      </c>
      <c r="AI24" s="1">
        <f>'Asset Prices'!AI24/'Asset Prices'!AI25-1</f>
        <v>3.5185185185185208E-2</v>
      </c>
      <c r="AJ24" s="1">
        <f>'Asset Prices'!AJ24/'Asset Prices'!AJ25-1</f>
        <v>1.7083829956297203E-2</v>
      </c>
      <c r="AK24" s="1">
        <f>'Asset Prices'!AK24/'Asset Prices'!AK25-1</f>
        <v>-2.0632737276478075E-3</v>
      </c>
      <c r="AL24" s="1">
        <f>'Asset Prices'!AL24/'Asset Prices'!AL25-1</f>
        <v>-1.2257242916268729E-2</v>
      </c>
      <c r="AM24" s="1">
        <f>'Asset Prices'!AM24/'Asset Prices'!AM25-1</f>
        <v>2.4706069272322884E-2</v>
      </c>
      <c r="AN24" s="1">
        <f>'Asset Prices'!AN24/'Asset Prices'!AN25-1</f>
        <v>-5.3868756121449035E-3</v>
      </c>
      <c r="AO24" s="1">
        <f>'Asset Prices'!AO24/'Asset Prices'!AO25-1</f>
        <v>-3.7446808510638308E-3</v>
      </c>
      <c r="AP24" s="1">
        <f>'Asset Prices'!AP24/'Asset Prices'!AP25-1</f>
        <v>2.3575926197100694E-2</v>
      </c>
      <c r="AQ24" s="1">
        <f>'Asset Prices'!AQ24/'Asset Prices'!AQ25-1</f>
        <v>-4.0320207192889534E-2</v>
      </c>
      <c r="AR24" s="1">
        <f>'Asset Prices'!AR24/'Asset Prices'!AR25-1</f>
        <v>8.7660711304057504E-2</v>
      </c>
      <c r="AS24" s="1">
        <f>'Asset Prices'!AS24/'Asset Prices'!AS25-1</f>
        <v>-1.1739594450373425E-2</v>
      </c>
      <c r="AT24" s="1">
        <f>'Asset Prices'!AT24/'Asset Prices'!AT25-1</f>
        <v>1.7910045785079376E-2</v>
      </c>
      <c r="AU24" s="1">
        <f>'Asset Prices'!AU24/'Asset Prices'!AU25-1</f>
        <v>1.3108464551194965E-2</v>
      </c>
      <c r="AV24" s="1">
        <f>'Asset Prices'!AV24/'Asset Prices'!AV25-1</f>
        <v>6.2106627175120277E-2</v>
      </c>
      <c r="AW24" s="1">
        <f>'Asset Prices'!AW24/'Asset Prices'!AW25-1</f>
        <v>-4.5351022664455454E-2</v>
      </c>
      <c r="AX24" s="1">
        <f>'Asset Prices'!AX24/'Asset Prices'!AX25-1</f>
        <v>-1.2575888985255856E-2</v>
      </c>
      <c r="AY24" s="1">
        <f>'Asset Prices'!AY24/'Asset Prices'!AY25-1</f>
        <v>0.14429289303661164</v>
      </c>
      <c r="AZ24" s="1">
        <f>'Asset Prices'!AZ24/'Asset Prices'!AZ25-1</f>
        <v>0.11359006693180707</v>
      </c>
      <c r="BA24" s="1">
        <f>'Asset Prices'!BA24/'Asset Prices'!BA25-1</f>
        <v>5.621829151240898E-2</v>
      </c>
      <c r="BB24" s="1">
        <f>'Asset Prices'!BB24/'Asset Prices'!BB25-1</f>
        <v>-3.0741174938126892E-2</v>
      </c>
      <c r="BC24" s="1">
        <f>'Asset Prices'!BC24/'Asset Prices'!BC25-1</f>
        <v>6.8167406467976033E-3</v>
      </c>
      <c r="BD24" s="1">
        <f>'Asset Prices'!BD24/'Asset Prices'!BD25-1</f>
        <v>2.2904125679048537E-2</v>
      </c>
    </row>
    <row r="25" spans="3:56" x14ac:dyDescent="0.25">
      <c r="C25" s="38">
        <f>'Asset Prices'!C25</f>
        <v>44196</v>
      </c>
      <c r="D25" s="1">
        <f>'Asset Prices'!D25/'Asset Prices'!D26-1</f>
        <v>4.8059415428845176E-2</v>
      </c>
      <c r="E25" s="1">
        <f>'Asset Prices'!E25/'Asset Prices'!E26-1</f>
        <v>4.288263397225589E-2</v>
      </c>
      <c r="F25" s="1">
        <f>'Asset Prices'!F25/'Asset Prices'!F26-1</f>
        <v>-9.1807909604513238E-4</v>
      </c>
      <c r="G25" s="1">
        <f>'Asset Prices'!G25/'Asset Prices'!G26-1</f>
        <v>-4.1564039408866771E-3</v>
      </c>
      <c r="H25" s="1">
        <f>'Asset Prices'!H25/'Asset Prices'!H26-1</f>
        <v>1.3700155936734237E-2</v>
      </c>
      <c r="I25" s="1">
        <f>'Asset Prices'!I25/'Asset Prices'!I26-1</f>
        <v>2.1540762902019672E-2</v>
      </c>
      <c r="J25" s="1">
        <f>'Asset Prices'!J25/'Asset Prices'!J26-1</f>
        <v>5.4557854057739608E-3</v>
      </c>
      <c r="K25" s="1">
        <f>'Asset Prices'!K25/'Asset Prices'!K26-1</f>
        <v>2.6551601322536866E-2</v>
      </c>
      <c r="L25" s="1">
        <f>'Asset Prices'!L25/'Asset Prices'!L26-1</f>
        <v>5.2065295639823317E-2</v>
      </c>
      <c r="M25" s="1">
        <f>'Asset Prices'!M25/'Asset Prices'!M26-1</f>
        <v>-1.481481481481528E-3</v>
      </c>
      <c r="N25" s="1">
        <f>'Asset Prices'!N25/'Asset Prices'!N26-1</f>
        <v>1.0656456151681537E-2</v>
      </c>
      <c r="O25" s="1">
        <f>'Asset Prices'!O25/'Asset Prices'!O26-1</f>
        <v>1.5871957319106622E-2</v>
      </c>
      <c r="P25" s="1">
        <f>'Asset Prices'!P25/'Asset Prices'!P26-1</f>
        <v>1.5013206060886963E-2</v>
      </c>
      <c r="Q25" s="1">
        <f>'Asset Prices'!Q25/'Asset Prices'!Q26-1</f>
        <v>1.2025831865613679E-2</v>
      </c>
      <c r="R25" s="1">
        <f>'Asset Prices'!R25/'Asset Prices'!R26-1</f>
        <v>3.1564289029862413E-2</v>
      </c>
      <c r="S25" s="1">
        <f>'Asset Prices'!S25/'Asset Prices'!S26-1</f>
        <v>4.8716995165488886E-2</v>
      </c>
      <c r="T25" s="1">
        <f>'Asset Prices'!T25/'Asset Prices'!T26-1</f>
        <v>2.4621359223300887E-2</v>
      </c>
      <c r="U25" s="1">
        <f>'Asset Prices'!U25/'Asset Prices'!U26-1</f>
        <v>4.5430626205928748E-2</v>
      </c>
      <c r="V25" s="1">
        <f>'Asset Prices'!V25/'Asset Prices'!V26-1</f>
        <v>-5.2219321148825104E-2</v>
      </c>
      <c r="W25" s="1">
        <f>'Asset Prices'!W25/'Asset Prices'!W26-1</f>
        <v>-2.6913700633837023E-2</v>
      </c>
      <c r="X25" s="1">
        <f>'Asset Prices'!X25/'Asset Prices'!X26-1</f>
        <v>7.1305099394987081E-3</v>
      </c>
      <c r="Y25" s="1">
        <f>'Asset Prices'!Y25/'Asset Prices'!Y26-1</f>
        <v>-5.8326229042341415E-2</v>
      </c>
      <c r="Z25" s="1">
        <f>'Asset Prices'!Z25/'Asset Prices'!Z26-1</f>
        <v>-9.2108017584257018E-3</v>
      </c>
      <c r="AA25" s="1">
        <f>'Asset Prices'!AA25/'Asset Prices'!AA26-1</f>
        <v>-3.8736204284786857E-2</v>
      </c>
      <c r="AB25" s="1">
        <f>'Asset Prices'!AB25/'Asset Prices'!AB26-1</f>
        <v>-4.0363269424824599E-3</v>
      </c>
      <c r="AC25" s="1">
        <f>'Asset Prices'!AC25/'Asset Prices'!AC26-1</f>
        <v>-1.4368432339695425E-2</v>
      </c>
      <c r="AD25" s="1">
        <f>'Asset Prices'!AD25/'Asset Prices'!AD26-1</f>
        <v>5.0360919926140113E-4</v>
      </c>
      <c r="AE25" s="1">
        <f>'Asset Prices'!AE25/'Asset Prices'!AE26-1</f>
        <v>-2.9783288909491334E-2</v>
      </c>
      <c r="AF25" s="1">
        <f>'Asset Prices'!AF25/'Asset Prices'!AF26-1</f>
        <v>4.7814207650273222E-2</v>
      </c>
      <c r="AG25" s="1">
        <f>'Asset Prices'!AG25/'Asset Prices'!AG26-1</f>
        <v>-8.9686098654709889E-3</v>
      </c>
      <c r="AH25" s="1">
        <f>'Asset Prices'!AH25/'Asset Prices'!AH26-1</f>
        <v>1.1153085087245884E-2</v>
      </c>
      <c r="AI25" s="1">
        <f>'Asset Prices'!AI25/'Asset Prices'!AI26-1</f>
        <v>-3.7776193870277974E-2</v>
      </c>
      <c r="AJ25" s="1">
        <f>'Asset Prices'!AJ25/'Asset Prices'!AJ26-1</f>
        <v>4.7904191616767733E-3</v>
      </c>
      <c r="AK25" s="1">
        <f>'Asset Prices'!AK25/'Asset Prices'!AK26-1</f>
        <v>7.6230076230074939E-3</v>
      </c>
      <c r="AL25" s="1">
        <f>'Asset Prices'!AL25/'Asset Prices'!AL26-1</f>
        <v>1.013024602026058E-2</v>
      </c>
      <c r="AM25" s="1">
        <f>'Asset Prices'!AM25/'Asset Prices'!AM26-1</f>
        <v>9.5436682973775167E-3</v>
      </c>
      <c r="AN25" s="1">
        <f>'Asset Prices'!AN25/'Asset Prices'!AN26-1</f>
        <v>3.3662363958491426E-2</v>
      </c>
      <c r="AO25" s="1">
        <f>'Asset Prices'!AO25/'Asset Prices'!AO26-1</f>
        <v>-1.529571719918521E-3</v>
      </c>
      <c r="AP25" s="1">
        <f>'Asset Prices'!AP25/'Asset Prices'!AP26-1</f>
        <v>1.9558077037921784E-2</v>
      </c>
      <c r="AQ25" s="1">
        <f>'Asset Prices'!AQ25/'Asset Prices'!AQ26-1</f>
        <v>-5.7214206437291915E-2</v>
      </c>
      <c r="AR25" s="1">
        <f>'Asset Prices'!AR25/'Asset Prices'!AR26-1</f>
        <v>-9.7552910052909336E-3</v>
      </c>
      <c r="AS25" s="1">
        <f>'Asset Prices'!AS25/'Asset Prices'!AS26-1</f>
        <v>5.4586381541924522E-2</v>
      </c>
      <c r="AT25" s="1">
        <f>'Asset Prices'!AT25/'Asset Prices'!AT26-1</f>
        <v>2.540734603700634E-2</v>
      </c>
      <c r="AU25" s="1">
        <f>'Asset Prices'!AU25/'Asset Prices'!AU26-1</f>
        <v>8.9922980765353433E-3</v>
      </c>
      <c r="AV25" s="1">
        <f>'Asset Prices'!AV25/'Asset Prices'!AV26-1</f>
        <v>-9.0800697055856139E-3</v>
      </c>
      <c r="AW25" s="1">
        <f>'Asset Prices'!AW25/'Asset Prices'!AW26-1</f>
        <v>-2.1379265574621886E-2</v>
      </c>
      <c r="AX25" s="1">
        <f>'Asset Prices'!AX25/'Asset Prices'!AX26-1</f>
        <v>3.0844881537773761E-2</v>
      </c>
      <c r="AY25" s="1">
        <f>'Asset Prices'!AY25/'Asset Prices'!AY26-1</f>
        <v>2.5773195876288568E-2</v>
      </c>
      <c r="AZ25" s="1">
        <f>'Asset Prices'!AZ25/'Asset Prices'!AZ26-1</f>
        <v>-1.1626780350740828E-3</v>
      </c>
      <c r="BA25" s="1">
        <f>'Asset Prices'!BA25/'Asset Prices'!BA26-1</f>
        <v>-5.2364864864864691E-2</v>
      </c>
      <c r="BB25" s="1">
        <f>'Asset Prices'!BB25/'Asset Prices'!BB26-1</f>
        <v>2.873938602220738E-3</v>
      </c>
      <c r="BC25" s="1">
        <f>'Asset Prices'!BC25/'Asset Prices'!BC26-1</f>
        <v>5.5850025107404111E-2</v>
      </c>
      <c r="BD25" s="1">
        <f>'Asset Prices'!BD25/'Asset Prices'!BD26-1</f>
        <v>2.7145226964258695E-2</v>
      </c>
    </row>
    <row r="26" spans="3:56" x14ac:dyDescent="0.25">
      <c r="C26" s="38">
        <f>'Asset Prices'!C26</f>
        <v>44189</v>
      </c>
      <c r="D26" s="1">
        <f>'Asset Prices'!D26/'Asset Prices'!D27-1</f>
        <v>-1.1743536319727355E-2</v>
      </c>
      <c r="E26" s="1">
        <f>'Asset Prices'!E26/'Asset Prices'!E27-1</f>
        <v>1.0371650821088263E-3</v>
      </c>
      <c r="F26" s="1">
        <f>'Asset Prices'!F26/'Asset Prices'!F27-1</f>
        <v>7.8291814946618299E-3</v>
      </c>
      <c r="G26" s="1">
        <f>'Asset Prices'!G26/'Asset Prices'!G27-1</f>
        <v>2.1223078132369011E-2</v>
      </c>
      <c r="H26" s="1">
        <f>'Asset Prices'!H26/'Asset Prices'!H27-1</f>
        <v>2.1767036892337277E-3</v>
      </c>
      <c r="I26" s="1">
        <f>'Asset Prices'!I26/'Asset Prices'!I27-1</f>
        <v>-2.5794229087729659E-2</v>
      </c>
      <c r="J26" s="1">
        <f>'Asset Prices'!J26/'Asset Prices'!J27-1</f>
        <v>2.540792540792558E-2</v>
      </c>
      <c r="K26" s="1">
        <f>'Asset Prices'!K26/'Asset Prices'!K27-1</f>
        <v>-1.9588514499023435E-2</v>
      </c>
      <c r="L26" s="1">
        <f>'Asset Prices'!L26/'Asset Prices'!L27-1</f>
        <v>-3.5522612122349306E-2</v>
      </c>
      <c r="M26" s="1">
        <f>'Asset Prices'!M26/'Asset Prices'!M27-1</f>
        <v>1.5176374077112476E-2</v>
      </c>
      <c r="N26" s="1">
        <f>'Asset Prices'!N26/'Asset Prices'!N27-1</f>
        <v>-3.6483559416492506E-3</v>
      </c>
      <c r="O26" s="1">
        <f>'Asset Prices'!O26/'Asset Prices'!O27-1</f>
        <v>-1.094914583470763E-2</v>
      </c>
      <c r="P26" s="1">
        <f>'Asset Prices'!P26/'Asset Prices'!P27-1</f>
        <v>-9.1368227731865037E-3</v>
      </c>
      <c r="Q26" s="1">
        <f>'Asset Prices'!Q26/'Asset Prices'!Q27-1</f>
        <v>2.4870899149451731E-3</v>
      </c>
      <c r="R26" s="1">
        <f>'Asset Prices'!R26/'Asset Prices'!R27-1</f>
        <v>-3.5517087001940117E-2</v>
      </c>
      <c r="S26" s="1">
        <f>'Asset Prices'!S26/'Asset Prices'!S27-1</f>
        <v>-1.6819012797074984E-2</v>
      </c>
      <c r="T26" s="1">
        <f>'Asset Prices'!T26/'Asset Prices'!T27-1</f>
        <v>-1.1819786629825746E-2</v>
      </c>
      <c r="U26" s="1">
        <f>'Asset Prices'!U26/'Asset Prices'!U27-1</f>
        <v>-5.7551447506104525E-3</v>
      </c>
      <c r="V26" s="1">
        <f>'Asset Prices'!V26/'Asset Prices'!V27-1</f>
        <v>6.0037523452158847E-3</v>
      </c>
      <c r="W26" s="1">
        <f>'Asset Prices'!W26/'Asset Prices'!W27-1</f>
        <v>2.0519835841312783E-3</v>
      </c>
      <c r="X26" s="1">
        <f>'Asset Prices'!X26/'Asset Prices'!X27-1</f>
        <v>-2.3712006898037874E-3</v>
      </c>
      <c r="Y26" s="1">
        <f>'Asset Prices'!Y26/'Asset Prices'!Y27-1</f>
        <v>-3.4766508948776087E-2</v>
      </c>
      <c r="Z26" s="1">
        <f>'Asset Prices'!Z26/'Asset Prices'!Z27-1</f>
        <v>4.8967940272288013E-2</v>
      </c>
      <c r="AA26" s="1">
        <f>'Asset Prices'!AA26/'Asset Prices'!AA27-1</f>
        <v>4.248759211911568E-2</v>
      </c>
      <c r="AB26" s="1">
        <f>'Asset Prices'!AB26/'Asset Prices'!AB27-1</f>
        <v>3.1217481789802326E-2</v>
      </c>
      <c r="AC26" s="1">
        <f>'Asset Prices'!AC26/'Asset Prices'!AC27-1</f>
        <v>-3.5214764545228761E-2</v>
      </c>
      <c r="AD26" s="1">
        <f>'Asset Prices'!AD26/'Asset Prices'!AD27-1</f>
        <v>-3.3562678301735094E-4</v>
      </c>
      <c r="AE26" s="1">
        <f>'Asset Prices'!AE26/'Asset Prices'!AE27-1</f>
        <v>4.5939393939393947E-2</v>
      </c>
      <c r="AF26" s="1">
        <f>'Asset Prices'!AF26/'Asset Prices'!AF27-1</f>
        <v>-4.9350649350649367E-2</v>
      </c>
      <c r="AG26" s="1">
        <f>'Asset Prices'!AG26/'Asset Prices'!AG27-1</f>
        <v>-7.6969332531569012E-3</v>
      </c>
      <c r="AH26" s="1">
        <f>'Asset Prices'!AH26/'Asset Prices'!AH27-1</f>
        <v>5.3838862559241862E-2</v>
      </c>
      <c r="AI26" s="1">
        <f>'Asset Prices'!AI26/'Asset Prices'!AI27-1</f>
        <v>2.5959780621572115E-2</v>
      </c>
      <c r="AJ26" s="1">
        <f>'Asset Prices'!AJ26/'Asset Prices'!AJ27-1</f>
        <v>2.4539877300613577E-2</v>
      </c>
      <c r="AK26" s="1">
        <f>'Asset Prices'!AK26/'Asset Prices'!AK27-1</f>
        <v>1.0504201680672232E-2</v>
      </c>
      <c r="AL26" s="1">
        <f>'Asset Prices'!AL26/'Asset Prices'!AL27-1</f>
        <v>-1.1287758346581911E-2</v>
      </c>
      <c r="AM26" s="1">
        <f>'Asset Prices'!AM26/'Asset Prices'!AM27-1</f>
        <v>-6.8498606133015061E-3</v>
      </c>
      <c r="AN26" s="1">
        <f>'Asset Prices'!AN26/'Asset Prices'!AN27-1</f>
        <v>-4.3679126417471847E-3</v>
      </c>
      <c r="AO26" s="1">
        <f>'Asset Prices'!AO26/'Asset Prices'!AO27-1</f>
        <v>-1.9496750541576291E-2</v>
      </c>
      <c r="AP26" s="1">
        <f>'Asset Prices'!AP26/'Asset Prices'!AP27-1</f>
        <v>-7.8506887868463604E-3</v>
      </c>
      <c r="AQ26" s="1">
        <f>'Asset Prices'!AQ26/'Asset Prices'!AQ27-1</f>
        <v>8.3844580777096001E-2</v>
      </c>
      <c r="AR26" s="1">
        <f>'Asset Prices'!AR26/'Asset Prices'!AR27-1</f>
        <v>-1.8818948734588004E-2</v>
      </c>
      <c r="AS26" s="1">
        <f>'Asset Prices'!AS26/'Asset Prices'!AS27-1</f>
        <v>2.8216704288939187E-3</v>
      </c>
      <c r="AT26" s="1">
        <f>'Asset Prices'!AT26/'Asset Prices'!AT27-1</f>
        <v>-2.7135948414830691E-2</v>
      </c>
      <c r="AU26" s="1">
        <f>'Asset Prices'!AU26/'Asset Prices'!AU27-1</f>
        <v>-2.8548451950139997E-3</v>
      </c>
      <c r="AV26" s="1">
        <f>'Asset Prices'!AV26/'Asset Prices'!AV27-1</f>
        <v>-3.5559486952675745E-2</v>
      </c>
      <c r="AW26" s="1">
        <f>'Asset Prices'!AW26/'Asset Prices'!AW27-1</f>
        <v>4.6016296966953307E-2</v>
      </c>
      <c r="AX26" s="1">
        <f>'Asset Prices'!AX26/'Asset Prices'!AX27-1</f>
        <v>0.5556328233657859</v>
      </c>
      <c r="AY26" s="1">
        <f>'Asset Prices'!AY26/'Asset Prices'!AY27-1</f>
        <v>4.5687885010266882E-2</v>
      </c>
      <c r="AZ26" s="1">
        <f>'Asset Prices'!AZ26/'Asset Prices'!AZ27-1</f>
        <v>3.4168336673346733E-2</v>
      </c>
      <c r="BA26" s="1">
        <f>'Asset Prices'!BA26/'Asset Prices'!BA27-1</f>
        <v>-1.9492929035545892E-2</v>
      </c>
      <c r="BB26" s="1">
        <f>'Asset Prices'!BB26/'Asset Prices'!BB27-1</f>
        <v>-5.95823095823097E-2</v>
      </c>
      <c r="BC26" s="1">
        <f>'Asset Prices'!BC26/'Asset Prices'!BC27-1</f>
        <v>1.8352272727272689E-2</v>
      </c>
      <c r="BD26" s="1">
        <f>'Asset Prices'!BD26/'Asset Prices'!BD27-1</f>
        <v>1.8886454634736705E-3</v>
      </c>
    </row>
    <row r="27" spans="3:56" x14ac:dyDescent="0.25">
      <c r="C27" s="38">
        <f>'Asset Prices'!C27</f>
        <v>44182</v>
      </c>
      <c r="D27" s="1">
        <f>'Asset Prices'!D27/'Asset Prices'!D28-1</f>
        <v>1.719570348249122E-2</v>
      </c>
      <c r="E27" s="1">
        <f>'Asset Prices'!E27/'Asset Prices'!E28-1</f>
        <v>0.12192126187859609</v>
      </c>
      <c r="F27" s="1">
        <f>'Asset Prices'!F27/'Asset Prices'!F28-1</f>
        <v>2.122401511847638E-2</v>
      </c>
      <c r="G27" s="1">
        <f>'Asset Prices'!G27/'Asset Prices'!G28-1</f>
        <v>6.9435104236718281E-2</v>
      </c>
      <c r="H27" s="1">
        <f>'Asset Prices'!H27/'Asset Prices'!H28-1</f>
        <v>1.7892088342186252E-3</v>
      </c>
      <c r="I27" s="1">
        <f>'Asset Prices'!I27/'Asset Prices'!I28-1</f>
        <v>-9.5265588914549282E-3</v>
      </c>
      <c r="J27" s="1">
        <f>'Asset Prices'!J27/'Asset Prices'!J28-1</f>
        <v>4.4303797468354444E-2</v>
      </c>
      <c r="K27" s="1">
        <f>'Asset Prices'!K27/'Asset Prices'!K28-1</f>
        <v>4.3395271305082472E-2</v>
      </c>
      <c r="L27" s="1">
        <f>'Asset Prices'!L27/'Asset Prices'!L28-1</f>
        <v>6.3481610090003748E-2</v>
      </c>
      <c r="M27" s="1">
        <f>'Asset Prices'!M27/'Asset Prices'!M28-1</f>
        <v>4.2276268288048424E-2</v>
      </c>
      <c r="N27" s="1">
        <f>'Asset Prices'!N27/'Asset Prices'!N28-1</f>
        <v>-1.5353718213447332E-2</v>
      </c>
      <c r="O27" s="1">
        <f>'Asset Prices'!O27/'Asset Prices'!O28-1</f>
        <v>1.2758851035404417E-2</v>
      </c>
      <c r="P27" s="1">
        <f>'Asset Prices'!P27/'Asset Prices'!P28-1</f>
        <v>5.070191519127798E-2</v>
      </c>
      <c r="Q27" s="1">
        <f>'Asset Prices'!Q27/'Asset Prices'!Q28-1</f>
        <v>3.605499714785898E-2</v>
      </c>
      <c r="R27" s="1">
        <f>'Asset Prices'!R27/'Asset Prices'!R28-1</f>
        <v>2.8076096962258434E-2</v>
      </c>
      <c r="S27" s="1">
        <f>'Asset Prices'!S27/'Asset Prices'!S28-1</f>
        <v>-2.7382645803698424E-2</v>
      </c>
      <c r="T27" s="1">
        <f>'Asset Prices'!T27/'Asset Prices'!T28-1</f>
        <v>-1.1231691583820425E-2</v>
      </c>
      <c r="U27" s="1">
        <f>'Asset Prices'!U27/'Asset Prices'!U28-1</f>
        <v>6.9808027923223825E-4</v>
      </c>
      <c r="V27" s="1">
        <f>'Asset Prices'!V27/'Asset Prices'!V28-1</f>
        <v>0.10596209710886706</v>
      </c>
      <c r="W27" s="1">
        <f>'Asset Prices'!W27/'Asset Prices'!W28-1</f>
        <v>-6.697078520819133E-3</v>
      </c>
      <c r="X27" s="1">
        <f>'Asset Prices'!X27/'Asset Prices'!X28-1</f>
        <v>-8.7606837606837296E-3</v>
      </c>
      <c r="Y27" s="1">
        <f>'Asset Prices'!Y27/'Asset Prices'!Y28-1</f>
        <v>0.12245997536945841</v>
      </c>
      <c r="Z27" s="1">
        <f>'Asset Prices'!Z27/'Asset Prices'!Z28-1</f>
        <v>3.3199727747107444E-2</v>
      </c>
      <c r="AA27" s="1">
        <f>'Asset Prices'!AA27/'Asset Prices'!AA28-1</f>
        <v>7.1727917472598213E-2</v>
      </c>
      <c r="AB27" s="1">
        <f>'Asset Prices'!AB27/'Asset Prices'!AB28-1</f>
        <v>0.10969976905311762</v>
      </c>
      <c r="AC27" s="1">
        <f>'Asset Prices'!AC27/'Asset Prices'!AC28-1</f>
        <v>3.7612709317303539E-2</v>
      </c>
      <c r="AD27" s="1">
        <f>'Asset Prices'!AD27/'Asset Prices'!AD28-1</f>
        <v>-8.4858569051580179E-3</v>
      </c>
      <c r="AE27" s="1">
        <f>'Asset Prices'!AE27/'Asset Prices'!AE28-1</f>
        <v>6.3966984782047875E-2</v>
      </c>
      <c r="AF27" s="1">
        <f>'Asset Prices'!AF27/'Asset Prices'!AF28-1</f>
        <v>3.8202247191011285E-2</v>
      </c>
      <c r="AG27" s="1">
        <f>'Asset Prices'!AG27/'Asset Prices'!AG28-1</f>
        <v>6.9178346406069346E-2</v>
      </c>
      <c r="AH27" s="1">
        <f>'Asset Prices'!AH27/'Asset Prices'!AH28-1</f>
        <v>-3.3705806924345216E-2</v>
      </c>
      <c r="AI27" s="1">
        <f>'Asset Prices'!AI27/'Asset Prices'!AI28-1</f>
        <v>6.8776865963267042E-2</v>
      </c>
      <c r="AJ27" s="1">
        <f>'Asset Prices'!AJ27/'Asset Prices'!AJ28-1</f>
        <v>4.9806784027479623E-2</v>
      </c>
      <c r="AK27" s="1">
        <f>'Asset Prices'!AK27/'Asset Prices'!AK28-1</f>
        <v>-7.8709677419354862E-2</v>
      </c>
      <c r="AL27" s="1">
        <f>'Asset Prices'!AL27/'Asset Prices'!AL28-1</f>
        <v>3.1806615776064362E-4</v>
      </c>
      <c r="AM27" s="1">
        <f>'Asset Prices'!AM27/'Asset Prices'!AM28-1</f>
        <v>4.7215108834828268E-3</v>
      </c>
      <c r="AN27" s="1">
        <f>'Asset Prices'!AN27/'Asset Prices'!AN28-1</f>
        <v>1.2631310338961477E-2</v>
      </c>
      <c r="AO27" s="1">
        <f>'Asset Prices'!AO27/'Asset Prices'!AO28-1</f>
        <v>-8.263097008758935E-3</v>
      </c>
      <c r="AP27" s="1">
        <f>'Asset Prices'!AP27/'Asset Prices'!AP28-1</f>
        <v>1.488274203247153E-2</v>
      </c>
      <c r="AQ27" s="1">
        <f>'Asset Prices'!AQ27/'Asset Prices'!AQ28-1</f>
        <v>8.3197602449670782E-2</v>
      </c>
      <c r="AR27" s="1">
        <f>'Asset Prices'!AR27/'Asset Prices'!AR28-1</f>
        <v>4.1568097330179077E-2</v>
      </c>
      <c r="AS27" s="1">
        <f>'Asset Prices'!AS27/'Asset Prices'!AS28-1</f>
        <v>1.6958733747878263E-3</v>
      </c>
      <c r="AT27" s="1">
        <f>'Asset Prices'!AT27/'Asset Prices'!AT28-1</f>
        <v>-3.6250647332988106E-2</v>
      </c>
      <c r="AU27" s="1">
        <f>'Asset Prices'!AU27/'Asset Prices'!AU28-1</f>
        <v>2.628646886477104E-2</v>
      </c>
      <c r="AV27" s="1">
        <f>'Asset Prices'!AV27/'Asset Prices'!AV28-1</f>
        <v>4.39560439560438E-2</v>
      </c>
      <c r="AW27" s="1">
        <f>'Asset Prices'!AW27/'Asset Prices'!AW28-1</f>
        <v>3.4684653036370916E-2</v>
      </c>
      <c r="AX27" s="1">
        <f>'Asset Prices'!AX27/'Asset Prices'!AX28-1</f>
        <v>5.0401753104455826E-2</v>
      </c>
      <c r="AY27" s="1">
        <f>'Asset Prices'!AY27/'Asset Prices'!AY28-1</f>
        <v>1.063553826199759E-2</v>
      </c>
      <c r="AZ27" s="1">
        <f>'Asset Prices'!AZ27/'Asset Prices'!AZ28-1</f>
        <v>0.11895952461038251</v>
      </c>
      <c r="BA27" s="1">
        <f>'Asset Prices'!BA27/'Asset Prices'!BA28-1</f>
        <v>0.1071370223868735</v>
      </c>
      <c r="BB27" s="1">
        <f>'Asset Prices'!BB27/'Asset Prices'!BB28-1</f>
        <v>2.0433747022690296E-2</v>
      </c>
      <c r="BC27" s="1">
        <f>'Asset Prices'!BC27/'Asset Prices'!BC28-1</f>
        <v>-1.0123734533183382E-2</v>
      </c>
      <c r="BD27" s="1">
        <f>'Asset Prices'!BD27/'Asset Prices'!BD28-1</f>
        <v>-1.1319046181709203E-3</v>
      </c>
    </row>
    <row r="28" spans="3:56" x14ac:dyDescent="0.25">
      <c r="C28" s="38">
        <f>'Asset Prices'!C28</f>
        <v>44175</v>
      </c>
      <c r="D28" s="1">
        <f>'Asset Prices'!D28/'Asset Prices'!D29-1</f>
        <v>-2.1148762316750558E-3</v>
      </c>
      <c r="E28" s="1">
        <f>'Asset Prices'!E28/'Asset Prices'!E29-1</f>
        <v>9.4622813886713342E-3</v>
      </c>
      <c r="F28" s="1">
        <f>'Asset Prices'!F28/'Asset Prices'!F29-1</f>
        <v>4.5268691588784549E-3</v>
      </c>
      <c r="G28" s="1">
        <f>'Asset Prices'!G28/'Asset Prices'!G29-1</f>
        <v>3.5431078117089676E-3</v>
      </c>
      <c r="H28" s="1">
        <f>'Asset Prices'!H28/'Asset Prices'!H29-1</f>
        <v>2.4165378228254042E-2</v>
      </c>
      <c r="I28" s="1">
        <f>'Asset Prices'!I28/'Asset Prices'!I29-1</f>
        <v>-1.6781976228490425E-2</v>
      </c>
      <c r="J28" s="1">
        <f>'Asset Prices'!J28/'Asset Prices'!J29-1</f>
        <v>2.4402147388971063E-3</v>
      </c>
      <c r="K28" s="1">
        <f>'Asset Prices'!K28/'Asset Prices'!K29-1</f>
        <v>-2.6748422363990776E-2</v>
      </c>
      <c r="L28" s="1">
        <f>'Asset Prices'!L28/'Asset Prices'!L29-1</f>
        <v>7.1755909310178279E-3</v>
      </c>
      <c r="M28" s="1">
        <f>'Asset Prices'!M28/'Asset Prices'!M29-1</f>
        <v>-1.7363704256908141E-2</v>
      </c>
      <c r="N28" s="1">
        <f>'Asset Prices'!N28/'Asset Prices'!N29-1</f>
        <v>-2.9744653756641593E-2</v>
      </c>
      <c r="O28" s="1">
        <f>'Asset Prices'!O28/'Asset Prices'!O29-1</f>
        <v>-8.67650003337328E-4</v>
      </c>
      <c r="P28" s="1">
        <f>'Asset Prices'!P28/'Asset Prices'!P29-1</f>
        <v>-1.1869577652779184E-2</v>
      </c>
      <c r="Q28" s="1">
        <f>'Asset Prices'!Q28/'Asset Prices'!Q29-1</f>
        <v>-5.1076320939335007E-3</v>
      </c>
      <c r="R28" s="1">
        <f>'Asset Prices'!R28/'Asset Prices'!R29-1</f>
        <v>-3.1644629326994411E-2</v>
      </c>
      <c r="S28" s="1">
        <f>'Asset Prices'!S28/'Asset Prices'!S29-1</f>
        <v>-1.1946591707659882E-2</v>
      </c>
      <c r="T28" s="1">
        <f>'Asset Prices'!T28/'Asset Prices'!T29-1</f>
        <v>-4.1565900846431969E-3</v>
      </c>
      <c r="U28" s="1">
        <f>'Asset Prices'!U28/'Asset Prices'!U29-1</f>
        <v>-2.3184452778724829E-2</v>
      </c>
      <c r="V28" s="1">
        <f>'Asset Prices'!V28/'Asset Prices'!V29-1</f>
        <v>-4.1500928135772996E-2</v>
      </c>
      <c r="W28" s="1">
        <f>'Asset Prices'!W28/'Asset Prices'!W29-1</f>
        <v>-3.2945372629998193E-2</v>
      </c>
      <c r="X28" s="1">
        <f>'Asset Prices'!X28/'Asset Prices'!X29-1</f>
        <v>-2.1329987452948673E-2</v>
      </c>
      <c r="Y28" s="1">
        <f>'Asset Prices'!Y28/'Asset Prices'!Y29-1</f>
        <v>5.0622675076823498E-2</v>
      </c>
      <c r="Z28" s="1">
        <f>'Asset Prices'!Z28/'Asset Prices'!Z29-1</f>
        <v>-5.5651650748289594E-3</v>
      </c>
      <c r="AA28" s="1">
        <f>'Asset Prices'!AA28/'Asset Prices'!AA29-1</f>
        <v>-4.362571296439044E-2</v>
      </c>
      <c r="AB28" s="1">
        <f>'Asset Prices'!AB28/'Asset Prices'!AB29-1</f>
        <v>2.8503562945368266E-2</v>
      </c>
      <c r="AC28" s="1">
        <f>'Asset Prices'!AC28/'Asset Prices'!AC29-1</f>
        <v>-2.4841528182284467E-3</v>
      </c>
      <c r="AD28" s="1">
        <f>'Asset Prices'!AD28/'Asset Prices'!AD29-1</f>
        <v>3.264604810996552E-2</v>
      </c>
      <c r="AE28" s="1">
        <f>'Asset Prices'!AE28/'Asset Prices'!AE29-1</f>
        <v>1.7852454712522947E-2</v>
      </c>
      <c r="AF28" s="1">
        <f>'Asset Prices'!AF28/'Asset Prices'!AF29-1</f>
        <v>4.8045219029674957E-2</v>
      </c>
      <c r="AG28" s="1">
        <f>'Asset Prices'!AG28/'Asset Prices'!AG29-1</f>
        <v>-0.1310614525139665</v>
      </c>
      <c r="AH28" s="1">
        <f>'Asset Prices'!AH28/'Asset Prices'!AH29-1</f>
        <v>-4.2280701754385919E-2</v>
      </c>
      <c r="AI28" s="1">
        <f>'Asset Prices'!AI28/'Asset Prices'!AI29-1</f>
        <v>1.1862396204033177E-2</v>
      </c>
      <c r="AJ28" s="1">
        <f>'Asset Prices'!AJ28/'Asset Prices'!AJ29-1</f>
        <v>-3.4231921266582033E-3</v>
      </c>
      <c r="AK28" s="1">
        <f>'Asset Prices'!AK28/'Asset Prices'!AK29-1</f>
        <v>-2.4543738200125897E-2</v>
      </c>
      <c r="AL28" s="1">
        <f>'Asset Prices'!AL28/'Asset Prices'!AL29-1</f>
        <v>2.1774455638609025E-2</v>
      </c>
      <c r="AM28" s="1">
        <f>'Asset Prices'!AM28/'Asset Prices'!AM29-1</f>
        <v>1.0921446484912112E-2</v>
      </c>
      <c r="AN28" s="1">
        <f>'Asset Prices'!AN28/'Asset Prices'!AN29-1</f>
        <v>1.4907573047107103E-3</v>
      </c>
      <c r="AO28" s="1">
        <f>'Asset Prices'!AO28/'Asset Prices'!AO29-1</f>
        <v>-1.9922254616132284E-2</v>
      </c>
      <c r="AP28" s="1">
        <f>'Asset Prices'!AP28/'Asset Prices'!AP29-1</f>
        <v>9.2550447580033168E-3</v>
      </c>
      <c r="AQ28" s="1">
        <f>'Asset Prices'!AQ28/'Asset Prices'!AQ29-1</f>
        <v>-2.8728722394481987E-2</v>
      </c>
      <c r="AR28" s="1">
        <f>'Asset Prices'!AR28/'Asset Prices'!AR29-1</f>
        <v>-5.5452865064694601E-3</v>
      </c>
      <c r="AS28" s="1">
        <f>'Asset Prices'!AS28/'Asset Prices'!AS29-1</f>
        <v>1.842256764536554E-2</v>
      </c>
      <c r="AT28" s="1">
        <f>'Asset Prices'!AT28/'Asset Prices'!AT29-1</f>
        <v>3.4279592929833846E-2</v>
      </c>
      <c r="AU28" s="1">
        <f>'Asset Prices'!AU28/'Asset Prices'!AU29-1</f>
        <v>1.6016099953880536E-2</v>
      </c>
      <c r="AV28" s="1">
        <f>'Asset Prices'!AV28/'Asset Prices'!AV29-1</f>
        <v>-3.4159828754905419E-2</v>
      </c>
      <c r="AW28" s="1">
        <f>'Asset Prices'!AW28/'Asset Prices'!AW29-1</f>
        <v>-3.4774085138162825E-3</v>
      </c>
      <c r="AX28" s="1">
        <f>'Asset Prices'!AX28/'Asset Prices'!AX29-1</f>
        <v>-0.10581319399085576</v>
      </c>
      <c r="AY28" s="1">
        <f>'Asset Prices'!AY28/'Asset Prices'!AY29-1</f>
        <v>2.4312475089677044E-2</v>
      </c>
      <c r="AZ28" s="1">
        <f>'Asset Prices'!AZ28/'Asset Prices'!AZ29-1</f>
        <v>-4.1070852596495011E-2</v>
      </c>
      <c r="BA28" s="1">
        <f>'Asset Prices'!BA28/'Asset Prices'!BA29-1</f>
        <v>4.6381390005743928E-2</v>
      </c>
      <c r="BB28" s="1">
        <f>'Asset Prices'!BB28/'Asset Prices'!BB29-1</f>
        <v>2.1382842509603206E-2</v>
      </c>
      <c r="BC28" s="1">
        <f>'Asset Prices'!BC28/'Asset Prices'!BC29-1</f>
        <v>-1.5885315769081587E-2</v>
      </c>
      <c r="BD28" s="1">
        <f>'Asset Prices'!BD28/'Asset Prices'!BD29-1</f>
        <v>2.5722499621727568E-3</v>
      </c>
    </row>
    <row r="29" spans="3:56" x14ac:dyDescent="0.25">
      <c r="C29" s="38">
        <f>'Asset Prices'!C29</f>
        <v>44168</v>
      </c>
      <c r="D29" s="1">
        <f>'Asset Prices'!D29/'Asset Prices'!D30-1</f>
        <v>-1.346673621319161E-2</v>
      </c>
      <c r="E29" s="1">
        <f>'Asset Prices'!E29/'Asset Prices'!E30-1</f>
        <v>2.7835535582534154E-2</v>
      </c>
      <c r="F29" s="1">
        <f>'Asset Prices'!F29/'Asset Prices'!F30-1</f>
        <v>1.0476612070237756E-2</v>
      </c>
      <c r="G29" s="1">
        <f>'Asset Prices'!G29/'Asset Prices'!G30-1</f>
        <v>3.2398536840271941E-2</v>
      </c>
      <c r="H29" s="1">
        <f>'Asset Prices'!H29/'Asset Prices'!H30-1</f>
        <v>0</v>
      </c>
      <c r="I29" s="1">
        <f>'Asset Prices'!I29/'Asset Prices'!I30-1</f>
        <v>2.271490257266251E-2</v>
      </c>
      <c r="J29" s="1">
        <f>'Asset Prices'!J29/'Asset Prices'!J30-1</f>
        <v>5.9553563733517167E-2</v>
      </c>
      <c r="K29" s="1">
        <f>'Asset Prices'!K29/'Asset Prices'!K30-1</f>
        <v>5.2118163808012596E-4</v>
      </c>
      <c r="L29" s="1">
        <f>'Asset Prices'!L29/'Asset Prices'!L30-1</f>
        <v>2.5814432989690772E-2</v>
      </c>
      <c r="M29" s="1">
        <f>'Asset Prices'!M29/'Asset Prices'!M30-1</f>
        <v>1.7300229111143484E-3</v>
      </c>
      <c r="N29" s="1">
        <f>'Asset Prices'!N29/'Asset Prices'!N30-1</f>
        <v>3.2713008678498579E-2</v>
      </c>
      <c r="O29" s="1">
        <f>'Asset Prices'!O29/'Asset Prices'!O30-1</f>
        <v>1.1339858251771862E-2</v>
      </c>
      <c r="P29" s="1">
        <f>'Asset Prices'!P29/'Asset Prices'!P30-1</f>
        <v>2.4816805080605908E-2</v>
      </c>
      <c r="Q29" s="1">
        <f>'Asset Prices'!Q29/'Asset Prices'!Q30-1</f>
        <v>7.8764592877198281E-2</v>
      </c>
      <c r="R29" s="1">
        <f>'Asset Prices'!R29/'Asset Prices'!R30-1</f>
        <v>-1.1745705476435164E-2</v>
      </c>
      <c r="S29" s="1">
        <f>'Asset Prices'!S29/'Asset Prices'!S30-1</f>
        <v>-3.1643416127934643E-2</v>
      </c>
      <c r="T29" s="1">
        <f>'Asset Prices'!T29/'Asset Prices'!T30-1</f>
        <v>2.399009441262967E-2</v>
      </c>
      <c r="U29" s="1">
        <f>'Asset Prices'!U29/'Asset Prices'!U30-1</f>
        <v>3.7495578351609327E-2</v>
      </c>
      <c r="V29" s="1">
        <f>'Asset Prices'!V29/'Asset Prices'!V30-1</f>
        <v>-2.10280373831776E-2</v>
      </c>
      <c r="W29" s="1">
        <f>'Asset Prices'!W29/'Asset Prices'!W30-1</f>
        <v>-6.4618086040386324E-2</v>
      </c>
      <c r="X29" s="1">
        <f>'Asset Prices'!X29/'Asset Prices'!X30-1</f>
        <v>-9.3225605966439362E-3</v>
      </c>
      <c r="Y29" s="1">
        <f>'Asset Prices'!Y29/'Asset Prices'!Y30-1</f>
        <v>1.8029142998271075E-2</v>
      </c>
      <c r="Z29" s="1">
        <f>'Asset Prices'!Z29/'Asset Prices'!Z30-1</f>
        <v>1.4109212934716231E-2</v>
      </c>
      <c r="AA29" s="1">
        <f>'Asset Prices'!AA29/'Asset Prices'!AA30-1</f>
        <v>-5.7475668633611976E-3</v>
      </c>
      <c r="AB29" s="1">
        <f>'Asset Prices'!AB29/'Asset Prices'!AB30-1</f>
        <v>4.7263681592039974E-2</v>
      </c>
      <c r="AC29" s="1">
        <f>'Asset Prices'!AC29/'Asset Prices'!AC30-1</f>
        <v>6.1369215383216602E-2</v>
      </c>
      <c r="AD29" s="1">
        <f>'Asset Prices'!AD29/'Asset Prices'!AD30-1</f>
        <v>0.10415480933409227</v>
      </c>
      <c r="AE29" s="1">
        <f>'Asset Prices'!AE29/'Asset Prices'!AE30-1</f>
        <v>3.6462585034013673E-2</v>
      </c>
      <c r="AF29" s="1">
        <f>'Asset Prices'!AF29/'Asset Prices'!AF30-1</f>
        <v>-5.9370846256092125E-2</v>
      </c>
      <c r="AG29" s="1">
        <f>'Asset Prices'!AG29/'Asset Prices'!AG30-1</f>
        <v>-8.4201196543319812E-3</v>
      </c>
      <c r="AH29" s="1">
        <f>'Asset Prices'!AH29/'Asset Prices'!AH30-1</f>
        <v>-5.0949050949051E-2</v>
      </c>
      <c r="AI29" s="1">
        <f>'Asset Prices'!AI29/'Asset Prices'!AI30-1</f>
        <v>-8.2352941176471184E-3</v>
      </c>
      <c r="AJ29" s="1">
        <f>'Asset Prices'!AJ29/'Asset Prices'!AJ30-1</f>
        <v>2.6350461133069825E-2</v>
      </c>
      <c r="AK29" s="1">
        <f>'Asset Prices'!AK29/'Asset Prices'!AK30-1</f>
        <v>4.4247787610620648E-3</v>
      </c>
      <c r="AL29" s="1">
        <f>'Asset Prices'!AL29/'Asset Prices'!AL30-1</f>
        <v>-3.4060587035002365E-2</v>
      </c>
      <c r="AM29" s="1">
        <f>'Asset Prices'!AM29/'Asset Prices'!AM30-1</f>
        <v>-4.7504025764895097E-3</v>
      </c>
      <c r="AN29" s="1">
        <f>'Asset Prices'!AN29/'Asset Prices'!AN30-1</f>
        <v>4.5353414341948728E-3</v>
      </c>
      <c r="AO29" s="1">
        <f>'Asset Prices'!AO29/'Asset Prices'!AO30-1</f>
        <v>2.2016222479722014E-2</v>
      </c>
      <c r="AP29" s="1">
        <f>'Asset Prices'!AP29/'Asset Prices'!AP30-1</f>
        <v>4.9522292993630534E-2</v>
      </c>
      <c r="AQ29" s="1">
        <f>'Asset Prices'!AQ29/'Asset Prices'!AQ30-1</f>
        <v>-0.20532032585738713</v>
      </c>
      <c r="AR29" s="1">
        <f>'Asset Prices'!AR29/'Asset Prices'!AR30-1</f>
        <v>2.9941156109380307E-2</v>
      </c>
      <c r="AS29" s="1">
        <f>'Asset Prices'!AS29/'Asset Prices'!AS30-1</f>
        <v>1.7574692442882345E-2</v>
      </c>
      <c r="AT29" s="1">
        <f>'Asset Prices'!AT29/'Asset Prices'!AT30-1</f>
        <v>4.1852678571428603E-2</v>
      </c>
      <c r="AU29" s="1">
        <f>'Asset Prices'!AU29/'Asset Prices'!AU30-1</f>
        <v>4.8533872598584438E-2</v>
      </c>
      <c r="AV29" s="1">
        <f>'Asset Prices'!AV29/'Asset Prices'!AV30-1</f>
        <v>3.4905575942003608E-3</v>
      </c>
      <c r="AW29" s="1">
        <f>'Asset Prices'!AW29/'Asset Prices'!AW30-1</f>
        <v>5.2336861753076169E-2</v>
      </c>
      <c r="AX29" s="1">
        <f>'Asset Prices'!AX29/'Asset Prices'!AX30-1</f>
        <v>1.256613756613767E-2</v>
      </c>
      <c r="AY29" s="1">
        <f>'Asset Prices'!AY29/'Asset Prices'!AY30-1</f>
        <v>6.163610719322965E-2</v>
      </c>
      <c r="AZ29" s="1">
        <f>'Asset Prices'!AZ29/'Asset Prices'!AZ30-1</f>
        <v>-2.0386266094419847E-3</v>
      </c>
      <c r="BA29" s="1">
        <f>'Asset Prices'!BA29/'Asset Prices'!BA30-1</f>
        <v>2.638172439204145E-2</v>
      </c>
      <c r="BB29" s="1">
        <f>'Asset Prices'!BB29/'Asset Prices'!BB30-1</f>
        <v>-4.9068549859978106E-2</v>
      </c>
      <c r="BC29" s="1">
        <f>'Asset Prices'!BC29/'Asset Prices'!BC30-1</f>
        <v>4.8152230666589135E-2</v>
      </c>
      <c r="BD29" s="1">
        <f>'Asset Prices'!BD29/'Asset Prices'!BD30-1</f>
        <v>-2.5077445050892488E-2</v>
      </c>
    </row>
    <row r="30" spans="3:56" x14ac:dyDescent="0.25">
      <c r="C30" s="38">
        <f>'Asset Prices'!C30</f>
        <v>44160</v>
      </c>
      <c r="D30" s="1">
        <f>'Asset Prices'!D30/'Asset Prices'!D31-1</f>
        <v>1.5994604229898401E-2</v>
      </c>
      <c r="E30" s="1">
        <f>'Asset Prices'!E30/'Asset Prices'!E31-1</f>
        <v>5.2003951453570396E-2</v>
      </c>
      <c r="F30" s="1">
        <f>'Asset Prices'!F30/'Asset Prices'!F31-1</f>
        <v>2.7518762792813289E-2</v>
      </c>
      <c r="G30" s="1">
        <f>'Asset Prices'!G30/'Asset Prices'!G31-1</f>
        <v>1.7006200177147823E-2</v>
      </c>
      <c r="H30" s="1">
        <f>'Asset Prices'!H30/'Asset Prices'!H31-1</f>
        <v>1.0005783689994052E-2</v>
      </c>
      <c r="I30" s="1">
        <f>'Asset Prices'!I30/'Asset Prices'!I31-1</f>
        <v>9.7090935736792172E-3</v>
      </c>
      <c r="J30" s="1">
        <f>'Asset Prices'!J30/'Asset Prices'!J31-1</f>
        <v>-2.1999325691166582E-2</v>
      </c>
      <c r="K30" s="1">
        <f>'Asset Prices'!K30/'Asset Prices'!K31-1</f>
        <v>2.1831749555665469E-2</v>
      </c>
      <c r="L30" s="1">
        <f>'Asset Prices'!L30/'Asset Prices'!L31-1</f>
        <v>6.8087564734775619E-4</v>
      </c>
      <c r="M30" s="1">
        <f>'Asset Prices'!M30/'Asset Prices'!M31-1</f>
        <v>6.8260992373601059E-3</v>
      </c>
      <c r="N30" s="1">
        <f>'Asset Prices'!N30/'Asset Prices'!N31-1</f>
        <v>3.1616597576440419E-3</v>
      </c>
      <c r="O30" s="1">
        <f>'Asset Prices'!O30/'Asset Prices'!O31-1</f>
        <v>-8.3668005354752273E-3</v>
      </c>
      <c r="P30" s="1">
        <f>'Asset Prices'!P30/'Asset Prices'!P31-1</f>
        <v>2.3994907203368498E-3</v>
      </c>
      <c r="Q30" s="1">
        <f>'Asset Prices'!Q30/'Asset Prices'!Q31-1</f>
        <v>7.3275178429817567E-2</v>
      </c>
      <c r="R30" s="1">
        <f>'Asset Prices'!R30/'Asset Prices'!R31-1</f>
        <v>-1.7880317231434684E-2</v>
      </c>
      <c r="S30" s="1">
        <f>'Asset Prices'!S30/'Asset Prices'!S31-1</f>
        <v>5.4738282586384024E-3</v>
      </c>
      <c r="T30" s="1">
        <f>'Asset Prices'!T30/'Asset Prices'!T31-1</f>
        <v>6.6963917100156811E-2</v>
      </c>
      <c r="U30" s="1">
        <f>'Asset Prices'!U30/'Asset Prices'!U31-1</f>
        <v>-3.4494535519125735E-2</v>
      </c>
      <c r="V30" s="1">
        <f>'Asset Prices'!V30/'Asset Prices'!V31-1</f>
        <v>9.6985583224116212E-3</v>
      </c>
      <c r="W30" s="1">
        <f>'Asset Prices'!W30/'Asset Prices'!W31-1</f>
        <v>-4.1487839771101487E-2</v>
      </c>
      <c r="X30" s="1">
        <f>'Asset Prices'!X30/'Asset Prices'!X31-1</f>
        <v>4.7526041666666741E-2</v>
      </c>
      <c r="Y30" s="1">
        <f>'Asset Prices'!Y30/'Asset Prices'!Y31-1</f>
        <v>-5.9829721362229082E-2</v>
      </c>
      <c r="Z30" s="1">
        <f>'Asset Prices'!Z30/'Asset Prices'!Z31-1</f>
        <v>-2.8812680542182001E-2</v>
      </c>
      <c r="AA30" s="1">
        <f>'Asset Prices'!AA30/'Asset Prices'!AA31-1</f>
        <v>2.6914299205162528E-2</v>
      </c>
      <c r="AB30" s="1">
        <f>'Asset Prices'!AB30/'Asset Prices'!AB31-1</f>
        <v>-1.4705882352941346E-2</v>
      </c>
      <c r="AC30" s="1">
        <f>'Asset Prices'!AC30/'Asset Prices'!AC31-1</f>
        <v>-5.4520672421631833E-4</v>
      </c>
      <c r="AD30" s="1">
        <f>'Asset Prices'!AD30/'Asset Prices'!AD31-1</f>
        <v>-4.8145001416030064E-3</v>
      </c>
      <c r="AE30" s="1">
        <f>'Asset Prices'!AE30/'Asset Prices'!AE31-1</f>
        <v>-2.4422617467480756E-2</v>
      </c>
      <c r="AF30" s="1">
        <f>'Asset Prices'!AF30/'Asset Prices'!AF31-1</f>
        <v>0.15270684371807985</v>
      </c>
      <c r="AG30" s="1">
        <f>'Asset Prices'!AG30/'Asset Prices'!AG31-1</f>
        <v>-1.5486725663717005E-3</v>
      </c>
      <c r="AH30" s="1">
        <f>'Asset Prices'!AH30/'Asset Prices'!AH31-1</f>
        <v>7.3074861532964164E-2</v>
      </c>
      <c r="AI30" s="1">
        <f>'Asset Prices'!AI30/'Asset Prices'!AI31-1</f>
        <v>-2.1522207004499583E-3</v>
      </c>
      <c r="AJ30" s="1">
        <f>'Asset Prices'!AJ30/'Asset Prices'!AJ31-1</f>
        <v>9.7560975609756184E-3</v>
      </c>
      <c r="AK30" s="1">
        <f>'Asset Prices'!AK30/'Asset Prices'!AK31-1</f>
        <v>6.8197164078325434E-2</v>
      </c>
      <c r="AL30" s="1">
        <f>'Asset Prices'!AL30/'Asset Prices'!AL31-1</f>
        <v>1.4146494812952159E-3</v>
      </c>
      <c r="AM30" s="1">
        <f>'Asset Prices'!AM30/'Asset Prices'!AM31-1</f>
        <v>5.990783410138234E-2</v>
      </c>
      <c r="AN30" s="1">
        <f>'Asset Prices'!AN30/'Asset Prices'!AN31-1</f>
        <v>6.4220576272644436E-4</v>
      </c>
      <c r="AO30" s="1">
        <f>'Asset Prices'!AO30/'Asset Prices'!AO31-1</f>
        <v>3.3217073575817491E-3</v>
      </c>
      <c r="AP30" s="1">
        <f>'Asset Prices'!AP30/'Asset Prices'!AP31-1</f>
        <v>2.0142949967511203E-2</v>
      </c>
      <c r="AQ30" s="1">
        <f>'Asset Prices'!AQ30/'Asset Prices'!AQ31-1</f>
        <v>-2.1075873143315826E-3</v>
      </c>
      <c r="AR30" s="1">
        <f>'Asset Prices'!AR30/'Asset Prices'!AR31-1</f>
        <v>-5.9110893991206614E-2</v>
      </c>
      <c r="AS30" s="1">
        <f>'Asset Prices'!AS30/'Asset Prices'!AS31-1</f>
        <v>-5.7426836002208659E-2</v>
      </c>
      <c r="AT30" s="1">
        <f>'Asset Prices'!AT30/'Asset Prices'!AT31-1</f>
        <v>-4.3061536324487948E-3</v>
      </c>
      <c r="AU30" s="1">
        <f>'Asset Prices'!AU30/'Asset Prices'!AU31-1</f>
        <v>-2.3314727350794318E-2</v>
      </c>
      <c r="AV30" s="1">
        <f>'Asset Prices'!AV30/'Asset Prices'!AV31-1</f>
        <v>0.18170280274986794</v>
      </c>
      <c r="AW30" s="1">
        <f>'Asset Prices'!AW30/'Asset Prices'!AW31-1</f>
        <v>3.7005908720456393E-2</v>
      </c>
      <c r="AX30" s="1">
        <f>'Asset Prices'!AX30/'Asset Prices'!AX31-1</f>
        <v>6.1797752808988804E-2</v>
      </c>
      <c r="AY30" s="1">
        <f>'Asset Prices'!AY30/'Asset Prices'!AY31-1</f>
        <v>6.5204326923076872E-2</v>
      </c>
      <c r="AZ30" s="1">
        <f>'Asset Prices'!AZ30/'Asset Prices'!AZ31-1</f>
        <v>1.1723838471558778E-2</v>
      </c>
      <c r="BA30" s="1">
        <f>'Asset Prices'!BA30/'Asset Prices'!BA31-1</f>
        <v>4.1922604422604426E-2</v>
      </c>
      <c r="BB30" s="1">
        <f>'Asset Prices'!BB30/'Asset Prices'!BB31-1</f>
        <v>7.6550006553938843E-2</v>
      </c>
      <c r="BC30" s="1">
        <f>'Asset Prices'!BC30/'Asset Prices'!BC31-1</f>
        <v>8.8744315310762989E-2</v>
      </c>
      <c r="BD30" s="1">
        <f>'Asset Prices'!BD30/'Asset Prices'!BD31-1</f>
        <v>4.8917877260601372E-3</v>
      </c>
    </row>
    <row r="31" spans="3:56" x14ac:dyDescent="0.25">
      <c r="C31" s="38">
        <f>'Asset Prices'!C31</f>
        <v>44154</v>
      </c>
      <c r="D31" s="1">
        <f>'Asset Prices'!D31/'Asset Prices'!D32-1</f>
        <v>-3.3131662345144974E-3</v>
      </c>
      <c r="E31" s="1">
        <f>'Asset Prices'!E31/'Asset Prices'!E32-1</f>
        <v>4.5749704840613914E-2</v>
      </c>
      <c r="F31" s="1">
        <f>'Asset Prices'!F31/'Asset Prices'!F32-1</f>
        <v>4.1614024005053762E-2</v>
      </c>
      <c r="G31" s="1">
        <f>'Asset Prices'!G31/'Asset Prices'!G32-1</f>
        <v>0</v>
      </c>
      <c r="H31" s="1">
        <f>'Asset Prices'!H31/'Asset Prices'!H32-1</f>
        <v>2.229054573405076E-2</v>
      </c>
      <c r="I31" s="1">
        <f>'Asset Prices'!I31/'Asset Prices'!I32-1</f>
        <v>-7.7795550385342249E-3</v>
      </c>
      <c r="J31" s="1">
        <f>'Asset Prices'!J31/'Asset Prices'!J32-1</f>
        <v>-4.7814780639207077E-3</v>
      </c>
      <c r="K31" s="1">
        <f>'Asset Prices'!K31/'Asset Prices'!K32-1</f>
        <v>2.1670074719959409E-3</v>
      </c>
      <c r="L31" s="1">
        <f>'Asset Prices'!L31/'Asset Prices'!L32-1</f>
        <v>-4.3141524744745308E-3</v>
      </c>
      <c r="M31" s="1">
        <f>'Asset Prices'!M31/'Asset Prices'!M32-1</f>
        <v>-1.4017823988117351E-2</v>
      </c>
      <c r="N31" s="1">
        <f>'Asset Prices'!N31/'Asset Prices'!N32-1</f>
        <v>9.0370778393638052E-3</v>
      </c>
      <c r="O31" s="1">
        <f>'Asset Prices'!O31/'Asset Prices'!O32-1</f>
        <v>-2.7090388121906672E-2</v>
      </c>
      <c r="P31" s="1">
        <f>'Asset Prices'!P31/'Asset Prices'!P32-1</f>
        <v>4.7768086198050286E-2</v>
      </c>
      <c r="Q31" s="1">
        <f>'Asset Prices'!Q31/'Asset Prices'!Q32-1</f>
        <v>-2.5200989486703684E-2</v>
      </c>
      <c r="R31" s="1">
        <f>'Asset Prices'!R31/'Asset Prices'!R32-1</f>
        <v>-5.9788503253796255E-2</v>
      </c>
      <c r="S31" s="1">
        <f>'Asset Prices'!S31/'Asset Prices'!S32-1</f>
        <v>1.1768778123918411E-2</v>
      </c>
      <c r="T31" s="1">
        <f>'Asset Prices'!T31/'Asset Prices'!T32-1</f>
        <v>5.002601005722207E-2</v>
      </c>
      <c r="U31" s="1">
        <f>'Asset Prices'!U31/'Asset Prices'!U32-1</f>
        <v>5.3995680345572339E-2</v>
      </c>
      <c r="V31" s="1">
        <f>'Asset Prices'!V31/'Asset Prices'!V32-1</f>
        <v>3.1220435193945129E-2</v>
      </c>
      <c r="W31" s="1">
        <f>'Asset Prices'!W31/'Asset Prices'!W32-1</f>
        <v>4.2368421052631611E-2</v>
      </c>
      <c r="X31" s="1">
        <f>'Asset Prices'!X31/'Asset Prices'!X32-1</f>
        <v>9.9236641221373878E-2</v>
      </c>
      <c r="Y31" s="1">
        <f>'Asset Prices'!Y31/'Asset Prices'!Y32-1</f>
        <v>1.5174152605327507E-2</v>
      </c>
      <c r="Z31" s="1">
        <f>'Asset Prices'!Z31/'Asset Prices'!Z32-1</f>
        <v>5.1889365017530276E-2</v>
      </c>
      <c r="AA31" s="1">
        <f>'Asset Prices'!AA31/'Asset Prices'!AA32-1</f>
        <v>6.4326995560767264E-2</v>
      </c>
      <c r="AB31" s="1">
        <f>'Asset Prices'!AB31/'Asset Prices'!AB32-1</f>
        <v>-2.4449877750610804E-3</v>
      </c>
      <c r="AC31" s="1">
        <f>'Asset Prices'!AC31/'Asset Prices'!AC32-1</f>
        <v>7.1672022592268014E-2</v>
      </c>
      <c r="AD31" s="1">
        <f>'Asset Prices'!AD31/'Asset Prices'!AD32-1</f>
        <v>4.1388124262681902E-2</v>
      </c>
      <c r="AE31" s="1">
        <f>'Asset Prices'!AE31/'Asset Prices'!AE32-1</f>
        <v>9.0935418476686847E-2</v>
      </c>
      <c r="AF31" s="1">
        <f>'Asset Prices'!AF31/'Asset Prices'!AF32-1</f>
        <v>0.12788018433179715</v>
      </c>
      <c r="AG31" s="1">
        <f>'Asset Prices'!AG31/'Asset Prices'!AG32-1</f>
        <v>6.8179132695261879E-2</v>
      </c>
      <c r="AH31" s="1">
        <f>'Asset Prices'!AH31/'Asset Prices'!AH32-1</f>
        <v>8.7640886125145645E-2</v>
      </c>
      <c r="AI31" s="1">
        <f>'Asset Prices'!AI31/'Asset Prices'!AI32-1</f>
        <v>0.12975243147656945</v>
      </c>
      <c r="AJ31" s="1">
        <f>'Asset Prices'!AJ31/'Asset Prices'!AJ32-1</f>
        <v>-3.9608177172061332E-2</v>
      </c>
      <c r="AK31" s="1">
        <f>'Asset Prices'!AK31/'Asset Prices'!AK32-1</f>
        <v>0.10604929051530987</v>
      </c>
      <c r="AL31" s="1">
        <f>'Asset Prices'!AL31/'Asset Prices'!AL32-1</f>
        <v>1.3218665392578322E-2</v>
      </c>
      <c r="AM31" s="1">
        <f>'Asset Prices'!AM31/'Asset Prices'!AM32-1</f>
        <v>2.3406113537117967E-2</v>
      </c>
      <c r="AN31" s="1">
        <f>'Asset Prices'!AN31/'Asset Prices'!AN32-1</f>
        <v>3.7074860136755206E-2</v>
      </c>
      <c r="AO31" s="1">
        <f>'Asset Prices'!AO31/'Asset Prices'!AO32-1</f>
        <v>-9.5410429346931558E-3</v>
      </c>
      <c r="AP31" s="1">
        <f>'Asset Prices'!AP31/'Asset Prices'!AP32-1</f>
        <v>3.6363636363636376E-2</v>
      </c>
      <c r="AQ31" s="1">
        <f>'Asset Prices'!AQ31/'Asset Prices'!AQ32-1</f>
        <v>3.9269882659713096E-2</v>
      </c>
      <c r="AR31" s="1">
        <f>'Asset Prices'!AR31/'Asset Prices'!AR32-1</f>
        <v>-5.5521378037526881E-2</v>
      </c>
      <c r="AS31" s="1">
        <f>'Asset Prices'!AS31/'Asset Prices'!AS32-1</f>
        <v>0.16763378465506129</v>
      </c>
      <c r="AT31" s="1">
        <f>'Asset Prices'!AT31/'Asset Prices'!AT32-1</f>
        <v>5.8520805763858208E-2</v>
      </c>
      <c r="AU31" s="1">
        <f>'Asset Prices'!AU31/'Asset Prices'!AU32-1</f>
        <v>-3.0431705590941216E-2</v>
      </c>
      <c r="AV31" s="1">
        <f>'Asset Prices'!AV31/'Asset Prices'!AV32-1</f>
        <v>1.4593840540830572E-2</v>
      </c>
      <c r="AW31" s="1">
        <f>'Asset Prices'!AW31/'Asset Prices'!AW32-1</f>
        <v>3.3317543028580365E-2</v>
      </c>
      <c r="AX31" s="1">
        <f>'Asset Prices'!AX31/'Asset Prices'!AX32-1</f>
        <v>-5.5865921787709993E-3</v>
      </c>
      <c r="AY31" s="1">
        <f>'Asset Prices'!AY31/'Asset Prices'!AY32-1</f>
        <v>5.818759936406992E-2</v>
      </c>
      <c r="AZ31" s="1">
        <f>'Asset Prices'!AZ31/'Asset Prices'!AZ32-1</f>
        <v>2.6521060842433775E-2</v>
      </c>
      <c r="BA31" s="1">
        <f>'Asset Prices'!BA31/'Asset Prices'!BA32-1</f>
        <v>5.6456846203763789E-2</v>
      </c>
      <c r="BB31" s="1">
        <f>'Asset Prices'!BB31/'Asset Prices'!BB32-1</f>
        <v>2.0329008960813244E-2</v>
      </c>
      <c r="BC31" s="1">
        <f>'Asset Prices'!BC31/'Asset Prices'!BC32-1</f>
        <v>8.5424379542026418E-2</v>
      </c>
      <c r="BD31" s="1">
        <f>'Asset Prices'!BD31/'Asset Prices'!BD32-1</f>
        <v>3.1340773582021031E-2</v>
      </c>
    </row>
    <row r="32" spans="3:56" x14ac:dyDescent="0.25">
      <c r="C32" s="38">
        <f>'Asset Prices'!C32</f>
        <v>44147</v>
      </c>
      <c r="D32" s="1">
        <f>'Asset Prices'!D32/'Asset Prices'!D33-1</f>
        <v>5.3734061930783339E-2</v>
      </c>
      <c r="E32" s="1">
        <f>'Asset Prices'!E32/'Asset Prices'!E33-1</f>
        <v>6.7422810333963579E-2</v>
      </c>
      <c r="F32" s="1">
        <f>'Asset Prices'!F32/'Asset Prices'!F33-1</f>
        <v>-2.3592906707787131E-2</v>
      </c>
      <c r="G32" s="1">
        <f>'Asset Prices'!G32/'Asset Prices'!G33-1</f>
        <v>-3.7063183903988106E-3</v>
      </c>
      <c r="H32" s="1">
        <f>'Asset Prices'!H32/'Asset Prices'!H33-1</f>
        <v>3.7034766080078496E-2</v>
      </c>
      <c r="I32" s="1">
        <f>'Asset Prices'!I32/'Asset Prices'!I33-1</f>
        <v>-6.6512827473869995E-2</v>
      </c>
      <c r="J32" s="1">
        <f>'Asset Prices'!J32/'Asset Prices'!J33-1</f>
        <v>1.5122238091236362E-3</v>
      </c>
      <c r="K32" s="1">
        <f>'Asset Prices'!K32/'Asset Prices'!K33-1</f>
        <v>-6.3732691149909648E-2</v>
      </c>
      <c r="L32" s="1">
        <f>'Asset Prices'!L32/'Asset Prices'!L33-1</f>
        <v>-5.2534257240735016E-2</v>
      </c>
      <c r="M32" s="1">
        <f>'Asset Prices'!M32/'Asset Prices'!M33-1</f>
        <v>-3.515607505933982E-2</v>
      </c>
      <c r="N32" s="1">
        <f>'Asset Prices'!N32/'Asset Prices'!N33-1</f>
        <v>-1.1165957446808594E-2</v>
      </c>
      <c r="O32" s="1">
        <f>'Asset Prices'!O32/'Asset Prices'!O33-1</f>
        <v>6.1964038727524207E-2</v>
      </c>
      <c r="P32" s="1">
        <f>'Asset Prices'!P32/'Asset Prices'!P33-1</f>
        <v>6.2241116197950808E-2</v>
      </c>
      <c r="Q32" s="1">
        <f>'Asset Prices'!Q32/'Asset Prices'!Q33-1</f>
        <v>-7.9587729462706647E-2</v>
      </c>
      <c r="R32" s="1">
        <f>'Asset Prices'!R32/'Asset Prices'!R33-1</f>
        <v>4.0689000406901599E-4</v>
      </c>
      <c r="S32" s="1">
        <f>'Asset Prices'!S32/'Asset Prices'!S33-1</f>
        <v>2.9579472558802555E-2</v>
      </c>
      <c r="T32" s="1">
        <f>'Asset Prices'!T32/'Asset Prices'!T33-1</f>
        <v>0.1429987117233178</v>
      </c>
      <c r="U32" s="1">
        <f>'Asset Prices'!U32/'Asset Prices'!U33-1</f>
        <v>5.6273764258555126E-2</v>
      </c>
      <c r="V32" s="1">
        <f>'Asset Prices'!V32/'Asset Prices'!V33-1</f>
        <v>-6.0086382113821224E-2</v>
      </c>
      <c r="W32" s="1">
        <f>'Asset Prices'!W32/'Asset Prices'!W33-1</f>
        <v>-7.3622623110677687E-2</v>
      </c>
      <c r="X32" s="1">
        <f>'Asset Prices'!X32/'Asset Prices'!X33-1</f>
        <v>2.1193666260657773E-2</v>
      </c>
      <c r="Y32" s="1">
        <f>'Asset Prices'!Y32/'Asset Prices'!Y33-1</f>
        <v>2.7295473500645873E-3</v>
      </c>
      <c r="Z32" s="1">
        <f>'Asset Prices'!Z32/'Asset Prices'!Z33-1</f>
        <v>-6.0532864880691095E-2</v>
      </c>
      <c r="AA32" s="1">
        <f>'Asset Prices'!AA32/'Asset Prices'!AA33-1</f>
        <v>-3.476433018028946E-2</v>
      </c>
      <c r="AB32" s="1">
        <f>'Asset Prices'!AB32/'Asset Prices'!AB33-1</f>
        <v>-0.10601092896174868</v>
      </c>
      <c r="AC32" s="1">
        <f>'Asset Prices'!AC32/'Asset Prices'!AC33-1</f>
        <v>-3.1774467282670193E-2</v>
      </c>
      <c r="AD32" s="1">
        <f>'Asset Prices'!AD32/'Asset Prices'!AD33-1</f>
        <v>3.1956984883839024E-2</v>
      </c>
      <c r="AE32" s="1">
        <f>'Asset Prices'!AE32/'Asset Prices'!AE33-1</f>
        <v>-0.10705973622963538</v>
      </c>
      <c r="AF32" s="1">
        <f>'Asset Prices'!AF32/'Asset Prices'!AF33-1</f>
        <v>1.1065812463599167E-2</v>
      </c>
      <c r="AG32" s="1">
        <f>'Asset Prices'!AG32/'Asset Prices'!AG33-1</f>
        <v>-6.2167553191489366E-2</v>
      </c>
      <c r="AH32" s="1">
        <f>'Asset Prices'!AH32/'Asset Prices'!AH33-1</f>
        <v>-9.4332981344597E-2</v>
      </c>
      <c r="AI32" s="1">
        <f>'Asset Prices'!AI32/'Asset Prices'!AI33-1</f>
        <v>-7.3425499231950853E-2</v>
      </c>
      <c r="AJ32" s="1">
        <f>'Asset Prices'!AJ32/'Asset Prices'!AJ33-1</f>
        <v>7.0191431175934405E-2</v>
      </c>
      <c r="AK32" s="1">
        <f>'Asset Prices'!AK32/'Asset Prices'!AK33-1</f>
        <v>6.7783094098883723E-2</v>
      </c>
      <c r="AL32" s="1">
        <f>'Asset Prices'!AL32/'Asset Prices'!AL33-1</f>
        <v>5.7426743011114834E-2</v>
      </c>
      <c r="AM32" s="1">
        <f>'Asset Prices'!AM32/'Asset Prices'!AM33-1</f>
        <v>-2.3525311492550438E-3</v>
      </c>
      <c r="AN32" s="1">
        <f>'Asset Prices'!AN32/'Asset Prices'!AN33-1</f>
        <v>6.9420702754036112E-2</v>
      </c>
      <c r="AO32" s="1">
        <f>'Asset Prices'!AO32/'Asset Prices'!AO33-1</f>
        <v>4.5399828030954437E-2</v>
      </c>
      <c r="AP32" s="1">
        <f>'Asset Prices'!AP32/'Asset Prices'!AP33-1</f>
        <v>8.7712873100164845E-2</v>
      </c>
      <c r="AQ32" s="1">
        <f>'Asset Prices'!AQ32/'Asset Prices'!AQ33-1</f>
        <v>-8.2448081156091479E-2</v>
      </c>
      <c r="AR32" s="1">
        <f>'Asset Prices'!AR32/'Asset Prices'!AR33-1</f>
        <v>-4.1709653647752365E-2</v>
      </c>
      <c r="AS32" s="1">
        <f>'Asset Prices'!AS32/'Asset Prices'!AS33-1</f>
        <v>2.4438573315719969E-2</v>
      </c>
      <c r="AT32" s="1">
        <f>'Asset Prices'!AT32/'Asset Prices'!AT33-1</f>
        <v>0.118033864869308</v>
      </c>
      <c r="AU32" s="1">
        <f>'Asset Prices'!AU32/'Asset Prices'!AU33-1</f>
        <v>2.3694864692094697E-2</v>
      </c>
      <c r="AV32" s="1">
        <f>'Asset Prices'!AV32/'Asset Prices'!AV33-1</f>
        <v>-2.0084121976866376E-2</v>
      </c>
      <c r="AW32" s="1">
        <f>'Asset Prices'!AW32/'Asset Prices'!AW33-1</f>
        <v>1.8003536408937482E-2</v>
      </c>
      <c r="AX32" s="1">
        <f>'Asset Prices'!AX32/'Asset Prices'!AX33-1</f>
        <v>-5.0397877984084904E-2</v>
      </c>
      <c r="AY32" s="1">
        <f>'Asset Prices'!AY32/'Asset Prices'!AY33-1</f>
        <v>-6.8837897853441854E-2</v>
      </c>
      <c r="AZ32" s="1">
        <f>'Asset Prices'!AZ32/'Asset Prices'!AZ33-1</f>
        <v>-9.4922737306842864E-3</v>
      </c>
      <c r="BA32" s="1">
        <f>'Asset Prices'!BA32/'Asset Prices'!BA33-1</f>
        <v>6.8605031035608999E-3</v>
      </c>
      <c r="BB32" s="1">
        <f>'Asset Prices'!BB32/'Asset Prices'!BB33-1</f>
        <v>4.2235851686646342E-2</v>
      </c>
      <c r="BC32" s="1">
        <f>'Asset Prices'!BC32/'Asset Prices'!BC33-1</f>
        <v>4.9805671512883398E-2</v>
      </c>
      <c r="BD32" s="1">
        <f>'Asset Prices'!BD32/'Asset Prices'!BD33-1</f>
        <v>2.7167085427135529E-2</v>
      </c>
    </row>
    <row r="33" spans="3:56" x14ac:dyDescent="0.25">
      <c r="C33" s="38">
        <f>'Asset Prices'!C33</f>
        <v>44140</v>
      </c>
      <c r="D33" s="1">
        <f>'Asset Prices'!D33/'Asset Prices'!D34-1</f>
        <v>6.9075566614377637E-2</v>
      </c>
      <c r="E33" s="1">
        <f>'Asset Prices'!E33/'Asset Prices'!E34-1</f>
        <v>4.4594372223136336E-2</v>
      </c>
      <c r="F33" s="1">
        <f>'Asset Prices'!F33/'Asset Prices'!F34-1</f>
        <v>5.5673123880839892E-2</v>
      </c>
      <c r="G33" s="1">
        <f>'Asset Prices'!G33/'Asset Prices'!G34-1</f>
        <v>1.1424491253123836E-2</v>
      </c>
      <c r="H33" s="1">
        <f>'Asset Prices'!H33/'Asset Prices'!H34-1</f>
        <v>5.4438481929268923E-2</v>
      </c>
      <c r="I33" s="1">
        <f>'Asset Prices'!I33/'Asset Prices'!I34-1</f>
        <v>4.9318092796353685E-2</v>
      </c>
      <c r="J33" s="1">
        <f>'Asset Prices'!J33/'Asset Prices'!J34-1</f>
        <v>3.217134928893528E-2</v>
      </c>
      <c r="K33" s="1">
        <f>'Asset Prices'!K33/'Asset Prices'!K34-1</f>
        <v>3.4565448254598952E-2</v>
      </c>
      <c r="L33" s="1">
        <f>'Asset Prices'!L33/'Asset Prices'!L34-1</f>
        <v>1.8940520814739958E-2</v>
      </c>
      <c r="M33" s="1">
        <f>'Asset Prices'!M33/'Asset Prices'!M34-1</f>
        <v>9.0709261430246046E-2</v>
      </c>
      <c r="N33" s="1">
        <f>'Asset Prices'!N33/'Asset Prices'!N34-1</f>
        <v>0.13207183597965155</v>
      </c>
      <c r="O33" s="1">
        <f>'Asset Prices'!O33/'Asset Prices'!O34-1</f>
        <v>4.9118479286076822E-2</v>
      </c>
      <c r="P33" s="1">
        <f>'Asset Prices'!P33/'Asset Prices'!P34-1</f>
        <v>0.10630087428399149</v>
      </c>
      <c r="Q33" s="1">
        <f>'Asset Prices'!Q33/'Asset Prices'!Q34-1</f>
        <v>0.12676088599766366</v>
      </c>
      <c r="R33" s="1">
        <f>'Asset Prices'!R33/'Asset Prices'!R34-1</f>
        <v>4.2267458297992722E-2</v>
      </c>
      <c r="S33" s="1">
        <f>'Asset Prices'!S33/'Asset Prices'!S34-1</f>
        <v>1.7035157665820977E-2</v>
      </c>
      <c r="T33" s="1">
        <f>'Asset Prices'!T33/'Asset Prices'!T34-1</f>
        <v>8.1217186328083057E-2</v>
      </c>
      <c r="U33" s="1">
        <f>'Asset Prices'!U33/'Asset Prices'!U34-1</f>
        <v>9.9498327759197203E-2</v>
      </c>
      <c r="V33" s="1">
        <f>'Asset Prices'!V33/'Asset Prices'!V34-1</f>
        <v>9.9441340782123078E-2</v>
      </c>
      <c r="W33" s="1">
        <f>'Asset Prices'!W33/'Asset Prices'!W34-1</f>
        <v>9.6009975062344211E-2</v>
      </c>
      <c r="X33" s="1">
        <f>'Asset Prices'!X33/'Asset Prices'!X34-1</f>
        <v>3.7402072276977449E-2</v>
      </c>
      <c r="Y33" s="1">
        <f>'Asset Prices'!Y33/'Asset Prices'!Y34-1</f>
        <v>9.9908264531732183E-2</v>
      </c>
      <c r="Z33" s="1">
        <f>'Asset Prices'!Z33/'Asset Prices'!Z34-1</f>
        <v>0.1549581536900837</v>
      </c>
      <c r="AA33" s="1">
        <f>'Asset Prices'!AA33/'Asset Prices'!AA34-1</f>
        <v>4.2038753159224784E-2</v>
      </c>
      <c r="AB33" s="1">
        <f>'Asset Prices'!AB33/'Asset Prices'!AB34-1</f>
        <v>-1.9292604501607635E-2</v>
      </c>
      <c r="AC33" s="1">
        <f>'Asset Prices'!AC33/'Asset Prices'!AC34-1</f>
        <v>7.2396359959554957E-2</v>
      </c>
      <c r="AD33" s="1">
        <f>'Asset Prices'!AD33/'Asset Prices'!AD34-1</f>
        <v>0.104673316149277</v>
      </c>
      <c r="AE33" s="1">
        <f>'Asset Prices'!AE33/'Asset Prices'!AE34-1</f>
        <v>8.2132363229327154E-2</v>
      </c>
      <c r="AF33" s="1">
        <f>'Asset Prices'!AF33/'Asset Prices'!AF34-1</f>
        <v>-6.1748633879781356E-2</v>
      </c>
      <c r="AG33" s="1">
        <f>'Asset Prices'!AG33/'Asset Prices'!AG34-1</f>
        <v>-3.3233632436024951E-4</v>
      </c>
      <c r="AH33" s="1">
        <f>'Asset Prices'!AH33/'Asset Prices'!AH34-1</f>
        <v>1.1391954432182327E-2</v>
      </c>
      <c r="AI33" s="1">
        <f>'Asset Prices'!AI33/'Asset Prices'!AI34-1</f>
        <v>0.13375130616509945</v>
      </c>
      <c r="AJ33" s="1">
        <f>'Asset Prices'!AJ33/'Asset Prices'!AJ34-1</f>
        <v>2.141527001862209E-2</v>
      </c>
      <c r="AK33" s="1">
        <f>'Asset Prices'!AK33/'Asset Prices'!AK34-1</f>
        <v>8.4775086505190167E-2</v>
      </c>
      <c r="AL33" s="1">
        <f>'Asset Prices'!AL33/'Asset Prices'!AL34-1</f>
        <v>5.9033351168182646E-2</v>
      </c>
      <c r="AM33" s="1">
        <f>'Asset Prices'!AM33/'Asset Prices'!AM34-1</f>
        <v>5.3805894775502683E-2</v>
      </c>
      <c r="AN33" s="1">
        <f>'Asset Prices'!AN33/'Asset Prices'!AN34-1</f>
        <v>2.5366376162422766E-2</v>
      </c>
      <c r="AO33" s="1">
        <f>'Asset Prices'!AO33/'Asset Prices'!AO34-1</f>
        <v>2.4489076814658173E-2</v>
      </c>
      <c r="AP33" s="1">
        <f>'Asset Prices'!AP33/'Asset Prices'!AP34-1</f>
        <v>5.5673690315097613E-2</v>
      </c>
      <c r="AQ33" s="1">
        <f>'Asset Prices'!AQ33/'Asset Prices'!AQ34-1</f>
        <v>1.5106620682955096E-2</v>
      </c>
      <c r="AR33" s="1">
        <f>'Asset Prices'!AR33/'Asset Prices'!AR34-1</f>
        <v>0.12446138548226693</v>
      </c>
      <c r="AS33" s="1">
        <f>'Asset Prices'!AS33/'Asset Prices'!AS34-1</f>
        <v>5.3583855254001556E-2</v>
      </c>
      <c r="AT33" s="1">
        <f>'Asset Prices'!AT33/'Asset Prices'!AT34-1</f>
        <v>0.10019895098571174</v>
      </c>
      <c r="AU33" s="1">
        <f>'Asset Prices'!AU33/'Asset Prices'!AU34-1</f>
        <v>9.377554093001228E-3</v>
      </c>
      <c r="AV33" s="1">
        <f>'Asset Prices'!AV33/'Asset Prices'!AV34-1</f>
        <v>3.4707866391034736E-2</v>
      </c>
      <c r="AW33" s="1">
        <f>'Asset Prices'!AW33/'Asset Prices'!AW34-1</f>
        <v>4.5565413171089197E-4</v>
      </c>
      <c r="AX33" s="1">
        <f>'Asset Prices'!AX33/'Asset Prices'!AX34-1</f>
        <v>5.7503506311360475E-2</v>
      </c>
      <c r="AY33" s="1">
        <f>'Asset Prices'!AY33/'Asset Prices'!AY34-1</f>
        <v>3.1455183997556979E-2</v>
      </c>
      <c r="AZ33" s="1">
        <f>'Asset Prices'!AZ33/'Asset Prices'!AZ34-1</f>
        <v>0.17327117327117314</v>
      </c>
      <c r="BA33" s="1">
        <f>'Asset Prices'!BA33/'Asset Prices'!BA34-1</f>
        <v>0.11006346328195837</v>
      </c>
      <c r="BB33" s="1">
        <f>'Asset Prices'!BB33/'Asset Prices'!BB34-1</f>
        <v>4.2429526300494125E-2</v>
      </c>
      <c r="BC33" s="1">
        <f>'Asset Prices'!BC33/'Asset Prices'!BC34-1</f>
        <v>9.9585665479393626E-3</v>
      </c>
      <c r="BD33" s="1">
        <f>'Asset Prices'!BD33/'Asset Prices'!BD34-1</f>
        <v>1.7252396166134165E-2</v>
      </c>
    </row>
    <row r="34" spans="3:56" x14ac:dyDescent="0.25">
      <c r="C34" s="38">
        <f>'Asset Prices'!C34</f>
        <v>44133</v>
      </c>
      <c r="D34" s="1">
        <f>'Asset Prices'!D34/'Asset Prices'!D35-1</f>
        <v>-6.6265973028940883E-2</v>
      </c>
      <c r="E34" s="1">
        <f>'Asset Prices'!E34/'Asset Prices'!E35-1</f>
        <v>-4.7193477579178356E-2</v>
      </c>
      <c r="F34" s="1">
        <f>'Asset Prices'!F34/'Asset Prices'!F35-1</f>
        <v>-5.5068451007537433E-2</v>
      </c>
      <c r="G34" s="1">
        <f>'Asset Prices'!G34/'Asset Prices'!G35-1</f>
        <v>-6.1484335734628859E-2</v>
      </c>
      <c r="H34" s="1">
        <f>'Asset Prices'!H34/'Asset Prices'!H35-1</f>
        <v>-8.8353176942119638E-2</v>
      </c>
      <c r="I34" s="1">
        <f>'Asset Prices'!I34/'Asset Prices'!I35-1</f>
        <v>9.7439953976699023E-3</v>
      </c>
      <c r="J34" s="1">
        <f>'Asset Prices'!J34/'Asset Prices'!J35-1</f>
        <v>-3.714902807775422E-3</v>
      </c>
      <c r="K34" s="1">
        <f>'Asset Prices'!K34/'Asset Prices'!K35-1</f>
        <v>1.0895982873693422E-2</v>
      </c>
      <c r="L34" s="1">
        <f>'Asset Prices'!L34/'Asset Prices'!L35-1</f>
        <v>3.9115471013746017E-2</v>
      </c>
      <c r="M34" s="1">
        <f>'Asset Prices'!M34/'Asset Prices'!M35-1</f>
        <v>-4.7326539159569969E-2</v>
      </c>
      <c r="N34" s="1">
        <f>'Asset Prices'!N34/'Asset Prices'!N35-1</f>
        <v>-3.0983531051996027E-2</v>
      </c>
      <c r="O34" s="1">
        <f>'Asset Prices'!O34/'Asset Prices'!O35-1</f>
        <v>-5.2323982398239766E-2</v>
      </c>
      <c r="P34" s="1">
        <f>'Asset Prices'!P34/'Asset Prices'!P35-1</f>
        <v>-7.0347533632287074E-2</v>
      </c>
      <c r="Q34" s="1">
        <f>'Asset Prices'!Q34/'Asset Prices'!Q35-1</f>
        <v>-3.6758378748097065E-2</v>
      </c>
      <c r="R34" s="1">
        <f>'Asset Prices'!R34/'Asset Prices'!R35-1</f>
        <v>-9.3824394342528761E-3</v>
      </c>
      <c r="S34" s="1">
        <f>'Asset Prices'!S34/'Asset Prices'!S35-1</f>
        <v>-2.9546253957087543E-2</v>
      </c>
      <c r="T34" s="1">
        <f>'Asset Prices'!T34/'Asset Prices'!T35-1</f>
        <v>-7.4290815314421721E-2</v>
      </c>
      <c r="U34" s="1">
        <f>'Asset Prices'!U34/'Asset Prices'!U35-1</f>
        <v>-3.9550291106203561E-2</v>
      </c>
      <c r="V34" s="1">
        <f>'Asset Prices'!V34/'Asset Prices'!V35-1</f>
        <v>-6.4541416252939743E-2</v>
      </c>
      <c r="W34" s="1">
        <f>'Asset Prices'!W34/'Asset Prices'!W35-1</f>
        <v>-4.4100119189511289E-2</v>
      </c>
      <c r="X34" s="1">
        <f>'Asset Prices'!X34/'Asset Prices'!X35-1</f>
        <v>-5.628428332935842E-2</v>
      </c>
      <c r="Y34" s="1">
        <f>'Asset Prices'!Y34/'Asset Prices'!Y35-1</f>
        <v>-2.804571613844542E-2</v>
      </c>
      <c r="Z34" s="1">
        <f>'Asset Prices'!Z34/'Asset Prices'!Z35-1</f>
        <v>3.1119246861924799E-2</v>
      </c>
      <c r="AA34" s="1">
        <f>'Asset Prices'!AA34/'Asset Prices'!AA35-1</f>
        <v>-0.10075757575757571</v>
      </c>
      <c r="AB34" s="1">
        <f>'Asset Prices'!AB34/'Asset Prices'!AB35-1</f>
        <v>3.225806451612856E-3</v>
      </c>
      <c r="AC34" s="1">
        <f>'Asset Prices'!AC34/'Asset Prices'!AC35-1</f>
        <v>2.6625836923236834E-2</v>
      </c>
      <c r="AD34" s="1">
        <f>'Asset Prices'!AD34/'Asset Prices'!AD35-1</f>
        <v>-6.9939545549301596E-2</v>
      </c>
      <c r="AE34" s="1">
        <f>'Asset Prices'!AE34/'Asset Prices'!AE35-1</f>
        <v>-5.1367135651712248E-2</v>
      </c>
      <c r="AF34" s="1">
        <f>'Asset Prices'!AF34/'Asset Prices'!AF35-1</f>
        <v>-2.1913415285943372E-2</v>
      </c>
      <c r="AG34" s="1">
        <f>'Asset Prices'!AG34/'Asset Prices'!AG35-1</f>
        <v>-2.4108108108108151E-2</v>
      </c>
      <c r="AH34" s="1">
        <f>'Asset Prices'!AH34/'Asset Prices'!AH35-1</f>
        <v>-5.6274147488661219E-2</v>
      </c>
      <c r="AI34" s="1">
        <f>'Asset Prices'!AI34/'Asset Prices'!AI35-1</f>
        <v>-3.0285971628011721E-2</v>
      </c>
      <c r="AJ34" s="1">
        <f>'Asset Prices'!AJ34/'Asset Prices'!AJ35-1</f>
        <v>-2.3636363636363567E-2</v>
      </c>
      <c r="AK34" s="1">
        <f>'Asset Prices'!AK34/'Asset Prices'!AK35-1</f>
        <v>-0.11076923076923073</v>
      </c>
      <c r="AL34" s="1">
        <f>'Asset Prices'!AL34/'Asset Prices'!AL35-1</f>
        <v>-6.3783603272666523E-2</v>
      </c>
      <c r="AM34" s="1">
        <f>'Asset Prices'!AM34/'Asset Prices'!AM35-1</f>
        <v>-5.9174153420870845E-2</v>
      </c>
      <c r="AN34" s="1">
        <f>'Asset Prices'!AN34/'Asset Prices'!AN35-1</f>
        <v>-8.5692663817663828E-2</v>
      </c>
      <c r="AO34" s="1">
        <f>'Asset Prices'!AO34/'Asset Prices'!AO35-1</f>
        <v>-9.9424385138671134E-3</v>
      </c>
      <c r="AP34" s="1">
        <f>'Asset Prices'!AP34/'Asset Prices'!AP35-1</f>
        <v>-7.657979293109618E-2</v>
      </c>
      <c r="AQ34" s="1">
        <f>'Asset Prices'!AQ34/'Asset Prices'!AQ35-1</f>
        <v>-6.1924724323339064E-2</v>
      </c>
      <c r="AR34" s="1">
        <f>'Asset Prices'!AR34/'Asset Prices'!AR35-1</f>
        <v>-3.3036009250081433E-3</v>
      </c>
      <c r="AS34" s="1">
        <f>'Asset Prices'!AS34/'Asset Prices'!AS35-1</f>
        <v>-7.8846153846153899E-2</v>
      </c>
      <c r="AT34" s="1">
        <f>'Asset Prices'!AT34/'Asset Prices'!AT35-1</f>
        <v>-0.15212390737616921</v>
      </c>
      <c r="AU34" s="1">
        <f>'Asset Prices'!AU34/'Asset Prices'!AU35-1</f>
        <v>-3.575428263304159E-2</v>
      </c>
      <c r="AV34" s="1">
        <f>'Asset Prices'!AV34/'Asset Prices'!AV35-1</f>
        <v>-2.0566922421142442E-2</v>
      </c>
      <c r="AW34" s="1">
        <f>'Asset Prices'!AW34/'Asset Prices'!AW35-1</f>
        <v>-1.1236848382052855E-2</v>
      </c>
      <c r="AX34" s="1">
        <f>'Asset Prices'!AX34/'Asset Prices'!AX35-1</f>
        <v>-9.7222222222222987E-3</v>
      </c>
      <c r="AY34" s="1">
        <f>'Asset Prices'!AY34/'Asset Prices'!AY35-1</f>
        <v>-6.0707239338292363E-3</v>
      </c>
      <c r="AZ34" s="1">
        <f>'Asset Prices'!AZ34/'Asset Prices'!AZ35-1</f>
        <v>-5.7027720112345803E-2</v>
      </c>
      <c r="BA34" s="1">
        <f>'Asset Prices'!BA34/'Asset Prices'!BA35-1</f>
        <v>-6.9198312236286919E-2</v>
      </c>
      <c r="BB34" s="1">
        <f>'Asset Prices'!BB34/'Asset Prices'!BB35-1</f>
        <v>-6.9371196754564046E-2</v>
      </c>
      <c r="BC34" s="1">
        <f>'Asset Prices'!BC34/'Asset Prices'!BC35-1</f>
        <v>-2.4602949517867234E-2</v>
      </c>
      <c r="BD34" s="1">
        <f>'Asset Prices'!BD34/'Asset Prices'!BD35-1</f>
        <v>4.8960590737618936E-3</v>
      </c>
    </row>
    <row r="35" spans="3:56" x14ac:dyDescent="0.25">
      <c r="C35" s="38">
        <f>'Asset Prices'!C35</f>
        <v>44126</v>
      </c>
      <c r="D35" s="1">
        <f>'Asset Prices'!D35/'Asset Prices'!D36-1</f>
        <v>-7.8175895765472125E-3</v>
      </c>
      <c r="E35" s="1">
        <f>'Asset Prices'!E35/'Asset Prices'!E36-1</f>
        <v>1.570351758793942E-3</v>
      </c>
      <c r="F35" s="1">
        <f>'Asset Prices'!F35/'Asset Prices'!F36-1</f>
        <v>7.9069767441861671E-3</v>
      </c>
      <c r="G35" s="1">
        <f>'Asset Prices'!G35/'Asset Prices'!G36-1</f>
        <v>-1.371447455386654E-2</v>
      </c>
      <c r="H35" s="1">
        <f>'Asset Prices'!H35/'Asset Prices'!H36-1</f>
        <v>2.7993213766359659E-2</v>
      </c>
      <c r="I35" s="1">
        <f>'Asset Prices'!I35/'Asset Prices'!I36-1</f>
        <v>4.274145170965804E-2</v>
      </c>
      <c r="J35" s="1">
        <f>'Asset Prices'!J35/'Asset Prices'!J36-1</f>
        <v>-4.1090216220694198E-2</v>
      </c>
      <c r="K35" s="1">
        <f>'Asset Prices'!K35/'Asset Prices'!K36-1</f>
        <v>-4.8597487008221862E-2</v>
      </c>
      <c r="L35" s="1">
        <f>'Asset Prices'!L35/'Asset Prices'!L36-1</f>
        <v>-0.1046425803594494</v>
      </c>
      <c r="M35" s="1">
        <f>'Asset Prices'!M35/'Asset Prices'!M36-1</f>
        <v>-2.1715378311936706E-2</v>
      </c>
      <c r="N35" s="1">
        <f>'Asset Prices'!N35/'Asset Prices'!N36-1</f>
        <v>3.2909667174551682E-2</v>
      </c>
      <c r="O35" s="1">
        <f>'Asset Prices'!O35/'Asset Prices'!O36-1</f>
        <v>-3.3107299561228487E-2</v>
      </c>
      <c r="P35" s="1">
        <f>'Asset Prices'!P35/'Asset Prices'!P36-1</f>
        <v>-1.7350592123381969E-2</v>
      </c>
      <c r="Q35" s="1">
        <f>'Asset Prices'!Q35/'Asset Prices'!Q36-1</f>
        <v>0.34621439391689179</v>
      </c>
      <c r="R35" s="1">
        <f>'Asset Prices'!R35/'Asset Prices'!R36-1</f>
        <v>-1.0941828254847685E-2</v>
      </c>
      <c r="S35" s="1">
        <f>'Asset Prices'!S35/'Asset Prices'!S36-1</f>
        <v>-4.203152364273266E-3</v>
      </c>
      <c r="T35" s="1">
        <f>'Asset Prices'!T35/'Asset Prices'!T36-1</f>
        <v>3.8631915112805171E-2</v>
      </c>
      <c r="U35" s="1">
        <f>'Asset Prices'!U35/'Asset Prices'!U36-1</f>
        <v>8.898119807608218E-2</v>
      </c>
      <c r="V35" s="1">
        <f>'Asset Prices'!V35/'Asset Prices'!V36-1</f>
        <v>-9.6126594237127994E-2</v>
      </c>
      <c r="W35" s="1">
        <f>'Asset Prices'!W35/'Asset Prices'!W36-1</f>
        <v>-2.571333775713347E-2</v>
      </c>
      <c r="X35" s="1">
        <f>'Asset Prices'!X35/'Asset Prices'!X36-1</f>
        <v>8.0670103092783663E-2</v>
      </c>
      <c r="Y35" s="1">
        <f>'Asset Prices'!Y35/'Asset Prices'!Y36-1</f>
        <v>-7.6986383360766131E-2</v>
      </c>
      <c r="Z35" s="1">
        <f>'Asset Prices'!Z35/'Asset Prices'!Z36-1</f>
        <v>-8.3120204603580605E-2</v>
      </c>
      <c r="AA35" s="1">
        <f>'Asset Prices'!AA35/'Asset Prices'!AA36-1</f>
        <v>1.4994232987312506E-2</v>
      </c>
      <c r="AB35" s="1">
        <f>'Asset Prices'!AB35/'Asset Prices'!AB36-1</f>
        <v>1.3071895424836777E-2</v>
      </c>
      <c r="AC35" s="1">
        <f>'Asset Prices'!AC35/'Asset Prices'!AC36-1</f>
        <v>1.6115616552296874E-3</v>
      </c>
      <c r="AD35" s="1">
        <f>'Asset Prices'!AD35/'Asset Prices'!AD36-1</f>
        <v>-2.0120518843836144E-2</v>
      </c>
      <c r="AE35" s="1">
        <f>'Asset Prices'!AE35/'Asset Prices'!AE36-1</f>
        <v>-3.8171837099450934E-2</v>
      </c>
      <c r="AF35" s="1">
        <f>'Asset Prices'!AF35/'Asset Prices'!AF36-1</f>
        <v>-4.0020523345305148E-2</v>
      </c>
      <c r="AG35" s="1">
        <f>'Asset Prices'!AG35/'Asset Prices'!AG36-1</f>
        <v>-1.2701462269185559E-2</v>
      </c>
      <c r="AH35" s="1">
        <f>'Asset Prices'!AH35/'Asset Prices'!AH36-1</f>
        <v>-5.582870737509904E-2</v>
      </c>
      <c r="AI35" s="1">
        <f>'Asset Prices'!AI35/'Asset Prices'!AI36-1</f>
        <v>-6.7310721411320107E-2</v>
      </c>
      <c r="AJ35" s="1">
        <f>'Asset Prices'!AJ35/'Asset Prices'!AJ36-1</f>
        <v>-6.1833688699360345E-2</v>
      </c>
      <c r="AK35" s="1">
        <f>'Asset Prices'!AK35/'Asset Prices'!AK36-1</f>
        <v>5.6051990251827721E-2</v>
      </c>
      <c r="AL35" s="1">
        <f>'Asset Prices'!AL35/'Asset Prices'!AL36-1</f>
        <v>5.4215807076218869E-2</v>
      </c>
      <c r="AM35" s="1">
        <f>'Asset Prices'!AM35/'Asset Prices'!AM36-1</f>
        <v>-7.3104331811994494E-2</v>
      </c>
      <c r="AN35" s="1">
        <f>'Asset Prices'!AN35/'Asset Prices'!AN36-1</f>
        <v>1.0389960868978365E-2</v>
      </c>
      <c r="AO35" s="1">
        <f>'Asset Prices'!AO35/'Asset Prices'!AO36-1</f>
        <v>-1.4270976616231112E-2</v>
      </c>
      <c r="AP35" s="1">
        <f>'Asset Prices'!AP35/'Asset Prices'!AP36-1</f>
        <v>-2.4211809789235206E-2</v>
      </c>
      <c r="AQ35" s="1">
        <f>'Asset Prices'!AQ35/'Asset Prices'!AQ36-1</f>
        <v>6.9024307077792502E-2</v>
      </c>
      <c r="AR35" s="1">
        <f>'Asset Prices'!AR35/'Asset Prices'!AR36-1</f>
        <v>-3.9047619047619109E-2</v>
      </c>
      <c r="AS35" s="1">
        <f>'Asset Prices'!AS35/'Asset Prices'!AS36-1</f>
        <v>-8.5795996186844858E-3</v>
      </c>
      <c r="AT35" s="1">
        <f>'Asset Prices'!AT35/'Asset Prices'!AT36-1</f>
        <v>-2.0576749774707137E-2</v>
      </c>
      <c r="AU35" s="1">
        <f>'Asset Prices'!AU35/'Asset Prices'!AU36-1</f>
        <v>2.5871239521722433E-2</v>
      </c>
      <c r="AV35" s="1">
        <f>'Asset Prices'!AV35/'Asset Prices'!AV36-1</f>
        <v>-2.7967681789931698E-2</v>
      </c>
      <c r="AW35" s="1">
        <f>'Asset Prices'!AW35/'Asset Prices'!AW36-1</f>
        <v>3.7774999334945214E-3</v>
      </c>
      <c r="AX35" s="1">
        <f>'Asset Prices'!AX35/'Asset Prices'!AX36-1</f>
        <v>7.34522560335793E-3</v>
      </c>
      <c r="AY35" s="1">
        <f>'Asset Prices'!AY35/'Asset Prices'!AY36-1</f>
        <v>-7.4838528503229362E-2</v>
      </c>
      <c r="AZ35" s="1">
        <f>'Asset Prices'!AZ35/'Asset Prices'!AZ36-1</f>
        <v>1.6131033627000857E-2</v>
      </c>
      <c r="BA35" s="1">
        <f>'Asset Prices'!BA35/'Asset Prices'!BA36-1</f>
        <v>9.1977516607051335E-3</v>
      </c>
      <c r="BB35" s="1">
        <f>'Asset Prices'!BB35/'Asset Prices'!BB36-1</f>
        <v>7.6304673661262701E-3</v>
      </c>
      <c r="BC35" s="1">
        <f>'Asset Prices'!BC35/'Asset Prices'!BC36-1</f>
        <v>8.2508250825082508E-2</v>
      </c>
      <c r="BD35" s="1">
        <f>'Asset Prices'!BD35/'Asset Prices'!BD36-1</f>
        <v>1.1939571150097361E-2</v>
      </c>
    </row>
    <row r="36" spans="3:56" x14ac:dyDescent="0.25">
      <c r="C36" s="38">
        <f>'Asset Prices'!C36</f>
        <v>44119</v>
      </c>
      <c r="D36" s="1">
        <f>'Asset Prices'!D36/'Asset Prices'!D37-1</f>
        <v>-1.6898216573061231E-2</v>
      </c>
      <c r="E36" s="1">
        <f>'Asset Prices'!E36/'Asset Prices'!E37-1</f>
        <v>3.469006418068088E-2</v>
      </c>
      <c r="F36" s="1">
        <f>'Asset Prices'!F36/'Asset Prices'!F37-1</f>
        <v>-5.4737491326806165E-3</v>
      </c>
      <c r="G36" s="1">
        <f>'Asset Prices'!G36/'Asset Prices'!G37-1</f>
        <v>-6.0765314501559642E-3</v>
      </c>
      <c r="H36" s="1">
        <f>'Asset Prices'!H36/'Asset Prices'!H37-1</f>
        <v>5.3491637942040038E-2</v>
      </c>
      <c r="I36" s="1">
        <f>'Asset Prices'!I36/'Asset Prices'!I37-1</f>
        <v>1.122232332423434E-2</v>
      </c>
      <c r="J36" s="1">
        <f>'Asset Prices'!J36/'Asset Prices'!J37-1</f>
        <v>4.9926067669826768E-2</v>
      </c>
      <c r="K36" s="1">
        <f>'Asset Prices'!K36/'Asset Prices'!K37-1</f>
        <v>4.6418329128206759E-2</v>
      </c>
      <c r="L36" s="1">
        <f>'Asset Prices'!L36/'Asset Prices'!L37-1</f>
        <v>1.9086481505857789E-2</v>
      </c>
      <c r="M36" s="1">
        <f>'Asset Prices'!M36/'Asset Prices'!M37-1</f>
        <v>4.3119004653813242E-2</v>
      </c>
      <c r="N36" s="1">
        <f>'Asset Prices'!N36/'Asset Prices'!N37-1</f>
        <v>4.8563127346757051E-2</v>
      </c>
      <c r="O36" s="1">
        <f>'Asset Prices'!O36/'Asset Prices'!O37-1</f>
        <v>4.8149954706989018E-2</v>
      </c>
      <c r="P36" s="1">
        <f>'Asset Prices'!P36/'Asset Prices'!P37-1</f>
        <v>-1.944369430191728E-2</v>
      </c>
      <c r="Q36" s="1">
        <f>'Asset Prices'!Q36/'Asset Prices'!Q37-1</f>
        <v>2.7780321763287263E-2</v>
      </c>
      <c r="R36" s="1">
        <f>'Asset Prices'!R36/'Asset Prices'!R37-1</f>
        <v>-4.2752723762240485E-3</v>
      </c>
      <c r="S36" s="1">
        <f>'Asset Prices'!S36/'Asset Prices'!S37-1</f>
        <v>-1.9237375472346274E-2</v>
      </c>
      <c r="T36" s="1">
        <f>'Asset Prices'!T36/'Asset Prices'!T37-1</f>
        <v>-3.2299870401754638E-2</v>
      </c>
      <c r="U36" s="1">
        <f>'Asset Prices'!U36/'Asset Prices'!U37-1</f>
        <v>-8.0242897419214865E-3</v>
      </c>
      <c r="V36" s="1">
        <f>'Asset Prices'!V36/'Asset Prices'!V37-1</f>
        <v>7.9752410427329501E-3</v>
      </c>
      <c r="W36" s="1">
        <f>'Asset Prices'!W36/'Asset Prices'!W37-1</f>
        <v>4.9077619213365731E-2</v>
      </c>
      <c r="X36" s="1">
        <f>'Asset Prices'!X36/'Asset Prices'!X37-1</f>
        <v>-4.8730443703515203E-3</v>
      </c>
      <c r="Y36" s="1">
        <f>'Asset Prices'!Y36/'Asset Prices'!Y37-1</f>
        <v>2.5471842872487382E-2</v>
      </c>
      <c r="Z36" s="1">
        <f>'Asset Prices'!Z36/'Asset Prices'!Z37-1</f>
        <v>4.2406065150379035E-2</v>
      </c>
      <c r="AA36" s="1">
        <f>'Asset Prices'!AA36/'Asset Prices'!AA37-1</f>
        <v>8.9216446858029208E-3</v>
      </c>
      <c r="AB36" s="1">
        <f>'Asset Prices'!AB36/'Asset Prices'!AB37-1</f>
        <v>-1.2903225806451757E-2</v>
      </c>
      <c r="AC36" s="1">
        <f>'Asset Prices'!AC36/'Asset Prices'!AC37-1</f>
        <v>-2.4741431758264043E-2</v>
      </c>
      <c r="AD36" s="1">
        <f>'Asset Prices'!AD36/'Asset Prices'!AD37-1</f>
        <v>2.095933263816474E-2</v>
      </c>
      <c r="AE36" s="1">
        <f>'Asset Prices'!AE36/'Asset Prices'!AE37-1</f>
        <v>2.6202017555351675E-2</v>
      </c>
      <c r="AF36" s="1">
        <f>'Asset Prices'!AF36/'Asset Prices'!AF37-1</f>
        <v>-1.1663286004056861E-2</v>
      </c>
      <c r="AG36" s="1">
        <f>'Asset Prices'!AG36/'Asset Prices'!AG37-1</f>
        <v>3.3197686870849452E-3</v>
      </c>
      <c r="AH36" s="1">
        <f>'Asset Prices'!AH36/'Asset Prices'!AH37-1</f>
        <v>2.6371479733029446E-2</v>
      </c>
      <c r="AI36" s="1">
        <f>'Asset Prices'!AI36/'Asset Prices'!AI37-1</f>
        <v>6.8799102132435674E-2</v>
      </c>
      <c r="AJ36" s="1">
        <f>'Asset Prices'!AJ36/'Asset Prices'!AJ37-1</f>
        <v>4.268563806136072E-2</v>
      </c>
      <c r="AK36" s="1">
        <f>'Asset Prices'!AK36/'Asset Prices'!AK37-1</f>
        <v>-3.4509803921568549E-2</v>
      </c>
      <c r="AL36" s="1">
        <f>'Asset Prices'!AL36/'Asset Prices'!AL37-1</f>
        <v>1.2655971479500927E-2</v>
      </c>
      <c r="AM36" s="1">
        <f>'Asset Prices'!AM36/'Asset Prices'!AM37-1</f>
        <v>-5.0193931097421873E-2</v>
      </c>
      <c r="AN36" s="1">
        <f>'Asset Prices'!AN36/'Asset Prices'!AN37-1</f>
        <v>1.4788443105573146E-2</v>
      </c>
      <c r="AO36" s="1">
        <f>'Asset Prices'!AO36/'Asset Prices'!AO37-1</f>
        <v>-1.7401588106099042E-2</v>
      </c>
      <c r="AP36" s="1">
        <f>'Asset Prices'!AP36/'Asset Prices'!AP37-1</f>
        <v>-1.5265866209262402E-2</v>
      </c>
      <c r="AQ36" s="1">
        <f>'Asset Prices'!AQ36/'Asset Prices'!AQ37-1</f>
        <v>-1.7986127720641121E-2</v>
      </c>
      <c r="AR36" s="1">
        <f>'Asset Prices'!AR36/'Asset Prices'!AR37-1</f>
        <v>2.0738820479585307E-2</v>
      </c>
      <c r="AS36" s="1">
        <f>'Asset Prices'!AS36/'Asset Prices'!AS37-1</f>
        <v>9.5419847328237495E-4</v>
      </c>
      <c r="AT36" s="1">
        <f>'Asset Prices'!AT36/'Asset Prices'!AT37-1</f>
        <v>-1.8573113207547287E-2</v>
      </c>
      <c r="AU36" s="1">
        <f>'Asset Prices'!AU36/'Asset Prices'!AU37-1</f>
        <v>-5.0802252233183021E-3</v>
      </c>
      <c r="AV36" s="1">
        <f>'Asset Prices'!AV36/'Asset Prices'!AV37-1</f>
        <v>5.4736152081284795E-2</v>
      </c>
      <c r="AW36" s="1">
        <f>'Asset Prices'!AW36/'Asset Prices'!AW37-1</f>
        <v>4.5559480432787458E-2</v>
      </c>
      <c r="AX36" s="1">
        <f>'Asset Prices'!AX36/'Asset Prices'!AX37-1</f>
        <v>8.2134746404239234E-2</v>
      </c>
      <c r="AY36" s="1">
        <f>'Asset Prices'!AY36/'Asset Prices'!AY37-1</f>
        <v>4.874098070976296E-2</v>
      </c>
      <c r="AZ36" s="1">
        <f>'Asset Prices'!AZ36/'Asset Prices'!AZ37-1</f>
        <v>1.1674617122771958E-2</v>
      </c>
      <c r="BA36" s="1">
        <f>'Asset Prices'!BA36/'Asset Prices'!BA37-1</f>
        <v>7.0325900514578432E-3</v>
      </c>
      <c r="BB36" s="1">
        <f>'Asset Prices'!BB36/'Asset Prices'!BB37-1</f>
        <v>-7.035583818157165E-3</v>
      </c>
      <c r="BC36" s="1">
        <f>'Asset Prices'!BC36/'Asset Prices'!BC37-1</f>
        <v>6.9880111676794199E-2</v>
      </c>
      <c r="BD36" s="1">
        <f>'Asset Prices'!BD36/'Asset Prices'!BD37-1</f>
        <v>-1.9979304306296242E-2</v>
      </c>
    </row>
    <row r="37" spans="3:56" x14ac:dyDescent="0.25">
      <c r="C37" s="38">
        <f>'Asset Prices'!C37</f>
        <v>44112</v>
      </c>
      <c r="D37" s="1">
        <f>'Asset Prices'!D37/'Asset Prices'!D38-1</f>
        <v>-1.8195229899188314E-3</v>
      </c>
      <c r="E37" s="1">
        <f>'Asset Prices'!E37/'Asset Prices'!E38-1</f>
        <v>-1.784121320249743E-3</v>
      </c>
      <c r="F37" s="1">
        <f>'Asset Prices'!F37/'Asset Prices'!F38-1</f>
        <v>2.424194567277338E-2</v>
      </c>
      <c r="G37" s="1">
        <f>'Asset Prices'!G37/'Asset Prices'!G38-1</f>
        <v>2.0274798927613968E-2</v>
      </c>
      <c r="H37" s="1">
        <f>'Asset Prices'!H37/'Asset Prices'!H38-1</f>
        <v>6.7820871106264002E-2</v>
      </c>
      <c r="I37" s="1">
        <f>'Asset Prices'!I37/'Asset Prices'!I38-1</f>
        <v>-1.0763980047256538E-2</v>
      </c>
      <c r="J37" s="1">
        <f>'Asset Prices'!J37/'Asset Prices'!J38-1</f>
        <v>-1.5583525986814006E-2</v>
      </c>
      <c r="K37" s="1">
        <f>'Asset Prices'!K37/'Asset Prices'!K38-1</f>
        <v>-9.53353656643674E-3</v>
      </c>
      <c r="L37" s="1">
        <f>'Asset Prices'!L37/'Asset Prices'!L38-1</f>
        <v>8.113590263691739E-3</v>
      </c>
      <c r="M37" s="1">
        <f>'Asset Prices'!M37/'Asset Prices'!M38-1</f>
        <v>-8.8487244657817765E-3</v>
      </c>
      <c r="N37" s="1">
        <f>'Asset Prices'!N37/'Asset Prices'!N38-1</f>
        <v>-3.0042341555212015E-3</v>
      </c>
      <c r="O37" s="1">
        <f>'Asset Prices'!O37/'Asset Prices'!O38-1</f>
        <v>-2.9180851802961261E-3</v>
      </c>
      <c r="P37" s="1">
        <f>'Asset Prices'!P37/'Asset Prices'!P38-1</f>
        <v>2.9250853149882516E-3</v>
      </c>
      <c r="Q37" s="1">
        <f>'Asset Prices'!Q37/'Asset Prices'!Q38-1</f>
        <v>3.1359214130537438E-2</v>
      </c>
      <c r="R37" s="1">
        <f>'Asset Prices'!R37/'Asset Prices'!R38-1</f>
        <v>3.0264279624893531E-2</v>
      </c>
      <c r="S37" s="1">
        <f>'Asset Prices'!S37/'Asset Prices'!S38-1</f>
        <v>5.6624319419237734E-2</v>
      </c>
      <c r="T37" s="1">
        <f>'Asset Prices'!T37/'Asset Prices'!T38-1</f>
        <v>6.31690514043457E-2</v>
      </c>
      <c r="U37" s="1">
        <f>'Asset Prices'!U37/'Asset Prices'!U38-1</f>
        <v>-2.3799221116399538E-3</v>
      </c>
      <c r="V37" s="1">
        <f>'Asset Prices'!V37/'Asset Prices'!V38-1</f>
        <v>1.3023031472326085E-2</v>
      </c>
      <c r="W37" s="1">
        <f>'Asset Prices'!W37/'Asset Prices'!W38-1</f>
        <v>7.2749583662021777E-3</v>
      </c>
      <c r="X37" s="1">
        <f>'Asset Prices'!X37/'Asset Prices'!X38-1</f>
        <v>2.7946216715001304E-2</v>
      </c>
      <c r="Y37" s="1">
        <f>'Asset Prices'!Y37/'Asset Prices'!Y38-1</f>
        <v>-7.1255522302978491E-2</v>
      </c>
      <c r="Z37" s="1">
        <f>'Asset Prices'!Z37/'Asset Prices'!Z38-1</f>
        <v>5.9119385864290219E-2</v>
      </c>
      <c r="AA37" s="1">
        <f>'Asset Prices'!AA37/'Asset Prices'!AA38-1</f>
        <v>3.9767685730418778E-2</v>
      </c>
      <c r="AB37" s="1">
        <f>'Asset Prices'!AB37/'Asset Prices'!AB38-1</f>
        <v>-2.0021074815595341E-2</v>
      </c>
      <c r="AC37" s="1">
        <f>'Asset Prices'!AC37/'Asset Prices'!AC38-1</f>
        <v>7.4526040531706306E-2</v>
      </c>
      <c r="AD37" s="1">
        <f>'Asset Prices'!AD37/'Asset Prices'!AD38-1</f>
        <v>0.12585113876496834</v>
      </c>
      <c r="AE37" s="1">
        <f>'Asset Prices'!AE37/'Asset Prices'!AE38-1</f>
        <v>3.9210347174948978E-2</v>
      </c>
      <c r="AF37" s="1">
        <f>'Asset Prices'!AF37/'Asset Prices'!AF38-1</f>
        <v>0.10848791455874096</v>
      </c>
      <c r="AG37" s="1">
        <f>'Asset Prices'!AG37/'Asset Prices'!AG38-1</f>
        <v>5.8250226654578352E-2</v>
      </c>
      <c r="AH37" s="1">
        <f>'Asset Prices'!AH37/'Asset Prices'!AH38-1</f>
        <v>1.958506224066392E-2</v>
      </c>
      <c r="AI37" s="1">
        <f>'Asset Prices'!AI37/'Asset Prices'!AI38-1</f>
        <v>-6.9103878733839386E-3</v>
      </c>
      <c r="AJ37" s="1">
        <f>'Asset Prices'!AJ37/'Asset Prices'!AJ38-1</f>
        <v>-2.3023457862728081E-2</v>
      </c>
      <c r="AK37" s="1">
        <f>'Asset Prices'!AK37/'Asset Prices'!AK38-1</f>
        <v>0.11256544502617793</v>
      </c>
      <c r="AL37" s="1">
        <f>'Asset Prices'!AL37/'Asset Prices'!AL38-1</f>
        <v>0.11221252973830298</v>
      </c>
      <c r="AM37" s="1">
        <f>'Asset Prices'!AM37/'Asset Prices'!AM38-1</f>
        <v>8.58865306796599E-2</v>
      </c>
      <c r="AN37" s="1">
        <f>'Asset Prices'!AN37/'Asset Prices'!AN38-1</f>
        <v>4.9935304547850778E-2</v>
      </c>
      <c r="AO37" s="1">
        <f>'Asset Prices'!AO37/'Asset Prices'!AO38-1</f>
        <v>-4.3734230445753308E-3</v>
      </c>
      <c r="AP37" s="1">
        <f>'Asset Prices'!AP37/'Asset Prices'!AP38-1</f>
        <v>2.1373510861948164E-2</v>
      </c>
      <c r="AQ37" s="1">
        <f>'Asset Prices'!AQ37/'Asset Prices'!AQ38-1</f>
        <v>8.5635646032405477E-2</v>
      </c>
      <c r="AR37" s="1">
        <f>'Asset Prices'!AR37/'Asset Prices'!AR38-1</f>
        <v>-1.7666719719878987E-2</v>
      </c>
      <c r="AS37" s="1">
        <f>'Asset Prices'!AS37/'Asset Prices'!AS38-1</f>
        <v>6.2162162162162193E-2</v>
      </c>
      <c r="AT37" s="1">
        <f>'Asset Prices'!AT37/'Asset Prices'!AT38-1</f>
        <v>8.3359948898115821E-2</v>
      </c>
      <c r="AU37" s="1">
        <f>'Asset Prices'!AU37/'Asset Prices'!AU38-1</f>
        <v>2.3218540177604607E-2</v>
      </c>
      <c r="AV37" s="1">
        <f>'Asset Prices'!AV37/'Asset Prices'!AV38-1</f>
        <v>-3.7008816806357592E-3</v>
      </c>
      <c r="AW37" s="1">
        <f>'Asset Prices'!AW37/'Asset Prices'!AW38-1</f>
        <v>0.12198851579078762</v>
      </c>
      <c r="AX37" s="1">
        <f>'Asset Prices'!AX37/'Asset Prices'!AX38-1</f>
        <v>4.5922406967537688E-2</v>
      </c>
      <c r="AY37" s="1">
        <f>'Asset Prices'!AY37/'Asset Prices'!AY38-1</f>
        <v>5.2541847489150584E-2</v>
      </c>
      <c r="AZ37" s="1">
        <f>'Asset Prices'!AZ37/'Asset Prices'!AZ38-1</f>
        <v>8.6618469513026763E-2</v>
      </c>
      <c r="BA37" s="1">
        <f>'Asset Prices'!BA37/'Asset Prices'!BA38-1</f>
        <v>5.2916741918006105E-2</v>
      </c>
      <c r="BB37" s="1">
        <f>'Asset Prices'!BB37/'Asset Prices'!BB38-1</f>
        <v>7.3025551684088308E-2</v>
      </c>
      <c r="BC37" s="1">
        <f>'Asset Prices'!BC37/'Asset Prices'!BC38-1</f>
        <v>3.046200710780167E-2</v>
      </c>
      <c r="BD37" s="1">
        <f>'Asset Prices'!BD37/'Asset Prices'!BD38-1</f>
        <v>2.5802237282599894E-2</v>
      </c>
    </row>
    <row r="38" spans="3:56" x14ac:dyDescent="0.25">
      <c r="C38" s="38">
        <f>'Asset Prices'!C38</f>
        <v>44105</v>
      </c>
      <c r="D38" s="1">
        <f>'Asset Prices'!D38/'Asset Prices'!D39-1</f>
        <v>4.0047054009819893E-2</v>
      </c>
      <c r="E38" s="1">
        <f>'Asset Prices'!E38/'Asset Prices'!E39-1</f>
        <v>6.6944240346151762E-3</v>
      </c>
      <c r="F38" s="1">
        <f>'Asset Prices'!F38/'Asset Prices'!F39-1</f>
        <v>1.5150300601202371E-2</v>
      </c>
      <c r="G38" s="1">
        <f>'Asset Prices'!G38/'Asset Prices'!G39-1</f>
        <v>6.4080944350759506E-3</v>
      </c>
      <c r="H38" s="1">
        <f>'Asset Prices'!H38/'Asset Prices'!H39-1</f>
        <v>1.0817142069725838E-2</v>
      </c>
      <c r="I38" s="1">
        <f>'Asset Prices'!I38/'Asset Prices'!I39-1</f>
        <v>6.8528834208311684E-2</v>
      </c>
      <c r="J38" s="1">
        <f>'Asset Prices'!J38/'Asset Prices'!J39-1</f>
        <v>7.9190537793383919E-2</v>
      </c>
      <c r="K38" s="1">
        <f>'Asset Prices'!K38/'Asset Prices'!K39-1</f>
        <v>6.6716559760778171E-2</v>
      </c>
      <c r="L38" s="1">
        <f>'Asset Prices'!L38/'Asset Prices'!L39-1</f>
        <v>0.11505453623065875</v>
      </c>
      <c r="M38" s="1">
        <f>'Asset Prices'!M38/'Asset Prices'!M39-1</f>
        <v>4.5622323933264486E-2</v>
      </c>
      <c r="N38" s="1">
        <f>'Asset Prices'!N38/'Asset Prices'!N39-1</f>
        <v>4.5710751584836284E-2</v>
      </c>
      <c r="O38" s="1">
        <f>'Asset Prices'!O38/'Asset Prices'!O39-1</f>
        <v>4.5546999854714665E-2</v>
      </c>
      <c r="P38" s="1">
        <f>'Asset Prices'!P38/'Asset Prices'!P39-1</f>
        <v>1.5065706273712065E-2</v>
      </c>
      <c r="Q38" s="1">
        <f>'Asset Prices'!Q38/'Asset Prices'!Q39-1</f>
        <v>1.8372450942670371E-2</v>
      </c>
      <c r="R38" s="1">
        <f>'Asset Prices'!R38/'Asset Prices'!R39-1</f>
        <v>4.9351423885492851E-2</v>
      </c>
      <c r="S38" s="1">
        <f>'Asset Prices'!S38/'Asset Prices'!S39-1</f>
        <v>5.6770233985423912E-2</v>
      </c>
      <c r="T38" s="1">
        <f>'Asset Prices'!T38/'Asset Prices'!T39-1</f>
        <v>3.284072249589487E-2</v>
      </c>
      <c r="U38" s="1">
        <f>'Asset Prices'!U38/'Asset Prices'!U39-1</f>
        <v>6.7523415377914731E-3</v>
      </c>
      <c r="V38" s="1">
        <f>'Asset Prices'!V38/'Asset Prices'!V39-1</f>
        <v>6.951250967242717E-2</v>
      </c>
      <c r="W38" s="1">
        <f>'Asset Prices'!W38/'Asset Prices'!W39-1</f>
        <v>8.8956762431994019E-2</v>
      </c>
      <c r="X38" s="1">
        <f>'Asset Prices'!X38/'Asset Prices'!X39-1</f>
        <v>2.9028757460662025E-2</v>
      </c>
      <c r="Y38" s="1">
        <f>'Asset Prices'!Y38/'Asset Prices'!Y39-1</f>
        <v>4.6610485494816833E-2</v>
      </c>
      <c r="Z38" s="1">
        <f>'Asset Prices'!Z38/'Asset Prices'!Z39-1</f>
        <v>8.6785577291906391E-2</v>
      </c>
      <c r="AA38" s="1">
        <f>'Asset Prices'!AA38/'Asset Prices'!AA39-1</f>
        <v>6.8799034399517289E-2</v>
      </c>
      <c r="AB38" s="1">
        <f>'Asset Prices'!AB38/'Asset Prices'!AB39-1</f>
        <v>7.2316384180791005E-2</v>
      </c>
      <c r="AC38" s="1">
        <f>'Asset Prices'!AC38/'Asset Prices'!AC39-1</f>
        <v>8.1482354327461426E-2</v>
      </c>
      <c r="AD38" s="1">
        <f>'Asset Prices'!AD38/'Asset Prices'!AD39-1</f>
        <v>3.5749027237354181E-2</v>
      </c>
      <c r="AE38" s="1">
        <f>'Asset Prices'!AE38/'Asset Prices'!AE39-1</f>
        <v>7.9829461922964029E-2</v>
      </c>
      <c r="AF38" s="1">
        <f>'Asset Prices'!AF38/'Asset Prices'!AF39-1</f>
        <v>-5.4729011689691909E-2</v>
      </c>
      <c r="AG38" s="1">
        <f>'Asset Prices'!AG38/'Asset Prices'!AG39-1</f>
        <v>7.5359671157797514E-3</v>
      </c>
      <c r="AH38" s="1">
        <f>'Asset Prices'!AH38/'Asset Prices'!AH39-1</f>
        <v>9.9653221390764823E-2</v>
      </c>
      <c r="AI38" s="1">
        <f>'Asset Prices'!AI38/'Asset Prices'!AI39-1</f>
        <v>4.6175373134328179E-2</v>
      </c>
      <c r="AJ38" s="1">
        <f>'Asset Prices'!AJ38/'Asset Prices'!AJ39-1</f>
        <v>4.0687160940325429E-2</v>
      </c>
      <c r="AK38" s="1">
        <f>'Asset Prices'!AK38/'Asset Prices'!AK39-1</f>
        <v>1.4159292035398341E-2</v>
      </c>
      <c r="AL38" s="1">
        <f>'Asset Prices'!AL38/'Asset Prices'!AL39-1</f>
        <v>-7.8678206136900686E-3</v>
      </c>
      <c r="AM38" s="1">
        <f>'Asset Prices'!AM38/'Asset Prices'!AM39-1</f>
        <v>2.540435261241436E-2</v>
      </c>
      <c r="AN38" s="1">
        <f>'Asset Prices'!AN38/'Asset Prices'!AN39-1</f>
        <v>4.8803779654201795E-2</v>
      </c>
      <c r="AO38" s="1">
        <f>'Asset Prices'!AO38/'Asset Prices'!AO39-1</f>
        <v>4.392633890859976E-3</v>
      </c>
      <c r="AP38" s="1">
        <f>'Asset Prices'!AP38/'Asset Prices'!AP39-1</f>
        <v>8.0446715881128172E-2</v>
      </c>
      <c r="AQ38" s="1">
        <f>'Asset Prices'!AQ38/'Asset Prices'!AQ39-1</f>
        <v>9.4650673639929517E-2</v>
      </c>
      <c r="AR38" s="1">
        <f>'Asset Prices'!AR38/'Asset Prices'!AR39-1</f>
        <v>2.2623697916666741E-2</v>
      </c>
      <c r="AS38" s="1">
        <f>'Asset Prices'!AS38/'Asset Prices'!AS39-1</f>
        <v>4.1520056298381514E-2</v>
      </c>
      <c r="AT38" s="1">
        <f>'Asset Prices'!AT38/'Asset Prices'!AT39-1</f>
        <v>1.7218973359324208E-2</v>
      </c>
      <c r="AU38" s="1">
        <f>'Asset Prices'!AU38/'Asset Prices'!AU39-1</f>
        <v>4.3814432989690788E-2</v>
      </c>
      <c r="AV38" s="1">
        <f>'Asset Prices'!AV38/'Asset Prices'!AV39-1</f>
        <v>3.890082551170404E-2</v>
      </c>
      <c r="AW38" s="1">
        <f>'Asset Prices'!AW38/'Asset Prices'!AW39-1</f>
        <v>0.17201272813722968</v>
      </c>
      <c r="AX38" s="1">
        <f>'Asset Prices'!AX38/'Asset Prices'!AX39-1</f>
        <v>8.7859424920129214E-3</v>
      </c>
      <c r="AY38" s="1">
        <f>'Asset Prices'!AY38/'Asset Prices'!AY39-1</f>
        <v>0.11877926131437477</v>
      </c>
      <c r="AZ38" s="1">
        <f>'Asset Prices'!AZ38/'Asset Prices'!AZ39-1</f>
        <v>3.6330223353124191E-2</v>
      </c>
      <c r="BA38" s="1">
        <f>'Asset Prices'!BA38/'Asset Prices'!BA39-1</f>
        <v>6.4807692307692344E-2</v>
      </c>
      <c r="BB38" s="1">
        <f>'Asset Prices'!BB38/'Asset Prices'!BB39-1</f>
        <v>2.5915996425379673E-2</v>
      </c>
      <c r="BC38" s="1">
        <f>'Asset Prices'!BC38/'Asset Prices'!BC39-1</f>
        <v>-2.732510288065837E-2</v>
      </c>
      <c r="BD38" s="1">
        <f>'Asset Prices'!BD38/'Asset Prices'!BD39-1</f>
        <v>3.9290563475899543E-2</v>
      </c>
    </row>
    <row r="39" spans="3:56" x14ac:dyDescent="0.25">
      <c r="C39" s="38">
        <f>'Asset Prices'!C39</f>
        <v>44098</v>
      </c>
      <c r="D39" s="1">
        <f>'Asset Prices'!D39/'Asset Prices'!D40-1</f>
        <v>-4.749841671944266E-2</v>
      </c>
      <c r="E39" s="1">
        <f>'Asset Prices'!E39/'Asset Prices'!E40-1</f>
        <v>-5.9361081247120251E-2</v>
      </c>
      <c r="F39" s="1">
        <f>'Asset Prices'!F39/'Asset Prices'!F40-1</f>
        <v>7.2103815744241961E-2</v>
      </c>
      <c r="G39" s="1">
        <f>'Asset Prices'!G39/'Asset Prices'!G40-1</f>
        <v>-1.4622798271851201E-2</v>
      </c>
      <c r="H39" s="1">
        <f>'Asset Prices'!H39/'Asset Prices'!H40-1</f>
        <v>-5.6736205888087476E-2</v>
      </c>
      <c r="I39" s="1">
        <f>'Asset Prices'!I39/'Asset Prices'!I40-1</f>
        <v>-2.075975198179103E-2</v>
      </c>
      <c r="J39" s="1">
        <f>'Asset Prices'!J39/'Asset Prices'!J40-1</f>
        <v>-1.921334058365054E-2</v>
      </c>
      <c r="K39" s="1">
        <f>'Asset Prices'!K39/'Asset Prices'!K40-1</f>
        <v>3.6759695951447124E-3</v>
      </c>
      <c r="L39" s="1">
        <f>'Asset Prices'!L39/'Asset Prices'!L40-1</f>
        <v>6.1250531688643584E-3</v>
      </c>
      <c r="M39" s="1">
        <f>'Asset Prices'!M39/'Asset Prices'!M40-1</f>
        <v>1.3799221329653388E-3</v>
      </c>
      <c r="N39" s="1">
        <f>'Asset Prices'!N39/'Asset Prices'!N40-1</f>
        <v>-4.3159565310953329E-2</v>
      </c>
      <c r="O39" s="1">
        <f>'Asset Prices'!O39/'Asset Prices'!O40-1</f>
        <v>-2.0213523131672573E-2</v>
      </c>
      <c r="P39" s="1">
        <f>'Asset Prices'!P39/'Asset Prices'!P40-1</f>
        <v>-5.3795328026637557E-2</v>
      </c>
      <c r="Q39" s="1">
        <f>'Asset Prices'!Q39/'Asset Prices'!Q40-1</f>
        <v>-4.9233301832149468E-2</v>
      </c>
      <c r="R39" s="1">
        <f>'Asset Prices'!R39/'Asset Prices'!R40-1</f>
        <v>-2.0017533606078386E-2</v>
      </c>
      <c r="S39" s="1">
        <f>'Asset Prices'!S39/'Asset Prices'!S40-1</f>
        <v>-5.1999999999999935E-2</v>
      </c>
      <c r="T39" s="1">
        <f>'Asset Prices'!T39/'Asset Prices'!T40-1</f>
        <v>-0.125083804233311</v>
      </c>
      <c r="U39" s="1">
        <f>'Asset Prices'!U39/'Asset Prices'!U40-1</f>
        <v>-6.4588427057864717E-2</v>
      </c>
      <c r="V39" s="1">
        <f>'Asset Prices'!V39/'Asset Prices'!V40-1</f>
        <v>-7.6785257230610471E-3</v>
      </c>
      <c r="W39" s="1">
        <f>'Asset Prices'!W39/'Asset Prices'!W40-1</f>
        <v>-8.1416264318848741E-3</v>
      </c>
      <c r="X39" s="1">
        <f>'Asset Prices'!X39/'Asset Prices'!X40-1</f>
        <v>-8.7623762376237591E-2</v>
      </c>
      <c r="Y39" s="1">
        <f>'Asset Prices'!Y39/'Asset Prices'!Y40-1</f>
        <v>3.6676646706585991E-3</v>
      </c>
      <c r="Z39" s="1">
        <f>'Asset Prices'!Z39/'Asset Prices'!Z40-1</f>
        <v>-1.5947909785788417E-2</v>
      </c>
      <c r="AA39" s="1">
        <f>'Asset Prices'!AA39/'Asset Prices'!AA40-1</f>
        <v>-2.9534805890227611E-2</v>
      </c>
      <c r="AB39" s="1">
        <f>'Asset Prices'!AB39/'Asset Prices'!AB40-1</f>
        <v>5.6085918854415162E-2</v>
      </c>
      <c r="AC39" s="1">
        <f>'Asset Prices'!AC39/'Asset Prices'!AC40-1</f>
        <v>5.7478075373311732E-3</v>
      </c>
      <c r="AD39" s="1">
        <f>'Asset Prices'!AD39/'Asset Prices'!AD40-1</f>
        <v>-8.9661279610360967E-2</v>
      </c>
      <c r="AE39" s="1">
        <f>'Asset Prices'!AE39/'Asset Prices'!AE40-1</f>
        <v>-5.4101476824097716E-3</v>
      </c>
      <c r="AF39" s="1">
        <f>'Asset Prices'!AF39/'Asset Prices'!AF40-1</f>
        <v>-2.2845275181723856E-2</v>
      </c>
      <c r="AG39" s="1">
        <f>'Asset Prices'!AG39/'Asset Prices'!AG40-1</f>
        <v>4.026606485330797E-2</v>
      </c>
      <c r="AH39" s="1">
        <f>'Asset Prices'!AH39/'Asset Prices'!AH40-1</f>
        <v>-6.4218616567036646E-2</v>
      </c>
      <c r="AI39" s="1">
        <f>'Asset Prices'!AI39/'Asset Prices'!AI40-1</f>
        <v>-5.7167985927880305E-2</v>
      </c>
      <c r="AJ39" s="1">
        <f>'Asset Prices'!AJ39/'Asset Prices'!AJ40-1</f>
        <v>-0.17769516728624524</v>
      </c>
      <c r="AK39" s="1">
        <f>'Asset Prices'!AK39/'Asset Prices'!AK40-1</f>
        <v>-0.12470952749806352</v>
      </c>
      <c r="AL39" s="1">
        <f>'Asset Prices'!AL39/'Asset Prices'!AL40-1</f>
        <v>-3.4011020330609876E-2</v>
      </c>
      <c r="AM39" s="1">
        <f>'Asset Prices'!AM39/'Asset Prices'!AM40-1</f>
        <v>-5.4674991994876687E-2</v>
      </c>
      <c r="AN39" s="1">
        <f>'Asset Prices'!AN39/'Asset Prices'!AN40-1</f>
        <v>-5.9602022971120605E-2</v>
      </c>
      <c r="AO39" s="1">
        <f>'Asset Prices'!AO39/'Asset Prices'!AO40-1</f>
        <v>-2.3106123122627609E-2</v>
      </c>
      <c r="AP39" s="1">
        <f>'Asset Prices'!AP39/'Asset Prices'!AP40-1</f>
        <v>-5.559528065784769E-2</v>
      </c>
      <c r="AQ39" s="1">
        <f>'Asset Prices'!AQ39/'Asset Prices'!AQ40-1</f>
        <v>-9.9617289509230655E-3</v>
      </c>
      <c r="AR39" s="1">
        <f>'Asset Prices'!AR39/'Asset Prices'!AR40-1</f>
        <v>-7.3582629674306288E-2</v>
      </c>
      <c r="AS39" s="1">
        <f>'Asset Prices'!AS39/'Asset Prices'!AS40-1</f>
        <v>-0.12066831683168311</v>
      </c>
      <c r="AT39" s="1">
        <f>'Asset Prices'!AT39/'Asset Prices'!AT40-1</f>
        <v>-0.10000000000000009</v>
      </c>
      <c r="AU39" s="1">
        <f>'Asset Prices'!AU39/'Asset Prices'!AU40-1</f>
        <v>-2.9148375768217827E-2</v>
      </c>
      <c r="AV39" s="1">
        <f>'Asset Prices'!AV39/'Asset Prices'!AV40-1</f>
        <v>-1.242376327083794E-3</v>
      </c>
      <c r="AW39" s="1">
        <f>'Asset Prices'!AW39/'Asset Prices'!AW40-1</f>
        <v>-1.9789911447316455E-2</v>
      </c>
      <c r="AX39" s="1">
        <f>'Asset Prices'!AX39/'Asset Prices'!AX40-1</f>
        <v>-1.8039215686274535E-2</v>
      </c>
      <c r="AY39" s="1">
        <f>'Asset Prices'!AY39/'Asset Prices'!AY40-1</f>
        <v>-2.6666666666666616E-2</v>
      </c>
      <c r="AZ39" s="1">
        <f>'Asset Prices'!AZ39/'Asset Prices'!AZ40-1</f>
        <v>-7.2383949645948187E-2</v>
      </c>
      <c r="BA39" s="1">
        <f>'Asset Prices'!BA39/'Asset Prices'!BA40-1</f>
        <v>-6.1541238043674507E-2</v>
      </c>
      <c r="BB39" s="1">
        <f>'Asset Prices'!BB39/'Asset Prices'!BB40-1</f>
        <v>-2.6250906453952116E-2</v>
      </c>
      <c r="BC39" s="1">
        <f>'Asset Prices'!BC39/'Asset Prices'!BC40-1</f>
        <v>-0.12280701754385959</v>
      </c>
      <c r="BD39" s="1">
        <f>'Asset Prices'!BD39/'Asset Prices'!BD40-1</f>
        <v>-1.3643592533690407E-2</v>
      </c>
    </row>
    <row r="40" spans="3:56" x14ac:dyDescent="0.25">
      <c r="C40" s="38">
        <f>'Asset Prices'!C40</f>
        <v>44091</v>
      </c>
      <c r="D40" s="1">
        <f>'Asset Prices'!D40/'Asset Prices'!D41-1</f>
        <v>1.8507492309218998E-2</v>
      </c>
      <c r="E40" s="1">
        <f>'Asset Prices'!E40/'Asset Prices'!E41-1</f>
        <v>-2.251914127007959E-2</v>
      </c>
      <c r="F40" s="1">
        <f>'Asset Prices'!F40/'Asset Prices'!F41-1</f>
        <v>1.3677149577489223E-2</v>
      </c>
      <c r="G40" s="1">
        <f>'Asset Prices'!G40/'Asset Prices'!G41-1</f>
        <v>4.9712192569335345E-2</v>
      </c>
      <c r="H40" s="1">
        <f>'Asset Prices'!H40/'Asset Prices'!H41-1</f>
        <v>2.6758307753903532E-2</v>
      </c>
      <c r="I40" s="1">
        <f>'Asset Prices'!I40/'Asset Prices'!I41-1</f>
        <v>-4.9498302808758221E-2</v>
      </c>
      <c r="J40" s="1">
        <f>'Asset Prices'!J40/'Asset Prices'!J41-1</f>
        <v>-2.7755749405233843E-2</v>
      </c>
      <c r="K40" s="1">
        <f>'Asset Prices'!K40/'Asset Prices'!K41-1</f>
        <v>-5.2401334127006649E-2</v>
      </c>
      <c r="L40" s="1">
        <f>'Asset Prices'!L40/'Asset Prices'!L41-1</f>
        <v>-2.178209582457824E-2</v>
      </c>
      <c r="M40" s="1">
        <f>'Asset Prices'!M40/'Asset Prices'!M41-1</f>
        <v>-1.1978380484004569E-2</v>
      </c>
      <c r="N40" s="1">
        <f>'Asset Prices'!N40/'Asset Prices'!N41-1</f>
        <v>-2.5562727302512966E-2</v>
      </c>
      <c r="O40" s="1">
        <f>'Asset Prices'!O40/'Asset Prices'!O41-1</f>
        <v>-3.2035825008611796E-2</v>
      </c>
      <c r="P40" s="1">
        <f>'Asset Prices'!P40/'Asset Prices'!P41-1</f>
        <v>1.8439039898267451E-2</v>
      </c>
      <c r="Q40" s="1">
        <f>'Asset Prices'!Q40/'Asset Prices'!Q41-1</f>
        <v>2.4393962494273502E-4</v>
      </c>
      <c r="R40" s="1">
        <f>'Asset Prices'!R40/'Asset Prices'!R41-1</f>
        <v>-9.981194850282038E-3</v>
      </c>
      <c r="S40" s="1">
        <f>'Asset Prices'!S40/'Asset Prices'!S41-1</f>
        <v>8.0645161290322509E-3</v>
      </c>
      <c r="T40" s="1">
        <f>'Asset Prices'!T40/'Asset Prices'!T41-1</f>
        <v>4.0147439729029788E-2</v>
      </c>
      <c r="U40" s="1">
        <f>'Asset Prices'!U40/'Asset Prices'!U41-1</f>
        <v>-6.1926605504587173E-2</v>
      </c>
      <c r="V40" s="1">
        <f>'Asset Prices'!V40/'Asset Prices'!V41-1</f>
        <v>3.4966887417218651E-2</v>
      </c>
      <c r="W40" s="1">
        <f>'Asset Prices'!W40/'Asset Prices'!W41-1</f>
        <v>-1.6297262059973949E-2</v>
      </c>
      <c r="X40" s="1">
        <f>'Asset Prices'!X40/'Asset Prices'!X41-1</f>
        <v>3.7493579866461291E-2</v>
      </c>
      <c r="Y40" s="1">
        <f>'Asset Prices'!Y40/'Asset Prices'!Y41-1</f>
        <v>-8.0190080190079005E-3</v>
      </c>
      <c r="Z40" s="1">
        <f>'Asset Prices'!Z40/'Asset Prices'!Z41-1</f>
        <v>-1.5514678558156803E-2</v>
      </c>
      <c r="AA40" s="1">
        <f>'Asset Prices'!AA40/'Asset Prices'!AA41-1</f>
        <v>-2.3369831671841812E-2</v>
      </c>
      <c r="AB40" s="1">
        <f>'Asset Prices'!AB40/'Asset Prices'!AB41-1</f>
        <v>-1.4117647058823457E-2</v>
      </c>
      <c r="AC40" s="1">
        <f>'Asset Prices'!AC40/'Asset Prices'!AC41-1</f>
        <v>1.8282749049659097E-2</v>
      </c>
      <c r="AD40" s="1">
        <f>'Asset Prices'!AD40/'Asset Prices'!AD41-1</f>
        <v>5.046511627906991E-2</v>
      </c>
      <c r="AE40" s="1">
        <f>'Asset Prices'!AE40/'Asset Prices'!AE41-1</f>
        <v>-6.6090493136756745E-3</v>
      </c>
      <c r="AF40" s="1">
        <f>'Asset Prices'!AF40/'Asset Prices'!AF41-1</f>
        <v>8.690744920993243E-2</v>
      </c>
      <c r="AG40" s="1">
        <f>'Asset Prices'!AG40/'Asset Prices'!AG41-1</f>
        <v>-8.1396617566830365E-2</v>
      </c>
      <c r="AH40" s="1">
        <f>'Asset Prices'!AH40/'Asset Prices'!AH41-1</f>
        <v>4.7593487207013618E-2</v>
      </c>
      <c r="AI40" s="1">
        <f>'Asset Prices'!AI40/'Asset Prices'!AI41-1</f>
        <v>6.835799859055669E-2</v>
      </c>
      <c r="AJ40" s="1">
        <f>'Asset Prices'!AJ40/'Asset Prices'!AJ41-1</f>
        <v>-1.5553522415370558E-2</v>
      </c>
      <c r="AK40" s="1">
        <f>'Asset Prices'!AK40/'Asset Prices'!AK41-1</f>
        <v>5.3877551020408143E-2</v>
      </c>
      <c r="AL40" s="1">
        <f>'Asset Prices'!AL40/'Asset Prices'!AL41-1</f>
        <v>4.2178217821782216E-2</v>
      </c>
      <c r="AM40" s="1">
        <f>'Asset Prices'!AM40/'Asset Prices'!AM41-1</f>
        <v>3.6164565361645584E-2</v>
      </c>
      <c r="AN40" s="1">
        <f>'Asset Prices'!AN40/'Asset Prices'!AN41-1</f>
        <v>4.8518188125681316E-2</v>
      </c>
      <c r="AO40" s="1">
        <f>'Asset Prices'!AO40/'Asset Prices'!AO41-1</f>
        <v>1.780614816059134E-2</v>
      </c>
      <c r="AP40" s="1">
        <f>'Asset Prices'!AP40/'Asset Prices'!AP41-1</f>
        <v>3.3819996303825484E-2</v>
      </c>
      <c r="AQ40" s="1">
        <f>'Asset Prices'!AQ40/'Asset Prices'!AQ41-1</f>
        <v>-7.8566613078877801E-2</v>
      </c>
      <c r="AR40" s="1">
        <f>'Asset Prices'!AR40/'Asset Prices'!AR41-1</f>
        <v>-2.5567754549556954E-3</v>
      </c>
      <c r="AS40" s="1">
        <f>'Asset Prices'!AS40/'Asset Prices'!AS41-1</f>
        <v>7.3041168658698474E-2</v>
      </c>
      <c r="AT40" s="1">
        <f>'Asset Prices'!AT40/'Asset Prices'!AT41-1</f>
        <v>0.10715441890579491</v>
      </c>
      <c r="AU40" s="1">
        <f>'Asset Prices'!AU40/'Asset Prices'!AU41-1</f>
        <v>-2.7244000341617558E-2</v>
      </c>
      <c r="AV40" s="1">
        <f>'Asset Prices'!AV40/'Asset Prices'!AV41-1</f>
        <v>-1.8947368421052602E-2</v>
      </c>
      <c r="AW40" s="1">
        <f>'Asset Prices'!AW40/'Asset Prices'!AW41-1</f>
        <v>1.2486841627645351E-2</v>
      </c>
      <c r="AX40" s="1">
        <f>'Asset Prices'!AX40/'Asset Prices'!AX41-1</f>
        <v>4.7281323877068626E-3</v>
      </c>
      <c r="AY40" s="1">
        <f>'Asset Prices'!AY40/'Asset Prices'!AY41-1</f>
        <v>4.6634870164282027E-2</v>
      </c>
      <c r="AZ40" s="1">
        <f>'Asset Prices'!AZ40/'Asset Prices'!AZ41-1</f>
        <v>1.639344262295106E-2</v>
      </c>
      <c r="BA40" s="1">
        <f>'Asset Prices'!BA40/'Asset Prices'!BA41-1</f>
        <v>1.6510731975784232E-2</v>
      </c>
      <c r="BB40" s="1">
        <f>'Asset Prices'!BB40/'Asset Prices'!BB41-1</f>
        <v>-9.9080987937966158E-3</v>
      </c>
      <c r="BC40" s="1">
        <f>'Asset Prices'!BC40/'Asset Prices'!BC41-1</f>
        <v>3.1194163192376445E-2</v>
      </c>
      <c r="BD40" s="1">
        <f>'Asset Prices'!BD40/'Asset Prices'!BD41-1</f>
        <v>9.3781683001012972E-3</v>
      </c>
    </row>
    <row r="41" spans="3:56" x14ac:dyDescent="0.25">
      <c r="C41" s="38">
        <f>'Asset Prices'!C41</f>
        <v>44084</v>
      </c>
      <c r="D41" s="1">
        <f>'Asset Prices'!D41/'Asset Prices'!D42-1</f>
        <v>-3.5509188361408928E-2</v>
      </c>
      <c r="E41" s="1">
        <f>'Asset Prices'!E41/'Asset Prices'!E42-1</f>
        <v>-1.501050735515097E-4</v>
      </c>
      <c r="F41" s="1">
        <f>'Asset Prices'!F41/'Asset Prices'!F42-1</f>
        <v>1.7190961453256604E-2</v>
      </c>
      <c r="G41" s="1">
        <f>'Asset Prices'!G41/'Asset Prices'!G42-1</f>
        <v>4.028021015761718E-3</v>
      </c>
      <c r="H41" s="1">
        <f>'Asset Prices'!H41/'Asset Prices'!H42-1</f>
        <v>2.1122921777051218E-2</v>
      </c>
      <c r="I41" s="1">
        <f>'Asset Prices'!I41/'Asset Prices'!I42-1</f>
        <v>-7.9108271503160354E-2</v>
      </c>
      <c r="J41" s="1">
        <f>'Asset Prices'!J41/'Asset Prices'!J42-1</f>
        <v>-6.1135009927200556E-2</v>
      </c>
      <c r="K41" s="1">
        <f>'Asset Prices'!K41/'Asset Prices'!K42-1</f>
        <v>-5.7271377672209023E-2</v>
      </c>
      <c r="L41" s="1">
        <f>'Asset Prices'!L41/'Asset Prices'!L42-1</f>
        <v>-8.5744174988112154E-2</v>
      </c>
      <c r="M41" s="1">
        <f>'Asset Prices'!M41/'Asset Prices'!M42-1</f>
        <v>-5.4901058444546735E-2</v>
      </c>
      <c r="N41" s="1">
        <f>'Asset Prices'!N41/'Asset Prices'!N42-1</f>
        <v>-6.3491479033574549E-2</v>
      </c>
      <c r="O41" s="1">
        <f>'Asset Prices'!O41/'Asset Prices'!O42-1</f>
        <v>-2.163655971960099E-2</v>
      </c>
      <c r="P41" s="1">
        <f>'Asset Prices'!P41/'Asset Prices'!P42-1</f>
        <v>-9.7072095707840811E-3</v>
      </c>
      <c r="Q41" s="1">
        <f>'Asset Prices'!Q41/'Asset Prices'!Q42-1</f>
        <v>4.2699987282207807E-2</v>
      </c>
      <c r="R41" s="1">
        <f>'Asset Prices'!R41/'Asset Prices'!R42-1</f>
        <v>-2.1514508138712141E-2</v>
      </c>
      <c r="S41" s="1">
        <f>'Asset Prices'!S41/'Asset Prices'!S42-1</f>
        <v>-3.536067892503536E-2</v>
      </c>
      <c r="T41" s="1">
        <f>'Asset Prices'!T41/'Asset Prices'!T42-1</f>
        <v>-2.6287709768163858E-2</v>
      </c>
      <c r="U41" s="1">
        <f>'Asset Prices'!U41/'Asset Prices'!U42-1</f>
        <v>3.3379419316610592E-2</v>
      </c>
      <c r="V41" s="1">
        <f>'Asset Prices'!V41/'Asset Prices'!V42-1</f>
        <v>2.5229053246580424E-3</v>
      </c>
      <c r="W41" s="1">
        <f>'Asset Prices'!W41/'Asset Prices'!W42-1</f>
        <v>-1.2143514259429722E-2</v>
      </c>
      <c r="X41" s="1">
        <f>'Asset Prices'!X41/'Asset Prices'!X42-1</f>
        <v>5.162622612286949E-3</v>
      </c>
      <c r="Y41" s="1">
        <f>'Asset Prices'!Y41/'Asset Prices'!Y42-1</f>
        <v>-0.10392548236859611</v>
      </c>
      <c r="Z41" s="1">
        <f>'Asset Prices'!Z41/'Asset Prices'!Z42-1</f>
        <v>-1.2567654343638268E-2</v>
      </c>
      <c r="AA41" s="1">
        <f>'Asset Prices'!AA41/'Asset Prices'!AA42-1</f>
        <v>-4.3457870876973614E-2</v>
      </c>
      <c r="AB41" s="1">
        <f>'Asset Prices'!AB41/'Asset Prices'!AB42-1</f>
        <v>-6.5934065934065922E-2</v>
      </c>
      <c r="AC41" s="1">
        <f>'Asset Prices'!AC41/'Asset Prices'!AC42-1</f>
        <v>-4.3736656857653933E-2</v>
      </c>
      <c r="AD41" s="1">
        <f>'Asset Prices'!AD41/'Asset Prices'!AD42-1</f>
        <v>-1.5567765567765512E-2</v>
      </c>
      <c r="AE41" s="1">
        <f>'Asset Prices'!AE41/'Asset Prices'!AE42-1</f>
        <v>-2.5617436840987939E-2</v>
      </c>
      <c r="AF41" s="1">
        <f>'Asset Prices'!AF41/'Asset Prices'!AF42-1</f>
        <v>-4.1125541125541232E-2</v>
      </c>
      <c r="AG41" s="1">
        <f>'Asset Prices'!AG41/'Asset Prices'!AG42-1</f>
        <v>-1.4833924540470722E-2</v>
      </c>
      <c r="AH41" s="1">
        <f>'Asset Prices'!AH41/'Asset Prices'!AH42-1</f>
        <v>2.0262869660460092E-2</v>
      </c>
      <c r="AI41" s="1">
        <f>'Asset Prices'!AI41/'Asset Prices'!AI42-1</f>
        <v>2.9255319148936199E-2</v>
      </c>
      <c r="AJ41" s="1">
        <f>'Asset Prices'!AJ41/'Asset Prices'!AJ42-1</f>
        <v>3.8183890577507595E-2</v>
      </c>
      <c r="AK41" s="1">
        <f>'Asset Prices'!AK41/'Asset Prices'!AK42-1</f>
        <v>4.2553191489361764E-2</v>
      </c>
      <c r="AL41" s="1">
        <f>'Asset Prices'!AL41/'Asset Prices'!AL42-1</f>
        <v>-4.6450151057401801E-2</v>
      </c>
      <c r="AM41" s="1">
        <f>'Asset Prices'!AM41/'Asset Prices'!AM42-1</f>
        <v>-3.1257533145841676E-2</v>
      </c>
      <c r="AN41" s="1">
        <f>'Asset Prices'!AN41/'Asset Prices'!AN42-1</f>
        <v>1.8370848894720959E-2</v>
      </c>
      <c r="AO41" s="1">
        <f>'Asset Prices'!AO41/'Asset Prices'!AO42-1</f>
        <v>-1.7818841775284588E-2</v>
      </c>
      <c r="AP41" s="1">
        <f>'Asset Prices'!AP41/'Asset Prices'!AP42-1</f>
        <v>-2.5396253602305574E-2</v>
      </c>
      <c r="AQ41" s="1">
        <f>'Asset Prices'!AQ41/'Asset Prices'!AQ42-1</f>
        <v>-6.7192337461300267E-2</v>
      </c>
      <c r="AR41" s="1">
        <f>'Asset Prices'!AR41/'Asset Prices'!AR42-1</f>
        <v>5.4438227733253353E-3</v>
      </c>
      <c r="AS41" s="1">
        <f>'Asset Prices'!AS41/'Asset Prices'!AS42-1</f>
        <v>-2.5873221216041409E-2</v>
      </c>
      <c r="AT41" s="1">
        <f>'Asset Prices'!AT41/'Asset Prices'!AT42-1</f>
        <v>2.3355971509027684E-2</v>
      </c>
      <c r="AU41" s="1">
        <f>'Asset Prices'!AU41/'Asset Prices'!AU42-1</f>
        <v>-3.7437250063813154E-3</v>
      </c>
      <c r="AV41" s="1">
        <f>'Asset Prices'!AV41/'Asset Prices'!AV42-1</f>
        <v>-2.8734395178648287E-2</v>
      </c>
      <c r="AW41" s="1">
        <f>'Asset Prices'!AW41/'Asset Prices'!AW42-1</f>
        <v>-2.9964788732394387E-2</v>
      </c>
      <c r="AX41" s="1">
        <f>'Asset Prices'!AX41/'Asset Prices'!AX42-1</f>
        <v>-9.0322580645161299E-2</v>
      </c>
      <c r="AY41" s="1">
        <f>'Asset Prices'!AY41/'Asset Prices'!AY42-1</f>
        <v>7.2953736654803869E-3</v>
      </c>
      <c r="AZ41" s="1">
        <f>'Asset Prices'!AZ41/'Asset Prices'!AZ42-1</f>
        <v>2.0677458849136077E-2</v>
      </c>
      <c r="BA41" s="1">
        <f>'Asset Prices'!BA41/'Asset Prices'!BA42-1</f>
        <v>-3.4195605953224684E-2</v>
      </c>
      <c r="BB41" s="1">
        <f>'Asset Prices'!BB41/'Asset Prices'!BB42-1</f>
        <v>-6.0188933873144279E-2</v>
      </c>
      <c r="BC41" s="1">
        <f>'Asset Prices'!BC41/'Asset Prices'!BC42-1</f>
        <v>2.0358553631115273E-2</v>
      </c>
      <c r="BD41" s="1">
        <f>'Asset Prices'!BD41/'Asset Prices'!BD42-1</f>
        <v>-2.9836065573770498E-2</v>
      </c>
    </row>
    <row r="42" spans="3:56" x14ac:dyDescent="0.25">
      <c r="C42" s="38">
        <f>'Asset Prices'!C42</f>
        <v>44077</v>
      </c>
      <c r="D42" s="1">
        <f>'Asset Prices'!D42/'Asset Prices'!D43-1</f>
        <v>-9.8090318912003038E-3</v>
      </c>
      <c r="E42" s="1">
        <f>'Asset Prices'!E42/'Asset Prices'!E43-1</f>
        <v>-3.6640993045687908E-3</v>
      </c>
      <c r="F42" s="1">
        <f>'Asset Prices'!F42/'Asset Prices'!F43-1</f>
        <v>1.8134247564056238E-2</v>
      </c>
      <c r="G42" s="1">
        <f>'Asset Prices'!G42/'Asset Prices'!G43-1</f>
        <v>-1.3990905911157592E-3</v>
      </c>
      <c r="H42" s="1">
        <f>'Asset Prices'!H42/'Asset Prices'!H43-1</f>
        <v>2.3645114040594217E-2</v>
      </c>
      <c r="I42" s="1">
        <f>'Asset Prices'!I42/'Asset Prices'!I43-1</f>
        <v>-7.1618579905873281E-3</v>
      </c>
      <c r="J42" s="1">
        <f>'Asset Prices'!J42/'Asset Prices'!J43-1</f>
        <v>-3.3037357011439172E-2</v>
      </c>
      <c r="K42" s="1">
        <f>'Asset Prices'!K42/'Asset Prices'!K43-1</f>
        <v>-9.4117647058823417E-3</v>
      </c>
      <c r="L42" s="1">
        <f>'Asset Prices'!L42/'Asset Prices'!L43-1</f>
        <v>-9.8808596347876865E-4</v>
      </c>
      <c r="M42" s="1">
        <f>'Asset Prices'!M42/'Asset Prices'!M43-1</f>
        <v>-4.0956836437461397E-2</v>
      </c>
      <c r="N42" s="1">
        <f>'Asset Prices'!N42/'Asset Prices'!N43-1</f>
        <v>6.0791393412418238E-4</v>
      </c>
      <c r="O42" s="1">
        <f>'Asset Prices'!O42/'Asset Prices'!O43-1</f>
        <v>-2.2864828513784463E-3</v>
      </c>
      <c r="P42" s="1">
        <f>'Asset Prices'!P42/'Asset Prices'!P43-1</f>
        <v>4.3416370106761581E-2</v>
      </c>
      <c r="Q42" s="1">
        <f>'Asset Prices'!Q42/'Asset Prices'!Q43-1</f>
        <v>2.9053788771103317E-2</v>
      </c>
      <c r="R42" s="1">
        <f>'Asset Prices'!R42/'Asset Prices'!R43-1</f>
        <v>2.9433192481422177E-2</v>
      </c>
      <c r="S42" s="1">
        <f>'Asset Prices'!S42/'Asset Prices'!S43-1</f>
        <v>2.27848101265824E-2</v>
      </c>
      <c r="T42" s="1">
        <f>'Asset Prices'!T42/'Asset Prices'!T43-1</f>
        <v>1.2771392081736943E-2</v>
      </c>
      <c r="U42" s="1">
        <f>'Asset Prices'!U42/'Asset Prices'!U43-1</f>
        <v>1.9790223629527759E-3</v>
      </c>
      <c r="V42" s="1">
        <f>'Asset Prices'!V42/'Asset Prices'!V43-1</f>
        <v>-6.4643799472294816E-3</v>
      </c>
      <c r="W42" s="1">
        <f>'Asset Prices'!W42/'Asset Prices'!W43-1</f>
        <v>-2.2657795360546684E-2</v>
      </c>
      <c r="X42" s="1">
        <f>'Asset Prices'!X42/'Asset Prices'!X43-1</f>
        <v>2.8950863213811573E-2</v>
      </c>
      <c r="Y42" s="1">
        <f>'Asset Prices'!Y42/'Asset Prices'!Y43-1</f>
        <v>-9.2555696431805834E-2</v>
      </c>
      <c r="Z42" s="1">
        <f>'Asset Prices'!Z42/'Asset Prices'!Z43-1</f>
        <v>-9.6302353048058897E-3</v>
      </c>
      <c r="AA42" s="1">
        <f>'Asset Prices'!AA42/'Asset Prices'!AA43-1</f>
        <v>3.1274433150896286E-4</v>
      </c>
      <c r="AB42" s="1">
        <f>'Asset Prices'!AB42/'Asset Prices'!AB43-1</f>
        <v>1.2235817575083408E-2</v>
      </c>
      <c r="AC42" s="1">
        <f>'Asset Prices'!AC42/'Asset Prices'!AC43-1</f>
        <v>-2.7386497558785527E-2</v>
      </c>
      <c r="AD42" s="1">
        <f>'Asset Prices'!AD42/'Asset Prices'!AD43-1</f>
        <v>-1.176470588235301E-2</v>
      </c>
      <c r="AE42" s="1">
        <f>'Asset Prices'!AE42/'Asset Prices'!AE43-1</f>
        <v>-3.7463388052584978E-2</v>
      </c>
      <c r="AF42" s="1">
        <f>'Asset Prices'!AF42/'Asset Prices'!AF43-1</f>
        <v>3.2573289902280145E-3</v>
      </c>
      <c r="AG42" s="1">
        <f>'Asset Prices'!AG42/'Asset Prices'!AG43-1</f>
        <v>-0.13047948406393117</v>
      </c>
      <c r="AH42" s="1">
        <f>'Asset Prices'!AH42/'Asset Prices'!AH43-1</f>
        <v>3.3584905660377418E-2</v>
      </c>
      <c r="AI42" s="1">
        <f>'Asset Prices'!AI42/'Asset Prices'!AI43-1</f>
        <v>-4.3478260869565299E-2</v>
      </c>
      <c r="AJ42" s="1">
        <f>'Asset Prices'!AJ42/'Asset Prices'!AJ43-1</f>
        <v>1.269719122739521E-2</v>
      </c>
      <c r="AK42" s="1">
        <f>'Asset Prices'!AK42/'Asset Prices'!AK43-1</f>
        <v>1.2931034482758674E-2</v>
      </c>
      <c r="AL42" s="1">
        <f>'Asset Prices'!AL42/'Asset Prices'!AL43-1</f>
        <v>2.3381642512077416E-2</v>
      </c>
      <c r="AM42" s="1">
        <f>'Asset Prices'!AM42/'Asset Prices'!AM43-1</f>
        <v>-1.6044925792217946E-3</v>
      </c>
      <c r="AN42" s="1">
        <f>'Asset Prices'!AN42/'Asset Prices'!AN43-1</f>
        <v>9.8878695208970413E-3</v>
      </c>
      <c r="AO42" s="1">
        <f>'Asset Prices'!AO42/'Asset Prices'!AO43-1</f>
        <v>1.9855291940097608E-2</v>
      </c>
      <c r="AP42" s="1">
        <f>'Asset Prices'!AP42/'Asset Prices'!AP43-1</f>
        <v>3.4469908701322938E-2</v>
      </c>
      <c r="AQ42" s="1">
        <f>'Asset Prices'!AQ42/'Asset Prices'!AQ43-1</f>
        <v>-4.0252565114443528E-2</v>
      </c>
      <c r="AR42" s="1">
        <f>'Asset Prices'!AR42/'Asset Prices'!AR43-1</f>
        <v>2.1155033971587356E-2</v>
      </c>
      <c r="AS42" s="1">
        <f>'Asset Prices'!AS42/'Asset Prices'!AS43-1</f>
        <v>-4.4499381953028383E-2</v>
      </c>
      <c r="AT42" s="1">
        <f>'Asset Prices'!AT42/'Asset Prices'!AT43-1</f>
        <v>5.663834749291885E-3</v>
      </c>
      <c r="AU42" s="1">
        <f>'Asset Prices'!AU42/'Asset Prices'!AU43-1</f>
        <v>-4.6680455854321234E-2</v>
      </c>
      <c r="AV42" s="1">
        <f>'Asset Prices'!AV42/'Asset Prices'!AV43-1</f>
        <v>-3.9288668320926368E-2</v>
      </c>
      <c r="AW42" s="1">
        <f>'Asset Prices'!AW42/'Asset Prices'!AW43-1</f>
        <v>-3.0716723549488067E-2</v>
      </c>
      <c r="AX42" s="1">
        <f>'Asset Prices'!AX42/'Asset Prices'!AX43-1</f>
        <v>-4.9079754601227044E-2</v>
      </c>
      <c r="AY42" s="1">
        <f>'Asset Prices'!AY42/'Asset Prices'!AY43-1</f>
        <v>4.1093442915849376E-3</v>
      </c>
      <c r="AZ42" s="1">
        <f>'Asset Prices'!AZ42/'Asset Prices'!AZ43-1</f>
        <v>1.3232253618194578E-2</v>
      </c>
      <c r="BA42" s="1">
        <f>'Asset Prices'!BA42/'Asset Prices'!BA43-1</f>
        <v>-3.1737862412077544E-2</v>
      </c>
      <c r="BB42" s="1">
        <f>'Asset Prices'!BB42/'Asset Prices'!BB43-1</f>
        <v>2.2994724739617833E-3</v>
      </c>
      <c r="BC42" s="1">
        <f>'Asset Prices'!BC42/'Asset Prices'!BC43-1</f>
        <v>6.8415051311276898E-4</v>
      </c>
      <c r="BD42" s="1">
        <f>'Asset Prices'!BD42/'Asset Prices'!BD43-1</f>
        <v>-1.3423904253598518E-2</v>
      </c>
    </row>
    <row r="43" spans="3:56" x14ac:dyDescent="0.25">
      <c r="C43" s="38">
        <f>'Asset Prices'!C43</f>
        <v>44070</v>
      </c>
      <c r="D43" s="1">
        <f>'Asset Prices'!D43/'Asset Prices'!D44-1</f>
        <v>3.3700710262062117E-2</v>
      </c>
      <c r="E43" s="1">
        <f>'Asset Prices'!E43/'Asset Prices'!E44-1</f>
        <v>4.378707461754594E-2</v>
      </c>
      <c r="F43" s="1">
        <f>'Asset Prices'!F43/'Asset Prices'!F44-1</f>
        <v>2.6201277659475997E-2</v>
      </c>
      <c r="G43" s="1">
        <f>'Asset Prices'!G43/'Asset Prices'!G44-1</f>
        <v>3.4744842562432154E-2</v>
      </c>
      <c r="H43" s="1">
        <f>'Asset Prices'!H43/'Asset Prices'!H44-1</f>
        <v>4.2842595286587182E-2</v>
      </c>
      <c r="I43" s="1">
        <f>'Asset Prices'!I43/'Asset Prices'!I44-1</f>
        <v>8.9996654399464804E-2</v>
      </c>
      <c r="J43" s="1">
        <f>'Asset Prices'!J43/'Asset Prices'!J44-1</f>
        <v>5.6943563728598656E-2</v>
      </c>
      <c r="K43" s="1">
        <f>'Asset Prices'!K43/'Asset Prices'!K44-1</f>
        <v>3.1124805526828947E-2</v>
      </c>
      <c r="L43" s="1">
        <f>'Asset Prices'!L43/'Asset Prices'!L44-1</f>
        <v>5.6979313115083308E-2</v>
      </c>
      <c r="M43" s="1">
        <f>'Asset Prices'!M43/'Asset Prices'!M44-1</f>
        <v>5.5923198806971719E-2</v>
      </c>
      <c r="N43" s="1">
        <f>'Asset Prices'!N43/'Asset Prices'!N44-1</f>
        <v>3.3160983346550266E-2</v>
      </c>
      <c r="O43" s="1">
        <f>'Asset Prices'!O43/'Asset Prices'!O44-1</f>
        <v>6.4979017192363653E-3</v>
      </c>
      <c r="P43" s="1">
        <f>'Asset Prices'!P43/'Asset Prices'!P44-1</f>
        <v>2.4167320847818807E-2</v>
      </c>
      <c r="Q43" s="1">
        <f>'Asset Prices'!Q43/'Asset Prices'!Q44-1</f>
        <v>2.8225399495374281E-2</v>
      </c>
      <c r="R43" s="1">
        <f>'Asset Prices'!R43/'Asset Prices'!R44-1</f>
        <v>-5.506448340820258E-3</v>
      </c>
      <c r="S43" s="1">
        <f>'Asset Prices'!S43/'Asset Prices'!S44-1</f>
        <v>-1.3204853675945816E-2</v>
      </c>
      <c r="T43" s="1">
        <f>'Asset Prices'!T43/'Asset Prices'!T44-1</f>
        <v>8.264199106573078E-2</v>
      </c>
      <c r="U43" s="1">
        <f>'Asset Prices'!U43/'Asset Prices'!U44-1</f>
        <v>6.4686051411715129E-2</v>
      </c>
      <c r="V43" s="1">
        <f>'Asset Prices'!V43/'Asset Prices'!V44-1</f>
        <v>-1.4816740317130206E-2</v>
      </c>
      <c r="W43" s="1">
        <f>'Asset Prices'!W43/'Asset Prices'!W44-1</f>
        <v>-4.2972247090421467E-3</v>
      </c>
      <c r="X43" s="1">
        <f>'Asset Prices'!X43/'Asset Prices'!X44-1</f>
        <v>9.2571096923969698E-2</v>
      </c>
      <c r="Y43" s="1">
        <f>'Asset Prices'!Y43/'Asset Prices'!Y44-1</f>
        <v>2.4815397651614113E-3</v>
      </c>
      <c r="Z43" s="1">
        <f>'Asset Prices'!Z43/'Asset Prices'!Z44-1</f>
        <v>-4.2869565217391381E-2</v>
      </c>
      <c r="AA43" s="1">
        <f>'Asset Prices'!AA43/'Asset Prices'!AA44-1</f>
        <v>6.7434485060924754E-2</v>
      </c>
      <c r="AB43" s="1">
        <f>'Asset Prices'!AB43/'Asset Prices'!AB44-1</f>
        <v>-4.6659597030752842E-2</v>
      </c>
      <c r="AC43" s="1">
        <f>'Asset Prices'!AC43/'Asset Prices'!AC44-1</f>
        <v>-1.6557205143771681E-2</v>
      </c>
      <c r="AD43" s="1">
        <f>'Asset Prices'!AD43/'Asset Prices'!AD44-1</f>
        <v>6.2755470064919328E-2</v>
      </c>
      <c r="AE43" s="1">
        <f>'Asset Prices'!AE43/'Asset Prices'!AE44-1</f>
        <v>2.5266320677410636E-3</v>
      </c>
      <c r="AF43" s="1">
        <f>'Asset Prices'!AF43/'Asset Prices'!AF44-1</f>
        <v>3.4250421111735152E-2</v>
      </c>
      <c r="AG43" s="1">
        <f>'Asset Prices'!AG43/'Asset Prices'!AG44-1</f>
        <v>5.5451127819547974E-3</v>
      </c>
      <c r="AH43" s="1">
        <f>'Asset Prices'!AH43/'Asset Prices'!AH44-1</f>
        <v>0.17178863586115423</v>
      </c>
      <c r="AI43" s="1">
        <f>'Asset Prices'!AI43/'Asset Prices'!AI44-1</f>
        <v>-5.9770114942527819E-3</v>
      </c>
      <c r="AJ43" s="1">
        <f>'Asset Prices'!AJ43/'Asset Prices'!AJ44-1</f>
        <v>5.010101010100998E-2</v>
      </c>
      <c r="AK43" s="1">
        <f>'Asset Prices'!AK43/'Asset Prices'!AK44-1</f>
        <v>7.2088724584103536E-2</v>
      </c>
      <c r="AL43" s="1">
        <f>'Asset Prices'!AL43/'Asset Prices'!AL44-1</f>
        <v>9.9531615925059214E-3</v>
      </c>
      <c r="AM43" s="1">
        <f>'Asset Prices'!AM43/'Asset Prices'!AM44-1</f>
        <v>1.2180267965895331E-2</v>
      </c>
      <c r="AN43" s="1">
        <f>'Asset Prices'!AN43/'Asset Prices'!AN44-1</f>
        <v>4.4394762056850778E-2</v>
      </c>
      <c r="AO43" s="1">
        <f>'Asset Prices'!AO43/'Asset Prices'!AO44-1</f>
        <v>7.9715061058345249E-3</v>
      </c>
      <c r="AP43" s="1">
        <f>'Asset Prices'!AP43/'Asset Prices'!AP44-1</f>
        <v>3.9109390125847021E-2</v>
      </c>
      <c r="AQ43" s="1">
        <f>'Asset Prices'!AQ43/'Asset Prices'!AQ44-1</f>
        <v>7.6035369935554709E-2</v>
      </c>
      <c r="AR43" s="1">
        <f>'Asset Prices'!AR43/'Asset Prices'!AR44-1</f>
        <v>-3.6739550795775622E-2</v>
      </c>
      <c r="AS43" s="1">
        <f>'Asset Prices'!AS43/'Asset Prices'!AS44-1</f>
        <v>-9.7919216646267238E-3</v>
      </c>
      <c r="AT43" s="1">
        <f>'Asset Prices'!AT43/'Asset Prices'!AT44-1</f>
        <v>3.6250647332988217E-2</v>
      </c>
      <c r="AU43" s="1">
        <f>'Asset Prices'!AU43/'Asset Prices'!AU44-1</f>
        <v>-4.7734909048777752E-2</v>
      </c>
      <c r="AV43" s="1">
        <f>'Asset Prices'!AV43/'Asset Prices'!AV44-1</f>
        <v>-2.214134061267814E-2</v>
      </c>
      <c r="AW43" s="1">
        <f>'Asset Prices'!AW43/'Asset Prices'!AW44-1</f>
        <v>-1.4654261663770152E-3</v>
      </c>
      <c r="AX43" s="1">
        <f>'Asset Prices'!AX43/'Asset Prices'!AX44-1</f>
        <v>-1.3781512605042012E-2</v>
      </c>
      <c r="AY43" s="1">
        <f>'Asset Prices'!AY43/'Asset Prices'!AY44-1</f>
        <v>-2.8298611111111205E-2</v>
      </c>
      <c r="AZ43" s="1">
        <f>'Asset Prices'!AZ43/'Asset Prices'!AZ44-1</f>
        <v>2.1111893033075146E-2</v>
      </c>
      <c r="BA43" s="1">
        <f>'Asset Prices'!BA43/'Asset Prices'!BA44-1</f>
        <v>-5.6294779938587114E-3</v>
      </c>
      <c r="BB43" s="1">
        <f>'Asset Prices'!BB43/'Asset Prices'!BB44-1</f>
        <v>-1.4266666666666539E-2</v>
      </c>
      <c r="BC43" s="1">
        <f>'Asset Prices'!BC43/'Asset Prices'!BC44-1</f>
        <v>0.12474350205198381</v>
      </c>
      <c r="BD43" s="1">
        <f>'Asset Prices'!BD43/'Asset Prices'!BD44-1</f>
        <v>1.3357371138244645E-2</v>
      </c>
    </row>
    <row r="44" spans="3:56" x14ac:dyDescent="0.25">
      <c r="C44" s="38">
        <f>'Asset Prices'!C44</f>
        <v>44063</v>
      </c>
      <c r="D44" s="1">
        <f>'Asset Prices'!D44/'Asset Prices'!D45-1</f>
        <v>3.325235347707256E-2</v>
      </c>
      <c r="E44" s="1">
        <f>'Asset Prices'!E44/'Asset Prices'!E45-1</f>
        <v>-2.168601099572387E-2</v>
      </c>
      <c r="F44" s="1">
        <f>'Asset Prices'!F44/'Asset Prices'!F45-1</f>
        <v>1.3987983477281363E-2</v>
      </c>
      <c r="G44" s="1">
        <f>'Asset Prices'!G44/'Asset Prices'!G45-1</f>
        <v>2.2954461310625618E-2</v>
      </c>
      <c r="H44" s="1">
        <f>'Asset Prices'!H44/'Asset Prices'!H45-1</f>
        <v>-2.2677187744366223E-2</v>
      </c>
      <c r="I44" s="1">
        <f>'Asset Prices'!I44/'Asset Prices'!I45-1</f>
        <v>2.9506314580941329E-2</v>
      </c>
      <c r="J44" s="1">
        <f>'Asset Prices'!J44/'Asset Prices'!J45-1</f>
        <v>2.8388835753412778E-2</v>
      </c>
      <c r="K44" s="1">
        <f>'Asset Prices'!K44/'Asset Prices'!K45-1</f>
        <v>4.3134810915463895E-2</v>
      </c>
      <c r="L44" s="1">
        <f>'Asset Prices'!L44/'Asset Prices'!L45-1</f>
        <v>3.4425446159599415E-2</v>
      </c>
      <c r="M44" s="1">
        <f>'Asset Prices'!M44/'Asset Prices'!M45-1</f>
        <v>2.8174413033061896E-2</v>
      </c>
      <c r="N44" s="1">
        <f>'Asset Prices'!N44/'Asset Prices'!N45-1</f>
        <v>3.9297135133353089E-2</v>
      </c>
      <c r="O44" s="1">
        <f>'Asset Prices'!O44/'Asset Prices'!O45-1</f>
        <v>7.9825339428261088E-3</v>
      </c>
      <c r="P44" s="1">
        <f>'Asset Prices'!P44/'Asset Prices'!P45-1</f>
        <v>9.7384214698221783E-3</v>
      </c>
      <c r="Q44" s="1">
        <f>'Asset Prices'!Q44/'Asset Prices'!Q45-1</f>
        <v>-4.7946960476587086E-2</v>
      </c>
      <c r="R44" s="1">
        <f>'Asset Prices'!R44/'Asset Prices'!R45-1</f>
        <v>-3.1846240179573493E-2</v>
      </c>
      <c r="S44" s="1">
        <f>'Asset Prices'!S44/'Asset Prices'!S45-1</f>
        <v>-3.7774725274725363E-2</v>
      </c>
      <c r="T44" s="1">
        <f>'Asset Prices'!T44/'Asset Prices'!T45-1</f>
        <v>-2.5648997357376135E-2</v>
      </c>
      <c r="U44" s="1">
        <f>'Asset Prices'!U44/'Asset Prices'!U45-1</f>
        <v>-2.3858494446729717E-2</v>
      </c>
      <c r="V44" s="1">
        <f>'Asset Prices'!V44/'Asset Prices'!V45-1</f>
        <v>3.1643872351836855E-2</v>
      </c>
      <c r="W44" s="1">
        <f>'Asset Prices'!W44/'Asset Prices'!W45-1</f>
        <v>3.5217794253938894E-2</v>
      </c>
      <c r="X44" s="1">
        <f>'Asset Prices'!X44/'Asset Prices'!X45-1</f>
        <v>-7.2025352924229846E-3</v>
      </c>
      <c r="Y44" s="1">
        <f>'Asset Prices'!Y44/'Asset Prices'!Y45-1</f>
        <v>4.9949161159125621E-2</v>
      </c>
      <c r="Z44" s="1">
        <f>'Asset Prices'!Z44/'Asset Prices'!Z45-1</f>
        <v>8.276056868468129E-2</v>
      </c>
      <c r="AA44" s="1">
        <f>'Asset Prices'!AA44/'Asset Prices'!AA45-1</f>
        <v>2.5768341751562396E-2</v>
      </c>
      <c r="AB44" s="1">
        <f>'Asset Prices'!AB44/'Asset Prices'!AB45-1</f>
        <v>1.9459459459459483E-2</v>
      </c>
      <c r="AC44" s="1">
        <f>'Asset Prices'!AC44/'Asset Prices'!AC45-1</f>
        <v>-3.903473879607533E-2</v>
      </c>
      <c r="AD44" s="1">
        <f>'Asset Prices'!AD44/'Asset Prices'!AD45-1</f>
        <v>-3.2678218397487968E-2</v>
      </c>
      <c r="AE44" s="1">
        <f>'Asset Prices'!AE44/'Asset Prices'!AE45-1</f>
        <v>2.2482893450635366E-2</v>
      </c>
      <c r="AF44" s="1">
        <f>'Asset Prices'!AF44/'Asset Prices'!AF45-1</f>
        <v>2.0045819014891109E-2</v>
      </c>
      <c r="AG44" s="1">
        <f>'Asset Prices'!AG44/'Asset Prices'!AG45-1</f>
        <v>3.6329989286062236E-2</v>
      </c>
      <c r="AH44" s="1">
        <f>'Asset Prices'!AH44/'Asset Prices'!AH45-1</f>
        <v>-2.2476766803544601E-2</v>
      </c>
      <c r="AI44" s="1">
        <f>'Asset Prices'!AI44/'Asset Prices'!AI45-1</f>
        <v>-3.6646816307832619E-3</v>
      </c>
      <c r="AJ44" s="1">
        <f>'Asset Prices'!AJ44/'Asset Prices'!AJ45-1</f>
        <v>3.5131744040150625E-2</v>
      </c>
      <c r="AK44" s="1">
        <f>'Asset Prices'!AK44/'Asset Prices'!AK45-1</f>
        <v>-4.585537918871252E-2</v>
      </c>
      <c r="AL44" s="1">
        <f>'Asset Prices'!AL44/'Asset Prices'!AL45-1</f>
        <v>-4.4208170117515322E-2</v>
      </c>
      <c r="AM44" s="1">
        <f>'Asset Prices'!AM44/'Asset Prices'!AM45-1</f>
        <v>-1.5036391266096127E-2</v>
      </c>
      <c r="AN44" s="1">
        <f>'Asset Prices'!AN44/'Asset Prices'!AN45-1</f>
        <v>-1.6233766233766156E-2</v>
      </c>
      <c r="AO44" s="1">
        <f>'Asset Prices'!AO44/'Asset Prices'!AO45-1</f>
        <v>7.5187969924812581E-3</v>
      </c>
      <c r="AP44" s="1">
        <f>'Asset Prices'!AP44/'Asset Prices'!AP45-1</f>
        <v>-9.5604972859394177E-2</v>
      </c>
      <c r="AQ44" s="1">
        <f>'Asset Prices'!AQ44/'Asset Prices'!AQ45-1</f>
        <v>3.5165744427780865E-2</v>
      </c>
      <c r="AR44" s="1">
        <f>'Asset Prices'!AR44/'Asset Prices'!AR45-1</f>
        <v>4.866635470285452E-2</v>
      </c>
      <c r="AS44" s="1">
        <f>'Asset Prices'!AS44/'Asset Prices'!AS45-1</f>
        <v>1.2391573729863659E-2</v>
      </c>
      <c r="AT44" s="1">
        <f>'Asset Prices'!AT44/'Asset Prices'!AT45-1</f>
        <v>-1.1433447098976091E-2</v>
      </c>
      <c r="AU44" s="1">
        <f>'Asset Prices'!AU44/'Asset Prices'!AU45-1</f>
        <v>-1.2960774596881719E-2</v>
      </c>
      <c r="AV44" s="1">
        <f>'Asset Prices'!AV44/'Asset Prices'!AV45-1</f>
        <v>1.6860285802405617E-2</v>
      </c>
      <c r="AW44" s="1">
        <f>'Asset Prices'!AW44/'Asset Prices'!AW45-1</f>
        <v>-2.7991254803233057E-2</v>
      </c>
      <c r="AX44" s="1">
        <f>'Asset Prices'!AX44/'Asset Prices'!AX45-1</f>
        <v>2.3584905660376521E-3</v>
      </c>
      <c r="AY44" s="1">
        <f>'Asset Prices'!AY44/'Asset Prices'!AY45-1</f>
        <v>-5.2056220718377233E-4</v>
      </c>
      <c r="AZ44" s="1">
        <f>'Asset Prices'!AZ44/'Asset Prices'!AZ45-1</f>
        <v>-2.5778143425202238E-2</v>
      </c>
      <c r="BA44" s="1">
        <f>'Asset Prices'!BA44/'Asset Prices'!BA45-1</f>
        <v>6.0065213660545069E-3</v>
      </c>
      <c r="BB44" s="1">
        <f>'Asset Prices'!BB44/'Asset Prices'!BB45-1</f>
        <v>-8.8542354962336534E-3</v>
      </c>
      <c r="BC44" s="1">
        <f>'Asset Prices'!BC44/'Asset Prices'!BC45-1</f>
        <v>-9.3172962900220924E-3</v>
      </c>
      <c r="BD44" s="1">
        <f>'Asset Prices'!BD44/'Asset Prices'!BD45-1</f>
        <v>-1.9366763098682016E-2</v>
      </c>
    </row>
    <row r="45" spans="3:56" x14ac:dyDescent="0.25">
      <c r="C45" s="38">
        <f>'Asset Prices'!C45</f>
        <v>44056</v>
      </c>
      <c r="D45" s="1">
        <f>'Asset Prices'!D45/'Asset Prices'!D46-1</f>
        <v>-5.9868189364592483E-3</v>
      </c>
      <c r="E45" s="1">
        <f>'Asset Prices'!E45/'Asset Prices'!E46-1</f>
        <v>1.0701727564592645E-3</v>
      </c>
      <c r="F45" s="1">
        <f>'Asset Prices'!F45/'Asset Prices'!F46-1</f>
        <v>6.0428073668491677E-2</v>
      </c>
      <c r="G45" s="1">
        <f>'Asset Prices'!G45/'Asset Prices'!G46-1</f>
        <v>-2.2793053545586028E-2</v>
      </c>
      <c r="H45" s="1">
        <f>'Asset Prices'!H45/'Asset Prices'!H46-1</f>
        <v>4.6729667385966289E-2</v>
      </c>
      <c r="I45" s="1">
        <f>'Asset Prices'!I45/'Asset Prices'!I46-1</f>
        <v>-1.500301568154383E-2</v>
      </c>
      <c r="J45" s="1">
        <f>'Asset Prices'!J45/'Asset Prices'!J46-1</f>
        <v>9.7232281995567327E-3</v>
      </c>
      <c r="K45" s="1">
        <f>'Asset Prices'!K45/'Asset Prices'!K46-1</f>
        <v>-1.9838759689922436E-2</v>
      </c>
      <c r="L45" s="1">
        <f>'Asset Prices'!L45/'Asset Prices'!L46-1</f>
        <v>-5.4510096644928119E-2</v>
      </c>
      <c r="M45" s="1">
        <f>'Asset Prices'!M45/'Asset Prices'!M46-1</f>
        <v>-3.5359371388953065E-2</v>
      </c>
      <c r="N45" s="1">
        <f>'Asset Prices'!N45/'Asset Prices'!N46-1</f>
        <v>7.7743446626135082E-3</v>
      </c>
      <c r="O45" s="1">
        <f>'Asset Prices'!O45/'Asset Prices'!O46-1</f>
        <v>2.0185146516322083E-2</v>
      </c>
      <c r="P45" s="1">
        <f>'Asset Prices'!P45/'Asset Prices'!P46-1</f>
        <v>3.2322169618329566E-2</v>
      </c>
      <c r="Q45" s="1">
        <f>'Asset Prices'!Q45/'Asset Prices'!Q46-1</f>
        <v>3.4526176275679221E-2</v>
      </c>
      <c r="R45" s="1">
        <f>'Asset Prices'!R45/'Asset Prices'!R46-1</f>
        <v>1.683309557774626E-2</v>
      </c>
      <c r="S45" s="1">
        <f>'Asset Prices'!S45/'Asset Prices'!S46-1</f>
        <v>9.8867924528301954E-2</v>
      </c>
      <c r="T45" s="1">
        <f>'Asset Prices'!T45/'Asset Prices'!T46-1</f>
        <v>6.7540657152339811E-2</v>
      </c>
      <c r="U45" s="1">
        <f>'Asset Prices'!U45/'Asset Prices'!U46-1</f>
        <v>7.5187969924811915E-2</v>
      </c>
      <c r="V45" s="1">
        <f>'Asset Prices'!V45/'Asset Prices'!V46-1</f>
        <v>1.7601309864920145E-2</v>
      </c>
      <c r="W45" s="1">
        <f>'Asset Prices'!W45/'Asset Prices'!W46-1</f>
        <v>5.0121654501216639E-2</v>
      </c>
      <c r="X45" s="1">
        <f>'Asset Prices'!X45/'Asset Prices'!X46-1</f>
        <v>5.1181102362204633E-2</v>
      </c>
      <c r="Y45" s="1">
        <f>'Asset Prices'!Y45/'Asset Prices'!Y46-1</f>
        <v>-6.7109319421389535E-2</v>
      </c>
      <c r="Z45" s="1">
        <f>'Asset Prices'!Z45/'Asset Prices'!Z46-1</f>
        <v>3.4076526141563646E-2</v>
      </c>
      <c r="AA45" s="1">
        <f>'Asset Prices'!AA45/'Asset Prices'!AA46-1</f>
        <v>4.3852106620809739E-3</v>
      </c>
      <c r="AB45" s="1">
        <f>'Asset Prices'!AB45/'Asset Prices'!AB46-1</f>
        <v>-7.0351758793969821E-2</v>
      </c>
      <c r="AC45" s="1">
        <f>'Asset Prices'!AC45/'Asset Prices'!AC46-1</f>
        <v>1.0666809605488936E-2</v>
      </c>
      <c r="AD45" s="1">
        <f>'Asset Prices'!AD45/'Asset Prices'!AD46-1</f>
        <v>0.1189329863370201</v>
      </c>
      <c r="AE45" s="1">
        <f>'Asset Prices'!AE45/'Asset Prices'!AE46-1</f>
        <v>3.3258783637543976E-2</v>
      </c>
      <c r="AF45" s="1">
        <f>'Asset Prices'!AF45/'Asset Prices'!AF46-1</f>
        <v>8.1784386617100413E-2</v>
      </c>
      <c r="AG45" s="1">
        <f>'Asset Prices'!AG45/'Asset Prices'!AG46-1</f>
        <v>-4.4603897992824271E-3</v>
      </c>
      <c r="AH45" s="1">
        <f>'Asset Prices'!AH45/'Asset Prices'!AH46-1</f>
        <v>1.2694243817027884E-2</v>
      </c>
      <c r="AI45" s="1">
        <f>'Asset Prices'!AI45/'Asset Prices'!AI46-1</f>
        <v>1.2053778395920256E-2</v>
      </c>
      <c r="AJ45" s="1">
        <f>'Asset Prices'!AJ45/'Asset Prices'!AJ46-1</f>
        <v>-2.8443722064201538E-2</v>
      </c>
      <c r="AK45" s="1">
        <f>'Asset Prices'!AK45/'Asset Prices'!AK46-1</f>
        <v>4.8059149722735617E-2</v>
      </c>
      <c r="AL45" s="1">
        <f>'Asset Prices'!AL45/'Asset Prices'!AL46-1</f>
        <v>-4.8264340077964762E-3</v>
      </c>
      <c r="AM45" s="1">
        <f>'Asset Prices'!AM45/'Asset Prices'!AM46-1</f>
        <v>-8.6425626387567345E-3</v>
      </c>
      <c r="AN45" s="1">
        <f>'Asset Prices'!AN45/'Asset Prices'!AN46-1</f>
        <v>1.2566944164589922E-2</v>
      </c>
      <c r="AO45" s="1">
        <f>'Asset Prices'!AO45/'Asset Prices'!AO46-1</f>
        <v>1.1931523430745328E-2</v>
      </c>
      <c r="AP45" s="1">
        <f>'Asset Prices'!AP45/'Asset Prices'!AP46-1</f>
        <v>6.9275416588653771E-2</v>
      </c>
      <c r="AQ45" s="1">
        <f>'Asset Prices'!AQ45/'Asset Prices'!AQ46-1</f>
        <v>-9.4963961434054056E-2</v>
      </c>
      <c r="AR45" s="1">
        <f>'Asset Prices'!AR45/'Asset Prices'!AR46-1</f>
        <v>-8.557980316645275E-2</v>
      </c>
      <c r="AS45" s="1">
        <f>'Asset Prices'!AS45/'Asset Prices'!AS46-1</f>
        <v>-1.7052375152253441E-2</v>
      </c>
      <c r="AT45" s="1">
        <f>'Asset Prices'!AT45/'Asset Prices'!AT46-1</f>
        <v>3.9007092198581672E-2</v>
      </c>
      <c r="AU45" s="1">
        <f>'Asset Prices'!AU45/'Asset Prices'!AU46-1</f>
        <v>1.0477254343052911E-2</v>
      </c>
      <c r="AV45" s="1">
        <f>'Asset Prices'!AV45/'Asset Prices'!AV46-1</f>
        <v>1.7468619246862049E-2</v>
      </c>
      <c r="AW45" s="1">
        <f>'Asset Prices'!AW45/'Asset Prices'!AW46-1</f>
        <v>1.0781490658273496E-2</v>
      </c>
      <c r="AX45" s="1">
        <f>'Asset Prices'!AX45/'Asset Prices'!AX46-1</f>
        <v>-4.2271700548563995E-2</v>
      </c>
      <c r="AY45" s="1">
        <f>'Asset Prices'!AY45/'Asset Prices'!AY46-1</f>
        <v>8.6128910667169212E-2</v>
      </c>
      <c r="AZ45" s="1">
        <f>'Asset Prices'!AZ45/'Asset Prices'!AZ46-1</f>
        <v>6.7789165446559219E-2</v>
      </c>
      <c r="BA45" s="1">
        <f>'Asset Prices'!BA45/'Asset Prices'!BA46-1</f>
        <v>2.0636285468615956E-3</v>
      </c>
      <c r="BB45" s="1">
        <f>'Asset Prices'!BB45/'Asset Prices'!BB46-1</f>
        <v>1.0010678056593614E-2</v>
      </c>
      <c r="BC45" s="1">
        <f>'Asset Prices'!BC45/'Asset Prices'!BC46-1</f>
        <v>4.2369290738064613E-4</v>
      </c>
      <c r="BD45" s="1">
        <f>'Asset Prices'!BD45/'Asset Prices'!BD46-1</f>
        <v>4.6857912004711011E-2</v>
      </c>
    </row>
    <row r="46" spans="3:56" x14ac:dyDescent="0.25">
      <c r="C46" s="38">
        <f>'Asset Prices'!C46</f>
        <v>44049</v>
      </c>
      <c r="D46" s="1">
        <f>'Asset Prices'!D46/'Asset Prices'!D47-1</f>
        <v>2.4270844068844832E-2</v>
      </c>
      <c r="E46" s="1">
        <f>'Asset Prices'!E46/'Asset Prices'!E47-1</f>
        <v>0.13107383710876697</v>
      </c>
      <c r="F46" s="1">
        <f>'Asset Prices'!F46/'Asset Prices'!F47-1</f>
        <v>3.7492253666597808E-2</v>
      </c>
      <c r="G46" s="1">
        <f>'Asset Prices'!G46/'Asset Prices'!G47-1</f>
        <v>5.429864253394534E-4</v>
      </c>
      <c r="H46" s="1">
        <f>'Asset Prices'!H46/'Asset Prices'!H47-1</f>
        <v>-1.7114020332041235E-2</v>
      </c>
      <c r="I46" s="1">
        <f>'Asset Prices'!I46/'Asset Prices'!I47-1</f>
        <v>0.13125799573560748</v>
      </c>
      <c r="J46" s="1">
        <f>'Asset Prices'!J46/'Asset Prices'!J47-1</f>
        <v>0.18414076307308469</v>
      </c>
      <c r="K46" s="1">
        <f>'Asset Prices'!K46/'Asset Prices'!K47-1</f>
        <v>5.6725690394117789E-2</v>
      </c>
      <c r="L46" s="1">
        <f>'Asset Prices'!L46/'Asset Prices'!L47-1</f>
        <v>4.7920955125565934E-2</v>
      </c>
      <c r="M46" s="1">
        <f>'Asset Prices'!M46/'Asset Prices'!M47-1</f>
        <v>6.1059342815105389E-2</v>
      </c>
      <c r="N46" s="1">
        <f>'Asset Prices'!N46/'Asset Prices'!N47-1</f>
        <v>-2.1724292595409311E-2</v>
      </c>
      <c r="O46" s="1">
        <f>'Asset Prices'!O46/'Asset Prices'!O47-1</f>
        <v>-1.1150113565971509E-2</v>
      </c>
      <c r="P46" s="1">
        <f>'Asset Prices'!P46/'Asset Prices'!P47-1</f>
        <v>-5.3862744013714603E-2</v>
      </c>
      <c r="Q46" s="1">
        <f>'Asset Prices'!Q46/'Asset Prices'!Q47-1</f>
        <v>1.9146996251646398E-2</v>
      </c>
      <c r="R46" s="1">
        <f>'Asset Prices'!R46/'Asset Prices'!R47-1</f>
        <v>1.5942028985507228E-2</v>
      </c>
      <c r="S46" s="1">
        <f>'Asset Prices'!S46/'Asset Prices'!S47-1</f>
        <v>0</v>
      </c>
      <c r="T46" s="1">
        <f>'Asset Prices'!T46/'Asset Prices'!T47-1</f>
        <v>5.7069348614197102E-2</v>
      </c>
      <c r="U46" s="1">
        <f>'Asset Prices'!U46/'Asset Prices'!U47-1</f>
        <v>-6.1538461538461764E-3</v>
      </c>
      <c r="V46" s="1">
        <f>'Asset Prices'!V46/'Asset Prices'!V47-1</f>
        <v>1.3973436635307257E-2</v>
      </c>
      <c r="W46" s="1">
        <f>'Asset Prices'!W46/'Asset Prices'!W47-1</f>
        <v>2.7191842447265913E-2</v>
      </c>
      <c r="X46" s="1">
        <f>'Asset Prices'!X46/'Asset Prices'!X47-1</f>
        <v>6.6537467700258368E-2</v>
      </c>
      <c r="Y46" s="1">
        <f>'Asset Prices'!Y46/'Asset Prices'!Y47-1</f>
        <v>6.2618117676703999E-2</v>
      </c>
      <c r="Z46" s="1">
        <f>'Asset Prices'!Z46/'Asset Prices'!Z47-1</f>
        <v>7.9793944491168833E-2</v>
      </c>
      <c r="AA46" s="1">
        <f>'Asset Prices'!AA46/'Asset Prices'!AA47-1</f>
        <v>1.1480257436075725E-2</v>
      </c>
      <c r="AB46" s="1">
        <f>'Asset Prices'!AB46/'Asset Prices'!AB47-1</f>
        <v>2.471678681771361E-2</v>
      </c>
      <c r="AC46" s="1">
        <f>'Asset Prices'!AC46/'Asset Prices'!AC47-1</f>
        <v>0.10876025199096651</v>
      </c>
      <c r="AD46" s="1">
        <f>'Asset Prices'!AD46/'Asset Prices'!AD47-1</f>
        <v>-0.1127915031170631</v>
      </c>
      <c r="AE46" s="1">
        <f>'Asset Prices'!AE46/'Asset Prices'!AE47-1</f>
        <v>-8.9375089375088868E-3</v>
      </c>
      <c r="AF46" s="1">
        <f>'Asset Prices'!AF46/'Asset Prices'!AF47-1</f>
        <v>0.1955555555555557</v>
      </c>
      <c r="AG46" s="1">
        <f>'Asset Prices'!AG46/'Asset Prices'!AG47-1</f>
        <v>-3.4363295880149858E-2</v>
      </c>
      <c r="AH46" s="1">
        <f>'Asset Prices'!AH46/'Asset Prices'!AH47-1</f>
        <v>-1.210810810810814E-2</v>
      </c>
      <c r="AI46" s="1">
        <f>'Asset Prices'!AI46/'Asset Prices'!AI47-1</f>
        <v>6.4922241421871307E-2</v>
      </c>
      <c r="AJ46" s="1">
        <f>'Asset Prices'!AJ46/'Asset Prices'!AJ47-1</f>
        <v>1.4427040395712964E-2</v>
      </c>
      <c r="AK46" s="1">
        <f>'Asset Prices'!AK46/'Asset Prices'!AK47-1</f>
        <v>6.0784313725490202E-2</v>
      </c>
      <c r="AL46" s="1">
        <f>'Asset Prices'!AL46/'Asset Prices'!AL47-1</f>
        <v>-1.8224895206852554E-2</v>
      </c>
      <c r="AM46" s="1">
        <f>'Asset Prices'!AM46/'Asset Prices'!AM47-1</f>
        <v>2.620016273393011E-2</v>
      </c>
      <c r="AN46" s="1">
        <f>'Asset Prices'!AN46/'Asset Prices'!AN47-1</f>
        <v>-5.7992007992007877E-2</v>
      </c>
      <c r="AO46" s="1">
        <f>'Asset Prices'!AO46/'Asset Prices'!AO47-1</f>
        <v>9.249563699825547E-3</v>
      </c>
      <c r="AP46" s="1">
        <f>'Asset Prices'!AP46/'Asset Prices'!AP47-1</f>
        <v>3.5077519379844935E-2</v>
      </c>
      <c r="AQ46" s="1">
        <f>'Asset Prices'!AQ46/'Asset Prices'!AQ47-1</f>
        <v>2.0392568890587048E-2</v>
      </c>
      <c r="AR46" s="1">
        <f>'Asset Prices'!AR46/'Asset Prices'!AR47-1</f>
        <v>6.7773378007919716E-2</v>
      </c>
      <c r="AS46" s="1">
        <f>'Asset Prices'!AS46/'Asset Prices'!AS47-1</f>
        <v>5.5113288426211771E-3</v>
      </c>
      <c r="AT46" s="1">
        <f>'Asset Prices'!AT46/'Asset Prices'!AT47-1</f>
        <v>5.2435155812651457E-2</v>
      </c>
      <c r="AU46" s="1">
        <f>'Asset Prices'!AU46/'Asset Prices'!AU47-1</f>
        <v>-5.1964650891031083E-2</v>
      </c>
      <c r="AV46" s="1">
        <f>'Asset Prices'!AV46/'Asset Prices'!AV47-1</f>
        <v>1.7562533262373448E-2</v>
      </c>
      <c r="AW46" s="1">
        <f>'Asset Prices'!AW46/'Asset Prices'!AW47-1</f>
        <v>4.2334136041601411E-2</v>
      </c>
      <c r="AX46" s="1">
        <f>'Asset Prices'!AX46/'Asset Prices'!AX47-1</f>
        <v>1.2745098039215641E-2</v>
      </c>
      <c r="AY46" s="1">
        <f>'Asset Prices'!AY46/'Asset Prices'!AY47-1</f>
        <v>6.8465565847764864E-2</v>
      </c>
      <c r="AZ46" s="1">
        <f>'Asset Prices'!AZ46/'Asset Prices'!AZ47-1</f>
        <v>5.5948174322733024E-3</v>
      </c>
      <c r="BA46" s="1">
        <f>'Asset Prices'!BA46/'Asset Prices'!BA47-1</f>
        <v>0.21780104712041881</v>
      </c>
      <c r="BB46" s="1">
        <f>'Asset Prices'!BB46/'Asset Prices'!BB47-1</f>
        <v>-2.1165403710478259E-2</v>
      </c>
      <c r="BC46" s="1">
        <f>'Asset Prices'!BC46/'Asset Prices'!BC47-1</f>
        <v>5.8480581218046446E-2</v>
      </c>
      <c r="BD46" s="1">
        <f>'Asset Prices'!BD46/'Asset Prices'!BD47-1</f>
        <v>0.12908434650455924</v>
      </c>
    </row>
    <row r="47" spans="3:56" x14ac:dyDescent="0.25">
      <c r="C47" s="38">
        <f>'Asset Prices'!C47</f>
        <v>44042</v>
      </c>
      <c r="D47" s="1">
        <f>'Asset Prices'!D47/'Asset Prices'!D48-1</f>
        <v>-1.7069341032264651E-2</v>
      </c>
      <c r="E47" s="1">
        <f>'Asset Prices'!E47/'Asset Prices'!E48-1</f>
        <v>-2.0826278360988937E-2</v>
      </c>
      <c r="F47" s="1">
        <f>'Asset Prices'!F47/'Asset Prices'!F48-1</f>
        <v>-1.5055951169888115E-2</v>
      </c>
      <c r="G47" s="1">
        <f>'Asset Prices'!G47/'Asset Prices'!G48-1</f>
        <v>-9.1463414634146423E-3</v>
      </c>
      <c r="H47" s="1">
        <f>'Asset Prices'!H47/'Asset Prices'!H48-1</f>
        <v>9.5168374816978485E-4</v>
      </c>
      <c r="I47" s="1">
        <f>'Asset Prices'!I47/'Asset Prices'!I48-1</f>
        <v>8.1685296646603067E-3</v>
      </c>
      <c r="J47" s="1">
        <f>'Asset Prices'!J47/'Asset Prices'!J48-1</f>
        <v>3.6027788249232584E-2</v>
      </c>
      <c r="K47" s="1">
        <f>'Asset Prices'!K47/'Asset Prices'!K48-1</f>
        <v>2.1874738410540662E-2</v>
      </c>
      <c r="L47" s="1">
        <f>'Asset Prices'!L47/'Asset Prices'!L48-1</f>
        <v>1.7211776037522553E-2</v>
      </c>
      <c r="M47" s="1">
        <f>'Asset Prices'!M47/'Asset Prices'!M48-1</f>
        <v>6.7147230176756167E-3</v>
      </c>
      <c r="N47" s="1">
        <f>'Asset Prices'!N47/'Asset Prices'!N48-1</f>
        <v>1.4254161859238446E-2</v>
      </c>
      <c r="O47" s="1">
        <f>'Asset Prices'!O47/'Asset Prices'!O48-1</f>
        <v>-7.1072233991663625E-3</v>
      </c>
      <c r="P47" s="1">
        <f>'Asset Prices'!P47/'Asset Prices'!P48-1</f>
        <v>1.0223463687150991E-2</v>
      </c>
      <c r="Q47" s="1">
        <f>'Asset Prices'!Q47/'Asset Prices'!Q48-1</f>
        <v>-9.7642534693195282E-3</v>
      </c>
      <c r="R47" s="1">
        <f>'Asset Prices'!R47/'Asset Prices'!R48-1</f>
        <v>1.0692837263805544E-2</v>
      </c>
      <c r="S47" s="1">
        <f>'Asset Prices'!S47/'Asset Prices'!S48-1</f>
        <v>2.2771130837514475E-2</v>
      </c>
      <c r="T47" s="1">
        <f>'Asset Prices'!T47/'Asset Prices'!T48-1</f>
        <v>-3.8889513319096292E-2</v>
      </c>
      <c r="U47" s="1">
        <f>'Asset Prices'!U47/'Asset Prices'!U48-1</f>
        <v>1.3814616755793097E-2</v>
      </c>
      <c r="V47" s="1">
        <f>'Asset Prices'!V47/'Asset Prices'!V48-1</f>
        <v>3.1392694063927085E-2</v>
      </c>
      <c r="W47" s="1">
        <f>'Asset Prices'!W47/'Asset Prices'!W48-1</f>
        <v>4.1111573688592973E-2</v>
      </c>
      <c r="X47" s="1">
        <f>'Asset Prices'!X47/'Asset Prices'!X48-1</f>
        <v>-5.5809698078682524E-2</v>
      </c>
      <c r="Y47" s="1">
        <f>'Asset Prices'!Y47/'Asset Prices'!Y48-1</f>
        <v>0.14316577848192424</v>
      </c>
      <c r="Z47" s="1">
        <f>'Asset Prices'!Z47/'Asset Prices'!Z48-1</f>
        <v>7.735870427001923E-2</v>
      </c>
      <c r="AA47" s="1">
        <f>'Asset Prices'!AA47/'Asset Prices'!AA48-1</f>
        <v>0.1084546418586716</v>
      </c>
      <c r="AB47" s="1">
        <f>'Asset Prices'!AB47/'Asset Prices'!AB48-1</f>
        <v>1.9957983193277462E-2</v>
      </c>
      <c r="AC47" s="1">
        <f>'Asset Prices'!AC47/'Asset Prices'!AC48-1</f>
        <v>7.3771537970644507E-2</v>
      </c>
      <c r="AD47" s="1">
        <f>'Asset Prices'!AD47/'Asset Prices'!AD48-1</f>
        <v>8.2750000000000101E-2</v>
      </c>
      <c r="AE47" s="1">
        <f>'Asset Prices'!AE47/'Asset Prices'!AE48-1</f>
        <v>4.669959586888206E-2</v>
      </c>
      <c r="AF47" s="1">
        <f>'Asset Prices'!AF47/'Asset Prices'!AF48-1</f>
        <v>-2.9542097488921559E-3</v>
      </c>
      <c r="AG47" s="1">
        <f>'Asset Prices'!AG47/'Asset Prices'!AG48-1</f>
        <v>3.9112667834208859E-2</v>
      </c>
      <c r="AH47" s="1">
        <f>'Asset Prices'!AH47/'Asset Prices'!AH48-1</f>
        <v>4.6853779990946087E-2</v>
      </c>
      <c r="AI47" s="1">
        <f>'Asset Prices'!AI47/'Asset Prices'!AI48-1</f>
        <v>8.3734617442482451E-2</v>
      </c>
      <c r="AJ47" s="1">
        <f>'Asset Prices'!AJ47/'Asset Prices'!AJ48-1</f>
        <v>-6.7998463311563562E-2</v>
      </c>
      <c r="AK47" s="1">
        <f>'Asset Prices'!AK47/'Asset Prices'!AK48-1</f>
        <v>-4.7619047619047783E-2</v>
      </c>
      <c r="AL47" s="1">
        <f>'Asset Prices'!AL47/'Asset Prices'!AL48-1</f>
        <v>-3.1591951994352274E-2</v>
      </c>
      <c r="AM47" s="1">
        <f>'Asset Prices'!AM47/'Asset Prices'!AM48-1</f>
        <v>-3.4791486688133144E-2</v>
      </c>
      <c r="AN47" s="1">
        <f>'Asset Prices'!AN47/'Asset Prices'!AN48-1</f>
        <v>2.582496413199431E-2</v>
      </c>
      <c r="AO47" s="1">
        <f>'Asset Prices'!AO47/'Asset Prices'!AO48-1</f>
        <v>2.5962399283795845E-2</v>
      </c>
      <c r="AP47" s="1">
        <f>'Asset Prices'!AP47/'Asset Prices'!AP48-1</f>
        <v>-3.3526877692451773E-2</v>
      </c>
      <c r="AQ47" s="1">
        <f>'Asset Prices'!AQ47/'Asset Prices'!AQ48-1</f>
        <v>3.6943495270638227E-2</v>
      </c>
      <c r="AR47" s="1">
        <f>'Asset Prices'!AR47/'Asset Prices'!AR48-1</f>
        <v>-1.6724950585372822E-3</v>
      </c>
      <c r="AS47" s="1">
        <f>'Asset Prices'!AS47/'Asset Prices'!AS48-1</f>
        <v>1.5547263681592094E-2</v>
      </c>
      <c r="AT47" s="1">
        <f>'Asset Prices'!AT47/'Asset Prices'!AT48-1</f>
        <v>-2.457226064797946E-2</v>
      </c>
      <c r="AU47" s="1">
        <f>'Asset Prices'!AU47/'Asset Prices'!AU48-1</f>
        <v>4.1435957610649332E-3</v>
      </c>
      <c r="AV47" s="1">
        <f>'Asset Prices'!AV47/'Asset Prices'!AV48-1</f>
        <v>-2.4605481727574707E-2</v>
      </c>
      <c r="AW47" s="1">
        <f>'Asset Prices'!AW47/'Asset Prices'!AW48-1</f>
        <v>-1.6037087912088022E-2</v>
      </c>
      <c r="AX47" s="1">
        <f>'Asset Prices'!AX47/'Asset Prices'!AX48-1</f>
        <v>0.14606741573033721</v>
      </c>
      <c r="AY47" s="1">
        <f>'Asset Prices'!AY47/'Asset Prices'!AY48-1</f>
        <v>9.7600650671003653E-3</v>
      </c>
      <c r="AZ47" s="1">
        <f>'Asset Prices'!AZ47/'Asset Prices'!AZ48-1</f>
        <v>6.6918001885013956E-2</v>
      </c>
      <c r="BA47" s="1">
        <f>'Asset Prices'!BA47/'Asset Prices'!BA48-1</f>
        <v>1.0368176047397482E-2</v>
      </c>
      <c r="BB47" s="1">
        <f>'Asset Prices'!BB47/'Asset Prices'!BB48-1</f>
        <v>-3.1629554655870473E-2</v>
      </c>
      <c r="BC47" s="1">
        <f>'Asset Prices'!BC47/'Asset Prices'!BC48-1</f>
        <v>-1.9954289732770802E-2</v>
      </c>
      <c r="BD47" s="1">
        <f>'Asset Prices'!BD47/'Asset Prices'!BD48-1</f>
        <v>-1.9282720074522475E-2</v>
      </c>
    </row>
    <row r="48" spans="3:56" x14ac:dyDescent="0.25">
      <c r="C48" s="38">
        <f>'Asset Prices'!C48</f>
        <v>44035</v>
      </c>
      <c r="D48" s="1">
        <f>'Asset Prices'!D48/'Asset Prices'!D49-1</f>
        <v>2.0310077519379854E-2</v>
      </c>
      <c r="E48" s="1">
        <f>'Asset Prices'!E48/'Asset Prices'!E49-1</f>
        <v>-1.0968768316168442E-2</v>
      </c>
      <c r="F48" s="1">
        <f>'Asset Prices'!F48/'Asset Prices'!F49-1</f>
        <v>1.0692987867571446E-2</v>
      </c>
      <c r="G48" s="1">
        <f>'Asset Prices'!G48/'Asset Prices'!G49-1</f>
        <v>-1.0748835542816471E-3</v>
      </c>
      <c r="H48" s="1">
        <f>'Asset Prices'!H48/'Asset Prices'!H49-1</f>
        <v>-1.4145496535796775E-2</v>
      </c>
      <c r="I48" s="1">
        <f>'Asset Prices'!I48/'Asset Prices'!I49-1</f>
        <v>-3.4574357697256475E-2</v>
      </c>
      <c r="J48" s="1">
        <f>'Asset Prices'!J48/'Asset Prices'!J49-1</f>
        <v>-3.8099924887979419E-2</v>
      </c>
      <c r="K48" s="1">
        <f>'Asset Prices'!K48/'Asset Prices'!K49-1</f>
        <v>-4.4501483382779483E-3</v>
      </c>
      <c r="L48" s="1">
        <f>'Asset Prices'!L48/'Asset Prices'!L49-1</f>
        <v>-9.4446235233887621E-2</v>
      </c>
      <c r="M48" s="1">
        <f>'Asset Prices'!M48/'Asset Prices'!M49-1</f>
        <v>-6.7673597489211756E-3</v>
      </c>
      <c r="N48" s="1">
        <f>'Asset Prices'!N48/'Asset Prices'!N49-1</f>
        <v>1.207984580043675E-3</v>
      </c>
      <c r="O48" s="1">
        <f>'Asset Prices'!O48/'Asset Prices'!O49-1</f>
        <v>8.8359985124581764E-2</v>
      </c>
      <c r="P48" s="1">
        <f>'Asset Prices'!P48/'Asset Prices'!P49-1</f>
        <v>-1.2359302582211518E-2</v>
      </c>
      <c r="Q48" s="1">
        <f>'Asset Prices'!Q48/'Asset Prices'!Q49-1</f>
        <v>-3.2200647249190917E-2</v>
      </c>
      <c r="R48" s="1">
        <f>'Asset Prices'!R48/'Asset Prices'!R49-1</f>
        <v>5.0469302969687657E-2</v>
      </c>
      <c r="S48" s="1">
        <f>'Asset Prices'!S48/'Asset Prices'!S49-1</f>
        <v>2.3210831721469649E-3</v>
      </c>
      <c r="T48" s="1">
        <f>'Asset Prices'!T48/'Asset Prices'!T49-1</f>
        <v>-4.4463537751047166E-2</v>
      </c>
      <c r="U48" s="1">
        <f>'Asset Prices'!U48/'Asset Prices'!U49-1</f>
        <v>-9.7163548581774228E-2</v>
      </c>
      <c r="V48" s="1">
        <f>'Asset Prices'!V48/'Asset Prices'!V49-1</f>
        <v>3.8676407391491363E-3</v>
      </c>
      <c r="W48" s="1">
        <f>'Asset Prices'!W48/'Asset Prices'!W49-1</f>
        <v>8.7492925863044801E-2</v>
      </c>
      <c r="X48" s="1">
        <f>'Asset Prices'!X48/'Asset Prices'!X49-1</f>
        <v>-4.1508330897398471E-2</v>
      </c>
      <c r="Y48" s="1">
        <f>'Asset Prices'!Y48/'Asset Prices'!Y49-1</f>
        <v>4.6183982520907163E-2</v>
      </c>
      <c r="Z48" s="1">
        <f>'Asset Prices'!Z48/'Asset Prices'!Z49-1</f>
        <v>-1.164222545617366E-2</v>
      </c>
      <c r="AA48" s="1">
        <f>'Asset Prices'!AA48/'Asset Prices'!AA49-1</f>
        <v>5.6744091279543607E-2</v>
      </c>
      <c r="AB48" s="1">
        <f>'Asset Prices'!AB48/'Asset Prices'!AB49-1</f>
        <v>9.5440084835631822E-3</v>
      </c>
      <c r="AC48" s="1">
        <f>'Asset Prices'!AC48/'Asset Prices'!AC49-1</f>
        <v>3.0582045379809131E-2</v>
      </c>
      <c r="AD48" s="1">
        <f>'Asset Prices'!AD48/'Asset Prices'!AD49-1</f>
        <v>-2.1204939503555176E-3</v>
      </c>
      <c r="AE48" s="1">
        <f>'Asset Prices'!AE48/'Asset Prices'!AE49-1</f>
        <v>7.7683083188777591E-3</v>
      </c>
      <c r="AF48" s="1">
        <f>'Asset Prices'!AF48/'Asset Prices'!AF49-1</f>
        <v>2.5757575757575646E-2</v>
      </c>
      <c r="AG48" s="1">
        <f>'Asset Prices'!AG48/'Asset Prices'!AG49-1</f>
        <v>6.9288389513108672E-2</v>
      </c>
      <c r="AH48" s="1">
        <f>'Asset Prices'!AH48/'Asset Prices'!AH49-1</f>
        <v>7.0251937984496138E-2</v>
      </c>
      <c r="AI48" s="1">
        <f>'Asset Prices'!AI48/'Asset Prices'!AI49-1</f>
        <v>-1.3720316622691242E-2</v>
      </c>
      <c r="AJ48" s="1">
        <f>'Asset Prices'!AJ48/'Asset Prices'!AJ49-1</f>
        <v>1.521060842433708E-2</v>
      </c>
      <c r="AK48" s="1">
        <f>'Asset Prices'!AK48/'Asset Prices'!AK49-1</f>
        <v>-2.8130671506351956E-2</v>
      </c>
      <c r="AL48" s="1">
        <f>'Asset Prices'!AL48/'Asset Prices'!AL49-1</f>
        <v>1.0162239258334704E-2</v>
      </c>
      <c r="AM48" s="1">
        <f>'Asset Prices'!AM48/'Asset Prices'!AM49-1</f>
        <v>2.6772034513345533E-2</v>
      </c>
      <c r="AN48" s="1">
        <f>'Asset Prices'!AN48/'Asset Prices'!AN49-1</f>
        <v>4.5929578219625844E-2</v>
      </c>
      <c r="AO48" s="1">
        <f>'Asset Prices'!AO48/'Asset Prices'!AO49-1</f>
        <v>1.2549300824669096E-3</v>
      </c>
      <c r="AP48" s="1">
        <f>'Asset Prices'!AP48/'Asset Prices'!AP49-1</f>
        <v>-2.2425714819659381E-3</v>
      </c>
      <c r="AQ48" s="1">
        <f>'Asset Prices'!AQ48/'Asset Prices'!AQ49-1</f>
        <v>1.4621646065722027E-2</v>
      </c>
      <c r="AR48" s="1">
        <f>'Asset Prices'!AR48/'Asset Prices'!AR49-1</f>
        <v>6.8562144597887897E-2</v>
      </c>
      <c r="AS48" s="1">
        <f>'Asset Prices'!AS48/'Asset Prices'!AS49-1</f>
        <v>-4.513064133016631E-2</v>
      </c>
      <c r="AT48" s="1">
        <f>'Asset Prices'!AT48/'Asset Prices'!AT49-1</f>
        <v>5.8586598315635285E-3</v>
      </c>
      <c r="AU48" s="1">
        <f>'Asset Prices'!AU48/'Asset Prices'!AU49-1</f>
        <v>2.8900207508017139E-2</v>
      </c>
      <c r="AV48" s="1">
        <f>'Asset Prices'!AV48/'Asset Prices'!AV49-1</f>
        <v>-3.2081134223326258E-3</v>
      </c>
      <c r="AW48" s="1">
        <f>'Asset Prices'!AW48/'Asset Prices'!AW49-1</f>
        <v>3.1002411298655108E-3</v>
      </c>
      <c r="AX48" s="1">
        <f>'Asset Prices'!AX48/'Asset Prices'!AX49-1</f>
        <v>4.5418950665622626E-2</v>
      </c>
      <c r="AY48" s="1">
        <f>'Asset Prices'!AY48/'Asset Prices'!AY49-1</f>
        <v>-5.2588996763753837E-3</v>
      </c>
      <c r="AZ48" s="1">
        <f>'Asset Prices'!AZ48/'Asset Prices'!AZ49-1</f>
        <v>3.3106134371957197E-2</v>
      </c>
      <c r="BA48" s="1">
        <f>'Asset Prices'!BA48/'Asset Prices'!BA49-1</f>
        <v>2.0954849859580849E-2</v>
      </c>
      <c r="BB48" s="1">
        <f>'Asset Prices'!BB48/'Asset Prices'!BB49-1</f>
        <v>5.6967103503610561E-2</v>
      </c>
      <c r="BC48" s="1">
        <f>'Asset Prices'!BC48/'Asset Prices'!BC49-1</f>
        <v>-1.7362010883648527E-2</v>
      </c>
      <c r="BD48" s="1">
        <f>'Asset Prices'!BD48/'Asset Prices'!BD49-1</f>
        <v>2.1699819168173651E-2</v>
      </c>
    </row>
    <row r="49" spans="3:56" x14ac:dyDescent="0.25">
      <c r="C49" s="38">
        <f>'Asset Prices'!C49</f>
        <v>44028</v>
      </c>
      <c r="D49" s="1">
        <f>'Asset Prices'!D49/'Asset Prices'!D50-1</f>
        <v>6.7114093959730337E-3</v>
      </c>
      <c r="E49" s="1">
        <f>'Asset Prices'!E49/'Asset Prices'!E50-1</f>
        <v>2.2429586508004418E-2</v>
      </c>
      <c r="F49" s="1">
        <f>'Asset Prices'!F49/'Asset Prices'!F50-1</f>
        <v>2.7837921435200919E-3</v>
      </c>
      <c r="G49" s="1">
        <f>'Asset Prices'!G49/'Asset Prices'!G50-1</f>
        <v>-2.9723622457848098E-2</v>
      </c>
      <c r="H49" s="1">
        <f>'Asset Prices'!H49/'Asset Prices'!H50-1</f>
        <v>0.10204406267398403</v>
      </c>
      <c r="I49" s="1">
        <f>'Asset Prices'!I49/'Asset Prices'!I50-1</f>
        <v>-1.4601226993865013E-2</v>
      </c>
      <c r="J49" s="1">
        <f>'Asset Prices'!J49/'Asset Prices'!J50-1</f>
        <v>8.7790348287302145E-3</v>
      </c>
      <c r="K49" s="1">
        <f>'Asset Prices'!K49/'Asset Prices'!K50-1</f>
        <v>-5.7414779600519106E-2</v>
      </c>
      <c r="L49" s="1">
        <f>'Asset Prices'!L49/'Asset Prices'!L50-1</f>
        <v>3.8659996848904976E-2</v>
      </c>
      <c r="M49" s="1">
        <f>'Asset Prices'!M49/'Asset Prices'!M50-1</f>
        <v>-4.8525569242254596E-2</v>
      </c>
      <c r="N49" s="1">
        <f>'Asset Prices'!N49/'Asset Prices'!N50-1</f>
        <v>-2.4626973779515726E-3</v>
      </c>
      <c r="O49" s="1">
        <f>'Asset Prices'!O49/'Asset Prices'!O50-1</f>
        <v>6.0749506903353012E-2</v>
      </c>
      <c r="P49" s="1">
        <f>'Asset Prices'!P49/'Asset Prices'!P50-1</f>
        <v>-6.3051702395963138E-3</v>
      </c>
      <c r="Q49" s="1">
        <f>'Asset Prices'!Q49/'Asset Prices'!Q50-1</f>
        <v>0.12740805604203165</v>
      </c>
      <c r="R49" s="1">
        <f>'Asset Prices'!R49/'Asset Prices'!R50-1</f>
        <v>2.7672359266287083E-2</v>
      </c>
      <c r="S49" s="1">
        <f>'Asset Prices'!S49/'Asset Prices'!S50-1</f>
        <v>5.9426229508196871E-2</v>
      </c>
      <c r="T49" s="1">
        <f>'Asset Prices'!T49/'Asset Prices'!T50-1</f>
        <v>7.9536231884058006E-2</v>
      </c>
      <c r="U49" s="1">
        <f>'Asset Prices'!U49/'Asset Prices'!U50-1</f>
        <v>0.11257833482542523</v>
      </c>
      <c r="V49" s="1">
        <f>'Asset Prices'!V49/'Asset Prices'!V50-1</f>
        <v>0.10371541501976278</v>
      </c>
      <c r="W49" s="1">
        <f>'Asset Prices'!W49/'Asset Prices'!W50-1</f>
        <v>4.0023543260741423E-2</v>
      </c>
      <c r="X49" s="1">
        <f>'Asset Prices'!X49/'Asset Prices'!X50-1</f>
        <v>8.362369337979092E-2</v>
      </c>
      <c r="Y49" s="1">
        <f>'Asset Prices'!Y49/'Asset Prices'!Y50-1</f>
        <v>-3.9510818438381889E-2</v>
      </c>
      <c r="Z49" s="1">
        <f>'Asset Prices'!Z49/'Asset Prices'!Z50-1</f>
        <v>9.036484807409817E-3</v>
      </c>
      <c r="AA49" s="1">
        <f>'Asset Prices'!AA49/'Asset Prices'!AA50-1</f>
        <v>-3.080568720379151E-2</v>
      </c>
      <c r="AB49" s="1">
        <f>'Asset Prices'!AB49/'Asset Prices'!AB50-1</f>
        <v>-9.6743295019157127E-2</v>
      </c>
      <c r="AC49" s="1">
        <f>'Asset Prices'!AC49/'Asset Prices'!AC50-1</f>
        <v>-5.6176288019863296E-2</v>
      </c>
      <c r="AD49" s="1">
        <f>'Asset Prices'!AD49/'Asset Prices'!AD50-1</f>
        <v>6.354470681878488E-2</v>
      </c>
      <c r="AE49" s="1">
        <f>'Asset Prices'!AE49/'Asset Prices'!AE50-1</f>
        <v>2.5603341584158334E-2</v>
      </c>
      <c r="AF49" s="1">
        <f>'Asset Prices'!AF49/'Asset Prices'!AF50-1</f>
        <v>0.13013698630136994</v>
      </c>
      <c r="AG49" s="1">
        <f>'Asset Prices'!AG49/'Asset Prices'!AG50-1</f>
        <v>-4.1674975074775578E-2</v>
      </c>
      <c r="AH49" s="1">
        <f>'Asset Prices'!AH49/'Asset Prices'!AH50-1</f>
        <v>6.4740778952798506E-2</v>
      </c>
      <c r="AI49" s="1">
        <f>'Asset Prices'!AI49/'Asset Prices'!AI50-1</f>
        <v>6.835799859055669E-2</v>
      </c>
      <c r="AJ49" s="1">
        <f>'Asset Prices'!AJ49/'Asset Prices'!AJ50-1</f>
        <v>4.2700284668564459E-2</v>
      </c>
      <c r="AK49" s="1">
        <f>'Asset Prices'!AK49/'Asset Prices'!AK50-1</f>
        <v>0.10420841683366722</v>
      </c>
      <c r="AL49" s="1">
        <f>'Asset Prices'!AL49/'Asset Prices'!AL50-1</f>
        <v>4.0051919154459492E-2</v>
      </c>
      <c r="AM49" s="1">
        <f>'Asset Prices'!AM49/'Asset Prices'!AM50-1</f>
        <v>7.1731051767349507E-2</v>
      </c>
      <c r="AN49" s="1">
        <f>'Asset Prices'!AN49/'Asset Prices'!AN50-1</f>
        <v>4.9614670641840553E-2</v>
      </c>
      <c r="AO49" s="1">
        <f>'Asset Prices'!AO49/'Asset Prices'!AO50-1</f>
        <v>3.4111976269929567E-2</v>
      </c>
      <c r="AP49" s="1">
        <f>'Asset Prices'!AP49/'Asset Prices'!AP50-1</f>
        <v>7.0414082816563139E-2</v>
      </c>
      <c r="AQ49" s="1">
        <f>'Asset Prices'!AQ49/'Asset Prices'!AQ50-1</f>
        <v>-2.8459848669758259E-2</v>
      </c>
      <c r="AR49" s="1">
        <f>'Asset Prices'!AR49/'Asset Prices'!AR50-1</f>
        <v>-1.88107763430575E-2</v>
      </c>
      <c r="AS49" s="1">
        <f>'Asset Prices'!AS49/'Asset Prices'!AS50-1</f>
        <v>6.0453400503778232E-2</v>
      </c>
      <c r="AT49" s="1">
        <f>'Asset Prices'!AT49/'Asset Prices'!AT50-1</f>
        <v>7.140054923499406E-2</v>
      </c>
      <c r="AU49" s="1">
        <f>'Asset Prices'!AU49/'Asset Prices'!AU50-1</f>
        <v>2.4902362630988772E-2</v>
      </c>
      <c r="AV49" s="1">
        <f>'Asset Prices'!AV49/'Asset Prices'!AV50-1</f>
        <v>5.7973394646083198E-2</v>
      </c>
      <c r="AW49" s="1">
        <f>'Asset Prices'!AW49/'Asset Prices'!AW50-1</f>
        <v>-7.5507149453838962E-2</v>
      </c>
      <c r="AX49" s="1">
        <f>'Asset Prices'!AX49/'Asset Prices'!AX50-1</f>
        <v>-1.7692307692307674E-2</v>
      </c>
      <c r="AY49" s="1">
        <f>'Asset Prices'!AY49/'Asset Prices'!AY50-1</f>
        <v>4.7901653242899522E-2</v>
      </c>
      <c r="AZ49" s="1">
        <f>'Asset Prices'!AZ49/'Asset Prices'!AZ50-1</f>
        <v>0.15350056158742031</v>
      </c>
      <c r="BA49" s="1">
        <f>'Asset Prices'!BA49/'Asset Prices'!BA50-1</f>
        <v>3.3951306678579485E-2</v>
      </c>
      <c r="BB49" s="1">
        <f>'Asset Prices'!BB49/'Asset Prices'!BB50-1</f>
        <v>9.5855272039964134E-3</v>
      </c>
      <c r="BC49" s="1">
        <f>'Asset Prices'!BC49/'Asset Prices'!BC50-1</f>
        <v>0.13790053076469433</v>
      </c>
      <c r="BD49" s="1">
        <f>'Asset Prices'!BD49/'Asset Prices'!BD50-1</f>
        <v>7.6978269782697728E-2</v>
      </c>
    </row>
    <row r="50" spans="3:56" x14ac:dyDescent="0.25">
      <c r="C50" s="38">
        <f>'Asset Prices'!C50</f>
        <v>44021</v>
      </c>
      <c r="D50" s="1">
        <f>'Asset Prices'!D50/'Asset Prices'!D51-1</f>
        <v>-1.7682833341850945E-2</v>
      </c>
      <c r="E50" s="1">
        <f>'Asset Prices'!E50/'Asset Prices'!E51-1</f>
        <v>4.1272954180780808E-2</v>
      </c>
      <c r="F50" s="1">
        <f>'Asset Prices'!F50/'Asset Prices'!F51-1</f>
        <v>-1.462968607131987E-2</v>
      </c>
      <c r="G50" s="1">
        <f>'Asset Prices'!G50/'Asset Prices'!G51-1</f>
        <v>2.8423310690025128E-2</v>
      </c>
      <c r="H50" s="1">
        <f>'Asset Prices'!H50/'Asset Prices'!H51-1</f>
        <v>-1.5580958346382623E-2</v>
      </c>
      <c r="I50" s="1">
        <f>'Asset Prices'!I50/'Asset Prices'!I51-1</f>
        <v>4.7468083283352058E-2</v>
      </c>
      <c r="J50" s="1">
        <f>'Asset Prices'!J50/'Asset Prices'!J51-1</f>
        <v>5.1138392244101993E-2</v>
      </c>
      <c r="K50" s="1">
        <f>'Asset Prices'!K50/'Asset Prices'!K51-1</f>
        <v>0.10114174999135028</v>
      </c>
      <c r="L50" s="1">
        <f>'Asset Prices'!L50/'Asset Prices'!L51-1</f>
        <v>6.4731908825934603E-2</v>
      </c>
      <c r="M50" s="1">
        <f>'Asset Prices'!M50/'Asset Prices'!M51-1</f>
        <v>3.9076893241539734E-2</v>
      </c>
      <c r="N50" s="1">
        <f>'Asset Prices'!N50/'Asset Prices'!N51-1</f>
        <v>3.3151238494349977E-2</v>
      </c>
      <c r="O50" s="1">
        <f>'Asset Prices'!O50/'Asset Prices'!O51-1</f>
        <v>-2.3948868011705038E-2</v>
      </c>
      <c r="P50" s="1">
        <f>'Asset Prices'!P50/'Asset Prices'!P51-1</f>
        <v>-1.8353067814854795E-2</v>
      </c>
      <c r="Q50" s="1">
        <f>'Asset Prices'!Q50/'Asset Prices'!Q51-1</f>
        <v>-2.0898081663273005E-2</v>
      </c>
      <c r="R50" s="1">
        <f>'Asset Prices'!R50/'Asset Prices'!R51-1</f>
        <v>-1.3416536661466361E-2</v>
      </c>
      <c r="S50" s="1">
        <f>'Asset Prices'!S50/'Asset Prices'!S51-1</f>
        <v>-6.7990832696715131E-2</v>
      </c>
      <c r="T50" s="1">
        <f>'Asset Prices'!T50/'Asset Prices'!T51-1</f>
        <v>-1.765375854214124E-2</v>
      </c>
      <c r="U50" s="1">
        <f>'Asset Prices'!U50/'Asset Prices'!U51-1</f>
        <v>-3.5822183858437717E-2</v>
      </c>
      <c r="V50" s="1">
        <f>'Asset Prices'!V50/'Asset Prices'!V51-1</f>
        <v>5.1188299817184646E-2</v>
      </c>
      <c r="W50" s="1">
        <f>'Asset Prices'!W50/'Asset Prices'!W51-1</f>
        <v>-2.8587764436821095E-2</v>
      </c>
      <c r="X50" s="1">
        <f>'Asset Prices'!X50/'Asset Prices'!X51-1</f>
        <v>-7.4736225087924879E-2</v>
      </c>
      <c r="Y50" s="1">
        <f>'Asset Prices'!Y50/'Asset Prices'!Y51-1</f>
        <v>-2.3668220997597689E-2</v>
      </c>
      <c r="Z50" s="1">
        <f>'Asset Prices'!Z50/'Asset Prices'!Z51-1</f>
        <v>-4.5162018742228582E-4</v>
      </c>
      <c r="AA50" s="1">
        <f>'Asset Prices'!AA50/'Asset Prices'!AA51-1</f>
        <v>-1.6699029126213571E-2</v>
      </c>
      <c r="AB50" s="1">
        <f>'Asset Prices'!AB50/'Asset Prices'!AB51-1</f>
        <v>9.5487932843651757E-2</v>
      </c>
      <c r="AC50" s="1">
        <f>'Asset Prices'!AC50/'Asset Prices'!AC51-1</f>
        <v>7.7303731443092216E-2</v>
      </c>
      <c r="AD50" s="1">
        <f>'Asset Prices'!AD50/'Asset Prices'!AD51-1</f>
        <v>-1.3996075866579583E-2</v>
      </c>
      <c r="AE50" s="1">
        <f>'Asset Prices'!AE50/'Asset Prices'!AE51-1</f>
        <v>1.8915510718789497E-2</v>
      </c>
      <c r="AF50" s="1">
        <f>'Asset Prices'!AF50/'Asset Prices'!AF51-1</f>
        <v>-9.1050583657587558E-2</v>
      </c>
      <c r="AG50" s="1">
        <f>'Asset Prices'!AG50/'Asset Prices'!AG51-1</f>
        <v>7.5026795284030001E-2</v>
      </c>
      <c r="AH50" s="1">
        <f>'Asset Prices'!AH50/'Asset Prices'!AH51-1</f>
        <v>-4.8822374877330543E-2</v>
      </c>
      <c r="AI50" s="1">
        <f>'Asset Prices'!AI50/'Asset Prices'!AI51-1</f>
        <v>-1.126284668449884E-3</v>
      </c>
      <c r="AJ50" s="1">
        <f>'Asset Prices'!AJ50/'Asset Prices'!AJ51-1</f>
        <v>2.672233820459291E-2</v>
      </c>
      <c r="AK50" s="1">
        <f>'Asset Prices'!AK50/'Asset Prices'!AK51-1</f>
        <v>-6.4667291471415145E-2</v>
      </c>
      <c r="AL50" s="1">
        <f>'Asset Prices'!AL50/'Asset Prices'!AL51-1</f>
        <v>-2.8988116672668318E-2</v>
      </c>
      <c r="AM50" s="1">
        <f>'Asset Prices'!AM50/'Asset Prices'!AM51-1</f>
        <v>-3.3333333333333437E-2</v>
      </c>
      <c r="AN50" s="1">
        <f>'Asset Prices'!AN50/'Asset Prices'!AN51-1</f>
        <v>-3.3543546808741942E-2</v>
      </c>
      <c r="AO50" s="1">
        <f>'Asset Prices'!AO50/'Asset Prices'!AO51-1</f>
        <v>-1.5513779886840662E-2</v>
      </c>
      <c r="AP50" s="1">
        <f>'Asset Prices'!AP50/'Asset Prices'!AP51-1</f>
        <v>-3.4009661835748717E-2</v>
      </c>
      <c r="AQ50" s="1">
        <f>'Asset Prices'!AQ50/'Asset Prices'!AQ51-1</f>
        <v>2.4711120004001774E-2</v>
      </c>
      <c r="AR50" s="1">
        <f>'Asset Prices'!AR50/'Asset Prices'!AR51-1</f>
        <v>2.9035433070865979E-2</v>
      </c>
      <c r="AS50" s="1">
        <f>'Asset Prices'!AS50/'Asset Prices'!AS51-1</f>
        <v>-3.1387319522911961E-3</v>
      </c>
      <c r="AT50" s="1">
        <f>'Asset Prices'!AT50/'Asset Prices'!AT51-1</f>
        <v>-5.6973732889382234E-2</v>
      </c>
      <c r="AU50" s="1">
        <f>'Asset Prices'!AU50/'Asset Prices'!AU51-1</f>
        <v>5.5421785087540254E-2</v>
      </c>
      <c r="AV50" s="1">
        <f>'Asset Prices'!AV50/'Asset Prices'!AV51-1</f>
        <v>-2.4302959085567788E-2</v>
      </c>
      <c r="AW50" s="1">
        <f>'Asset Prices'!AW50/'Asset Prices'!AW51-1</f>
        <v>-2.3297045101088654E-2</v>
      </c>
      <c r="AX50" s="1">
        <f>'Asset Prices'!AX50/'Asset Prices'!AX51-1</f>
        <v>7.3492981007431846E-2</v>
      </c>
      <c r="AY50" s="1">
        <f>'Asset Prices'!AY50/'Asset Prices'!AY51-1</f>
        <v>-3.3394796148330297E-2</v>
      </c>
      <c r="AZ50" s="1">
        <f>'Asset Prices'!AZ50/'Asset Prices'!AZ51-1</f>
        <v>-2.2506861848124338E-2</v>
      </c>
      <c r="BA50" s="1">
        <f>'Asset Prices'!BA50/'Asset Prices'!BA51-1</f>
        <v>-2.9271465741543712E-2</v>
      </c>
      <c r="BB50" s="1">
        <f>'Asset Prices'!BB50/'Asset Prices'!BB51-1</f>
        <v>-4.2404654169360123E-2</v>
      </c>
      <c r="BC50" s="1">
        <f>'Asset Prices'!BC50/'Asset Prices'!BC51-1</f>
        <v>-6.8485625343343792E-2</v>
      </c>
      <c r="BD50" s="1">
        <f>'Asset Prices'!BD50/'Asset Prices'!BD51-1</f>
        <v>-2.9253731343283573E-2</v>
      </c>
    </row>
    <row r="51" spans="3:56" x14ac:dyDescent="0.25">
      <c r="C51" s="38">
        <f>'Asset Prices'!C51</f>
        <v>44014</v>
      </c>
      <c r="D51" s="1">
        <f>'Asset Prices'!D51/'Asset Prices'!D52-1</f>
        <v>8.7122383750901644E-3</v>
      </c>
      <c r="E51" s="1">
        <f>'Asset Prices'!E51/'Asset Prices'!E52-1</f>
        <v>7.3635057471264087E-3</v>
      </c>
      <c r="F51" s="1">
        <f>'Asset Prices'!F51/'Asset Prices'!F52-1</f>
        <v>-2.9289940828402306E-2</v>
      </c>
      <c r="G51" s="1">
        <f>'Asset Prices'!G51/'Asset Prices'!G52-1</f>
        <v>2.5857326242435308E-2</v>
      </c>
      <c r="H51" s="1">
        <f>'Asset Prices'!H51/'Asset Prices'!H52-1</f>
        <v>2.4135995509582342E-2</v>
      </c>
      <c r="I51" s="1">
        <f>'Asset Prices'!I51/'Asset Prices'!I52-1</f>
        <v>-9.5892735913103433E-3</v>
      </c>
      <c r="J51" s="1">
        <f>'Asset Prices'!J51/'Asset Prices'!J52-1</f>
        <v>-2.0008770968094058E-3</v>
      </c>
      <c r="K51" s="1">
        <f>'Asset Prices'!K51/'Asset Prices'!K52-1</f>
        <v>4.9270669212729379E-2</v>
      </c>
      <c r="L51" s="1">
        <f>'Asset Prices'!L51/'Asset Prices'!L52-1</f>
        <v>2.3566783284325155E-2</v>
      </c>
      <c r="M51" s="1">
        <f>'Asset Prices'!M51/'Asset Prices'!M52-1</f>
        <v>2.9549765398821926E-2</v>
      </c>
      <c r="N51" s="1">
        <f>'Asset Prices'!N51/'Asset Prices'!N52-1</f>
        <v>2.0005551314967951E-2</v>
      </c>
      <c r="O51" s="1">
        <f>'Asset Prices'!O51/'Asset Prices'!O52-1</f>
        <v>9.2484650656721179E-3</v>
      </c>
      <c r="P51" s="1">
        <f>'Asset Prices'!P51/'Asset Prices'!P52-1</f>
        <v>7.1943691224831241E-2</v>
      </c>
      <c r="Q51" s="1">
        <f>'Asset Prices'!Q51/'Asset Prices'!Q52-1</f>
        <v>8.7402400652604628E-2</v>
      </c>
      <c r="R51" s="1">
        <f>'Asset Prices'!R51/'Asset Prices'!R52-1</f>
        <v>1.9077901430842648E-2</v>
      </c>
      <c r="S51" s="1">
        <f>'Asset Prices'!S51/'Asset Prices'!S52-1</f>
        <v>2.3055881203595252E-2</v>
      </c>
      <c r="T51" s="1">
        <f>'Asset Prices'!T51/'Asset Prices'!T52-1</f>
        <v>4.474059971442168E-2</v>
      </c>
      <c r="U51" s="1">
        <f>'Asset Prices'!U51/'Asset Prices'!U52-1</f>
        <v>3.0006668148477411E-2</v>
      </c>
      <c r="V51" s="1">
        <f>'Asset Prices'!V51/'Asset Prices'!V52-1</f>
        <v>6.8607764390897774E-3</v>
      </c>
      <c r="W51" s="1">
        <f>'Asset Prices'!W51/'Asset Prices'!W52-1</f>
        <v>3.2345649864242709E-2</v>
      </c>
      <c r="X51" s="1">
        <f>'Asset Prices'!X51/'Asset Prices'!X52-1</f>
        <v>3.4880194115862961E-2</v>
      </c>
      <c r="Y51" s="1">
        <f>'Asset Prices'!Y51/'Asset Prices'!Y52-1</f>
        <v>2.0402278134236784E-2</v>
      </c>
      <c r="Z51" s="1">
        <f>'Asset Prices'!Z51/'Asset Prices'!Z52-1</f>
        <v>-1.3530273988048291E-3</v>
      </c>
      <c r="AA51" s="1">
        <f>'Asset Prices'!AA51/'Asset Prices'!AA52-1</f>
        <v>7.5605680868838787E-2</v>
      </c>
      <c r="AB51" s="1">
        <f>'Asset Prices'!AB51/'Asset Prices'!AB52-1</f>
        <v>-8.3246618106139758E-3</v>
      </c>
      <c r="AC51" s="1">
        <f>'Asset Prices'!AC51/'Asset Prices'!AC52-1</f>
        <v>-1.1828454371241803E-2</v>
      </c>
      <c r="AD51" s="1">
        <f>'Asset Prices'!AD51/'Asset Prices'!AD52-1</f>
        <v>1.0040956533227785E-2</v>
      </c>
      <c r="AE51" s="1">
        <f>'Asset Prices'!AE51/'Asset Prices'!AE52-1</f>
        <v>3.1964213094753946E-2</v>
      </c>
      <c r="AF51" s="1">
        <f>'Asset Prices'!AF51/'Asset Prices'!AF52-1</f>
        <v>4.386677497969127E-2</v>
      </c>
      <c r="AG51" s="1">
        <f>'Asset Prices'!AG51/'Asset Prices'!AG52-1</f>
        <v>-5.8526740665993948E-2</v>
      </c>
      <c r="AH51" s="1">
        <f>'Asset Prices'!AH51/'Asset Prices'!AH52-1</f>
        <v>8.1622557506801918E-3</v>
      </c>
      <c r="AI51" s="1">
        <f>'Asset Prices'!AI51/'Asset Prices'!AI52-1</f>
        <v>1.1247152619590084E-2</v>
      </c>
      <c r="AJ51" s="1">
        <f>'Asset Prices'!AJ51/'Asset Prices'!AJ52-1</f>
        <v>7.5725704669751259E-3</v>
      </c>
      <c r="AK51" s="1">
        <f>'Asset Prices'!AK51/'Asset Prices'!AK52-1</f>
        <v>0</v>
      </c>
      <c r="AL51" s="1">
        <f>'Asset Prices'!AL51/'Asset Prices'!AL52-1</f>
        <v>1.1841865549280461E-2</v>
      </c>
      <c r="AM51" s="1">
        <f>'Asset Prices'!AM51/'Asset Prices'!AM52-1</f>
        <v>5.6288330672940035E-3</v>
      </c>
      <c r="AN51" s="1">
        <f>'Asset Prices'!AN51/'Asset Prices'!AN52-1</f>
        <v>4.7434656340755055E-2</v>
      </c>
      <c r="AO51" s="1">
        <f>'Asset Prices'!AO51/'Asset Prices'!AO52-1</f>
        <v>9.3957258658805554E-3</v>
      </c>
      <c r="AP51" s="1">
        <f>'Asset Prices'!AP51/'Asset Prices'!AP52-1</f>
        <v>1.7298997444466391E-2</v>
      </c>
      <c r="AQ51" s="1">
        <f>'Asset Prices'!AQ51/'Asset Prices'!AQ52-1</f>
        <v>3.5588479071694934E-2</v>
      </c>
      <c r="AR51" s="1">
        <f>'Asset Prices'!AR51/'Asset Prices'!AR52-1</f>
        <v>4.0450588837685597E-2</v>
      </c>
      <c r="AS51" s="1">
        <f>'Asset Prices'!AS51/'Asset Prices'!AS52-1</f>
        <v>-2.7472527472527486E-2</v>
      </c>
      <c r="AT51" s="1">
        <f>'Asset Prices'!AT51/'Asset Prices'!AT52-1</f>
        <v>-1.7090909090909046E-2</v>
      </c>
      <c r="AU51" s="1">
        <f>'Asset Prices'!AU51/'Asset Prices'!AU52-1</f>
        <v>7.0280422818205679E-2</v>
      </c>
      <c r="AV51" s="1">
        <f>'Asset Prices'!AV51/'Asset Prices'!AV52-1</f>
        <v>5.3699924820105327E-3</v>
      </c>
      <c r="AW51" s="1">
        <f>'Asset Prices'!AW51/'Asset Prices'!AW52-1</f>
        <v>1.4067625536209771E-2</v>
      </c>
      <c r="AX51" s="1">
        <f>'Asset Prices'!AX51/'Asset Prices'!AX52-1</f>
        <v>2.1940928270042237E-2</v>
      </c>
      <c r="AY51" s="1">
        <f>'Asset Prices'!AY51/'Asset Prices'!AY52-1</f>
        <v>3.2887975334019437E-3</v>
      </c>
      <c r="AZ51" s="1">
        <f>'Asset Prices'!AZ51/'Asset Prices'!AZ52-1</f>
        <v>1.1287934863064342E-2</v>
      </c>
      <c r="BA51" s="1">
        <f>'Asset Prices'!BA51/'Asset Prices'!BA52-1</f>
        <v>1.9451812555260739E-2</v>
      </c>
      <c r="BB51" s="1">
        <f>'Asset Prices'!BB51/'Asset Prices'!BB52-1</f>
        <v>4.4564483457123494E-2</v>
      </c>
      <c r="BC51" s="1">
        <f>'Asset Prices'!BC51/'Asset Prices'!BC52-1</f>
        <v>2.1224871435250092E-2</v>
      </c>
      <c r="BD51" s="1">
        <f>'Asset Prices'!BD51/'Asset Prices'!BD52-1</f>
        <v>1.9940179461614971E-3</v>
      </c>
    </row>
    <row r="52" spans="3:56" x14ac:dyDescent="0.25">
      <c r="C52" s="38">
        <f>'Asset Prices'!C52</f>
        <v>44007</v>
      </c>
      <c r="D52" s="1">
        <f>'Asset Prices'!D52/'Asset Prices'!D53-1</f>
        <v>3.6099221288221628E-4</v>
      </c>
      <c r="E52" s="1">
        <f>'Asset Prices'!E52/'Asset Prices'!E53-1</f>
        <v>-5.9221086423924985E-2</v>
      </c>
      <c r="F52" s="1">
        <f>'Asset Prices'!F52/'Asset Prices'!F53-1</f>
        <v>2.9964448958862411E-2</v>
      </c>
      <c r="G52" s="1">
        <f>'Asset Prices'!G52/'Asset Prices'!G53-1</f>
        <v>1.5645371577575062E-2</v>
      </c>
      <c r="H52" s="1">
        <f>'Asset Prices'!H52/'Asset Prices'!H53-1</f>
        <v>-2.2572301904538072E-2</v>
      </c>
      <c r="I52" s="1">
        <f>'Asset Prices'!I52/'Asset Prices'!I53-1</f>
        <v>-1.1019750784097004E-3</v>
      </c>
      <c r="J52" s="1">
        <f>'Asset Prices'!J52/'Asset Prices'!J53-1</f>
        <v>3.7272908196627874E-2</v>
      </c>
      <c r="K52" s="1">
        <f>'Asset Prices'!K52/'Asset Prices'!K53-1</f>
        <v>3.7905334629499743E-2</v>
      </c>
      <c r="L52" s="1">
        <f>'Asset Prices'!L52/'Asset Prices'!L53-1</f>
        <v>3.5654744704025632E-2</v>
      </c>
      <c r="M52" s="1">
        <f>'Asset Prices'!M52/'Asset Prices'!M53-1</f>
        <v>2.0476772616137007E-2</v>
      </c>
      <c r="N52" s="1">
        <f>'Asset Prices'!N52/'Asset Prices'!N53-1</f>
        <v>4.8670961983654504E-3</v>
      </c>
      <c r="O52" s="1">
        <f>'Asset Prices'!O52/'Asset Prices'!O53-1</f>
        <v>-2.9198732458125876E-2</v>
      </c>
      <c r="P52" s="1">
        <f>'Asset Prices'!P52/'Asset Prices'!P53-1</f>
        <v>-5.9267299864314671E-2</v>
      </c>
      <c r="Q52" s="1">
        <f>'Asset Prices'!Q52/'Asset Prices'!Q53-1</f>
        <v>-2.7134273081138249E-2</v>
      </c>
      <c r="R52" s="1">
        <f>'Asset Prices'!R52/'Asset Prices'!R53-1</f>
        <v>-2.4957370950240421E-2</v>
      </c>
      <c r="S52" s="1">
        <f>'Asset Prices'!S52/'Asset Prices'!S53-1</f>
        <v>-4.7991071428571397E-2</v>
      </c>
      <c r="T52" s="1">
        <f>'Asset Prices'!T52/'Asset Prices'!T53-1</f>
        <v>-9.3908355795148224E-2</v>
      </c>
      <c r="U52" s="1">
        <f>'Asset Prices'!U52/'Asset Prices'!U53-1</f>
        <v>-6.6597510373443969E-2</v>
      </c>
      <c r="V52" s="1">
        <f>'Asset Prices'!V52/'Asset Prices'!V53-1</f>
        <v>-3.4571890145395856E-2</v>
      </c>
      <c r="W52" s="1">
        <f>'Asset Prices'!W52/'Asset Prices'!W53-1</f>
        <v>2.928311057108135E-2</v>
      </c>
      <c r="X52" s="1">
        <f>'Asset Prices'!X52/'Asset Prices'!X53-1</f>
        <v>-8.0334728033472858E-2</v>
      </c>
      <c r="Y52" s="1">
        <f>'Asset Prices'!Y52/'Asset Prices'!Y53-1</f>
        <v>0.14949863263445762</v>
      </c>
      <c r="Z52" s="1">
        <f>'Asset Prices'!Z52/'Asset Prices'!Z53-1</f>
        <v>3.3321682395432761E-2</v>
      </c>
      <c r="AA52" s="1">
        <f>'Asset Prices'!AA52/'Asset Prices'!AA53-1</f>
        <v>-7.7712154180913373E-3</v>
      </c>
      <c r="AB52" s="1">
        <f>'Asset Prices'!AB52/'Asset Prices'!AB53-1</f>
        <v>4.2299349240780826E-2</v>
      </c>
      <c r="AC52" s="1">
        <f>'Asset Prices'!AC52/'Asset Prices'!AC53-1</f>
        <v>-1.9502397304651975E-2</v>
      </c>
      <c r="AD52" s="1">
        <f>'Asset Prices'!AD52/'Asset Prices'!AD53-1</f>
        <v>-5.9634737234439017E-2</v>
      </c>
      <c r="AE52" s="1">
        <f>'Asset Prices'!AE52/'Asset Prices'!AE53-1</f>
        <v>2.4924974991664017E-2</v>
      </c>
      <c r="AF52" s="1">
        <f>'Asset Prices'!AF52/'Asset Prices'!AF53-1</f>
        <v>-5.9587471352177235E-2</v>
      </c>
      <c r="AG52" s="1">
        <f>'Asset Prices'!AG52/'Asset Prices'!AG53-1</f>
        <v>-3.3924741665042002E-2</v>
      </c>
      <c r="AH52" s="1">
        <f>'Asset Prices'!AH52/'Asset Prices'!AH53-1</f>
        <v>-1.4383227693807954E-2</v>
      </c>
      <c r="AI52" s="1">
        <f>'Asset Prices'!AI52/'Asset Prices'!AI53-1</f>
        <v>-4.1746248294679433E-2</v>
      </c>
      <c r="AJ52" s="1">
        <f>'Asset Prices'!AJ52/'Asset Prices'!AJ53-1</f>
        <v>2.1048109965635664E-2</v>
      </c>
      <c r="AK52" s="1">
        <f>'Asset Prices'!AK52/'Asset Prices'!AK53-1</f>
        <v>-0.11378737541528239</v>
      </c>
      <c r="AL52" s="1">
        <f>'Asset Prices'!AL52/'Asset Prices'!AL53-1</f>
        <v>-6.7131203263086414E-2</v>
      </c>
      <c r="AM52" s="1">
        <f>'Asset Prices'!AM52/'Asset Prices'!AM53-1</f>
        <v>-4.131765463917525E-2</v>
      </c>
      <c r="AN52" s="1">
        <f>'Asset Prices'!AN52/'Asset Prices'!AN53-1</f>
        <v>-7.5834122723923758E-2</v>
      </c>
      <c r="AO52" s="1">
        <f>'Asset Prices'!AO52/'Asset Prices'!AO53-1</f>
        <v>-4.5878010195113395E-2</v>
      </c>
      <c r="AP52" s="1">
        <f>'Asset Prices'!AP52/'Asset Prices'!AP53-1</f>
        <v>-4.826941066417223E-2</v>
      </c>
      <c r="AQ52" s="1">
        <f>'Asset Prices'!AQ52/'Asset Prices'!AQ53-1</f>
        <v>3.6734693877551017E-2</v>
      </c>
      <c r="AR52" s="1">
        <f>'Asset Prices'!AR52/'Asset Prices'!AR53-1</f>
        <v>5.5105348460291692E-2</v>
      </c>
      <c r="AS52" s="1">
        <f>'Asset Prices'!AS52/'Asset Prices'!AS53-1</f>
        <v>3.0618493570115923E-3</v>
      </c>
      <c r="AT52" s="1">
        <f>'Asset Prices'!AT52/'Asset Prices'!AT53-1</f>
        <v>-1.6627927766851403E-2</v>
      </c>
      <c r="AU52" s="1">
        <f>'Asset Prices'!AU52/'Asset Prices'!AU53-1</f>
        <v>-3.0859755323201954E-2</v>
      </c>
      <c r="AV52" s="1">
        <f>'Asset Prices'!AV52/'Asset Prices'!AV53-1</f>
        <v>2.668430918513609E-2</v>
      </c>
      <c r="AW52" s="1">
        <f>'Asset Prices'!AW52/'Asset Prices'!AW53-1</f>
        <v>2.3395510591210922E-3</v>
      </c>
      <c r="AX52" s="1">
        <f>'Asset Prices'!AX52/'Asset Prices'!AX53-1</f>
        <v>-4.8956661316212013E-2</v>
      </c>
      <c r="AY52" s="1">
        <f>'Asset Prices'!AY52/'Asset Prices'!AY53-1</f>
        <v>-2.5830997196635952E-2</v>
      </c>
      <c r="AZ52" s="1">
        <f>'Asset Prices'!AZ52/'Asset Prices'!AZ53-1</f>
        <v>-2.3998523167804153E-3</v>
      </c>
      <c r="BA52" s="1">
        <f>'Asset Prices'!BA52/'Asset Prices'!BA53-1</f>
        <v>6.6755674232310547E-3</v>
      </c>
      <c r="BB52" s="1">
        <f>'Asset Prices'!BB52/'Asset Prices'!BB53-1</f>
        <v>-3.0124426981008479E-2</v>
      </c>
      <c r="BC52" s="1">
        <f>'Asset Prices'!BC52/'Asset Prices'!BC53-1</f>
        <v>-6.2006665497281066E-2</v>
      </c>
      <c r="BD52" s="1">
        <f>'Asset Prices'!BD52/'Asset Prices'!BD53-1</f>
        <v>-6.2879566476688797E-2</v>
      </c>
    </row>
    <row r="53" spans="3:56" x14ac:dyDescent="0.25">
      <c r="C53" s="38">
        <f>'Asset Prices'!C53</f>
        <v>44000</v>
      </c>
      <c r="D53" s="1">
        <f>'Asset Prices'!D53/'Asset Prices'!D54-1</f>
        <v>2.6630664972469242E-2</v>
      </c>
      <c r="E53" s="1">
        <f>'Asset Prices'!E53/'Asset Prices'!E54-1</f>
        <v>5.087002840909105E-2</v>
      </c>
      <c r="F53" s="1">
        <f>'Asset Prices'!F53/'Asset Prices'!F54-1</f>
        <v>3.446464221918677E-2</v>
      </c>
      <c r="G53" s="1">
        <f>'Asset Prices'!G53/'Asset Prices'!G54-1</f>
        <v>4.6384720327421469E-2</v>
      </c>
      <c r="H53" s="1">
        <f>'Asset Prices'!H53/'Asset Prices'!H54-1</f>
        <v>4.9691484985602719E-2</v>
      </c>
      <c r="I53" s="1">
        <f>'Asset Prices'!I53/'Asset Prices'!I54-1</f>
        <v>5.1285478768435588E-2</v>
      </c>
      <c r="J53" s="1">
        <f>'Asset Prices'!J53/'Asset Prices'!J54-1</f>
        <v>4.7127121167014119E-2</v>
      </c>
      <c r="K53" s="1">
        <f>'Asset Prices'!K53/'Asset Prices'!K54-1</f>
        <v>3.7537725374908071E-2</v>
      </c>
      <c r="L53" s="1">
        <f>'Asset Prices'!L53/'Asset Prices'!L54-1</f>
        <v>5.7124729767835225E-2</v>
      </c>
      <c r="M53" s="1">
        <f>'Asset Prices'!M53/'Asset Prices'!M54-1</f>
        <v>5.3953937832178944E-2</v>
      </c>
      <c r="N53" s="1">
        <f>'Asset Prices'!N53/'Asset Prices'!N54-1</f>
        <v>2.2983094371923585E-2</v>
      </c>
      <c r="O53" s="1">
        <f>'Asset Prices'!O53/'Asset Prices'!O54-1</f>
        <v>2.6725540320706287E-2</v>
      </c>
      <c r="P53" s="1">
        <f>'Asset Prices'!P53/'Asset Prices'!P54-1</f>
        <v>9.2369716013517511E-2</v>
      </c>
      <c r="Q53" s="1">
        <f>'Asset Prices'!Q53/'Asset Prices'!Q54-1</f>
        <v>0.11050025180459966</v>
      </c>
      <c r="R53" s="1">
        <f>'Asset Prices'!R53/'Asset Prices'!R54-1</f>
        <v>-8.7584511370619733E-3</v>
      </c>
      <c r="S53" s="1">
        <f>'Asset Prices'!S53/'Asset Prices'!S54-1</f>
        <v>1.9726858877086473E-2</v>
      </c>
      <c r="T53" s="1">
        <f>'Asset Prices'!T53/'Asset Prices'!T54-1</f>
        <v>1.4326334208224045E-2</v>
      </c>
      <c r="U53" s="1">
        <f>'Asset Prices'!U53/'Asset Prices'!U54-1</f>
        <v>-1.8129965369729106E-2</v>
      </c>
      <c r="V53" s="1">
        <f>'Asset Prices'!V53/'Asset Prices'!V54-1</f>
        <v>8.178958406151704E-2</v>
      </c>
      <c r="W53" s="1">
        <f>'Asset Prices'!W53/'Asset Prices'!W54-1</f>
        <v>6.5372168284789645E-2</v>
      </c>
      <c r="X53" s="1">
        <f>'Asset Prices'!X53/'Asset Prices'!X54-1</f>
        <v>9.1989034419738047E-2</v>
      </c>
      <c r="Y53" s="1">
        <f>'Asset Prices'!Y53/'Asset Prices'!Y54-1</f>
        <v>3.6060788185798831E-2</v>
      </c>
      <c r="Z53" s="1">
        <f>'Asset Prices'!Z53/'Asset Prices'!Z54-1</f>
        <v>0.10038461538461529</v>
      </c>
      <c r="AA53" s="1">
        <f>'Asset Prices'!AA53/'Asset Prices'!AA54-1</f>
        <v>5.6370402802101705E-2</v>
      </c>
      <c r="AB53" s="1">
        <f>'Asset Prices'!AB53/'Asset Prices'!AB54-1</f>
        <v>4.3572984749455923E-3</v>
      </c>
      <c r="AC53" s="1">
        <f>'Asset Prices'!AC53/'Asset Prices'!AC54-1</f>
        <v>6.9154488517746415E-3</v>
      </c>
      <c r="AD53" s="1">
        <f>'Asset Prices'!AD53/'Asset Prices'!AD54-1</f>
        <v>9.391138896439255E-2</v>
      </c>
      <c r="AE53" s="1">
        <f>'Asset Prices'!AE53/'Asset Prices'!AE54-1</f>
        <v>5.3852235790213365E-2</v>
      </c>
      <c r="AF53" s="1">
        <f>'Asset Prices'!AF53/'Asset Prices'!AF54-1</f>
        <v>4.6362909672262198E-2</v>
      </c>
      <c r="AG53" s="1">
        <f>'Asset Prices'!AG53/'Asset Prices'!AG54-1</f>
        <v>0.13048269781794142</v>
      </c>
      <c r="AH53" s="1">
        <f>'Asset Prices'!AH53/'Asset Prices'!AH54-1</f>
        <v>0.13408902405308276</v>
      </c>
      <c r="AI53" s="1">
        <f>'Asset Prices'!AI53/'Asset Prices'!AI54-1</f>
        <v>0.12908194701170661</v>
      </c>
      <c r="AJ53" s="1">
        <f>'Asset Prices'!AJ53/'Asset Prices'!AJ54-1</f>
        <v>-6.8259385665528916E-3</v>
      </c>
      <c r="AK53" s="1">
        <f>'Asset Prices'!AK53/'Asset Prices'!AK54-1</f>
        <v>8.3708370837083601E-2</v>
      </c>
      <c r="AL53" s="1">
        <f>'Asset Prices'!AL53/'Asset Prices'!AL54-1</f>
        <v>3.5733145572962588E-2</v>
      </c>
      <c r="AM53" s="1">
        <f>'Asset Prices'!AM53/'Asset Prices'!AM54-1</f>
        <v>5.2114227607829688E-2</v>
      </c>
      <c r="AN53" s="1">
        <f>'Asset Prices'!AN53/'Asset Prices'!AN54-1</f>
        <v>3.5305655442955386E-2</v>
      </c>
      <c r="AO53" s="1">
        <f>'Asset Prices'!AO53/'Asset Prices'!AO54-1</f>
        <v>7.7945084145261134E-3</v>
      </c>
      <c r="AP53" s="1">
        <f>'Asset Prices'!AP53/'Asset Prices'!AP54-1</f>
        <v>1.5001898974553951E-2</v>
      </c>
      <c r="AQ53" s="1">
        <f>'Asset Prices'!AQ53/'Asset Prices'!AQ54-1</f>
        <v>7.171635777598695E-2</v>
      </c>
      <c r="AR53" s="1">
        <f>'Asset Prices'!AR53/'Asset Prices'!AR54-1</f>
        <v>-9.1006423982868956E-3</v>
      </c>
      <c r="AS53" s="1">
        <f>'Asset Prices'!AS53/'Asset Prices'!AS54-1</f>
        <v>1.8404907975457796E-3</v>
      </c>
      <c r="AT53" s="1">
        <f>'Asset Prices'!AT53/'Asset Prices'!AT54-1</f>
        <v>4.7967022671913107E-2</v>
      </c>
      <c r="AU53" s="1">
        <f>'Asset Prices'!AU53/'Asset Prices'!AU54-1</f>
        <v>2.6239193709544306E-2</v>
      </c>
      <c r="AV53" s="1">
        <f>'Asset Prices'!AV53/'Asset Prices'!AV54-1</f>
        <v>1.7845117845117775E-2</v>
      </c>
      <c r="AW53" s="1">
        <f>'Asset Prices'!AW53/'Asset Prices'!AW54-1</f>
        <v>6.9737554112554223E-2</v>
      </c>
      <c r="AX53" s="1">
        <f>'Asset Prices'!AX53/'Asset Prices'!AX54-1</f>
        <v>1.6313213703099683E-2</v>
      </c>
      <c r="AY53" s="1">
        <f>'Asset Prices'!AY53/'Asset Prices'!AY54-1</f>
        <v>0.14672789896670491</v>
      </c>
      <c r="AZ53" s="1">
        <f>'Asset Prices'!AZ53/'Asset Prices'!AZ54-1</f>
        <v>-4.5938993017273777E-3</v>
      </c>
      <c r="BA53" s="1">
        <f>'Asset Prices'!BA53/'Asset Prices'!BA54-1</f>
        <v>6.5433854907539057E-2</v>
      </c>
      <c r="BB53" s="1">
        <f>'Asset Prices'!BB53/'Asset Prices'!BB54-1</f>
        <v>-4.6929996089166703E-3</v>
      </c>
      <c r="BC53" s="1">
        <f>'Asset Prices'!BC53/'Asset Prices'!BC54-1</f>
        <v>6.5906328877255227E-2</v>
      </c>
      <c r="BD53" s="1">
        <f>'Asset Prices'!BD53/'Asset Prices'!BD54-1</f>
        <v>2.118118500143118E-2</v>
      </c>
    </row>
    <row r="54" spans="3:56" x14ac:dyDescent="0.25">
      <c r="C54" s="38">
        <f>'Asset Prices'!C54</f>
        <v>43993</v>
      </c>
      <c r="D54" s="1">
        <f>'Asset Prices'!D54/'Asset Prices'!D55-1</f>
        <v>-2.4581697996281737E-2</v>
      </c>
      <c r="E54" s="1">
        <f>'Asset Prices'!E54/'Asset Prices'!E55-1</f>
        <v>-8.9336243835394957E-2</v>
      </c>
      <c r="F54" s="1">
        <f>'Asset Prices'!F54/'Asset Prices'!F55-1</f>
        <v>-6.0327804107424998E-2</v>
      </c>
      <c r="G54" s="1">
        <f>'Asset Prices'!G54/'Asset Prices'!G55-1</f>
        <v>-2.9139072847682135E-2</v>
      </c>
      <c r="H54" s="1">
        <f>'Asset Prices'!H54/'Asset Prices'!H55-1</f>
        <v>-5.7459677419354871E-2</v>
      </c>
      <c r="I54" s="1">
        <f>'Asset Prices'!I54/'Asset Prices'!I55-1</f>
        <v>-8.2195412965663239E-3</v>
      </c>
      <c r="J54" s="1">
        <f>'Asset Prices'!J54/'Asset Prices'!J55-1</f>
        <v>4.2132042690493865E-2</v>
      </c>
      <c r="K54" s="1">
        <f>'Asset Prices'!K54/'Asset Prices'!K55-1</f>
        <v>3.9567585141835337E-2</v>
      </c>
      <c r="L54" s="1">
        <f>'Asset Prices'!L54/'Asset Prices'!L55-1</f>
        <v>2.7103999227668707E-2</v>
      </c>
      <c r="M54" s="1">
        <f>'Asset Prices'!M54/'Asset Prices'!M55-1</f>
        <v>1.8314017056636933E-2</v>
      </c>
      <c r="N54" s="1">
        <f>'Asset Prices'!N54/'Asset Prices'!N55-1</f>
        <v>-8.7675882061796218E-3</v>
      </c>
      <c r="O54" s="1">
        <f>'Asset Prices'!O54/'Asset Prices'!O55-1</f>
        <v>-3.2526418346698671E-2</v>
      </c>
      <c r="P54" s="1">
        <f>'Asset Prices'!P54/'Asset Prices'!P55-1</f>
        <v>-4.0175268878392956E-2</v>
      </c>
      <c r="Q54" s="1">
        <f>'Asset Prices'!Q54/'Asset Prices'!Q55-1</f>
        <v>-8.3785134771407699E-2</v>
      </c>
      <c r="R54" s="1">
        <f>'Asset Prices'!R54/'Asset Prices'!R55-1</f>
        <v>7.6887590342922252E-4</v>
      </c>
      <c r="S54" s="1">
        <f>'Asset Prices'!S54/'Asset Prices'!S55-1</f>
        <v>-0.12162612462512501</v>
      </c>
      <c r="T54" s="1">
        <f>'Asset Prices'!T54/'Asset Prices'!T55-1</f>
        <v>-0.12764739553520321</v>
      </c>
      <c r="U54" s="1">
        <f>'Asset Prices'!U54/'Asset Prices'!U55-1</f>
        <v>-6.2273161413562539E-2</v>
      </c>
      <c r="V54" s="1">
        <f>'Asset Prices'!V54/'Asset Prices'!V55-1</f>
        <v>-6.3195808775376561E-2</v>
      </c>
      <c r="W54" s="1">
        <f>'Asset Prices'!W54/'Asset Prices'!W55-1</f>
        <v>-3.3408408408408419E-2</v>
      </c>
      <c r="X54" s="1">
        <f>'Asset Prices'!X54/'Asset Prices'!X55-1</f>
        <v>-0.14214789652469306</v>
      </c>
      <c r="Y54" s="1">
        <f>'Asset Prices'!Y54/'Asset Prices'!Y55-1</f>
        <v>-3.6163522012578664E-2</v>
      </c>
      <c r="Z54" s="1">
        <f>'Asset Prices'!Z54/'Asset Prices'!Z55-1</f>
        <v>3.9307128580946094E-2</v>
      </c>
      <c r="AA54" s="1">
        <f>'Asset Prices'!AA54/'Asset Prices'!AA55-1</f>
        <v>-7.9032258064516192E-2</v>
      </c>
      <c r="AB54" s="1">
        <f>'Asset Prices'!AB54/'Asset Prices'!AB55-1</f>
        <v>1.4364640883977708E-2</v>
      </c>
      <c r="AC54" s="1">
        <f>'Asset Prices'!AC54/'Asset Prices'!AC55-1</f>
        <v>-2.876694968951965E-2</v>
      </c>
      <c r="AD54" s="1">
        <f>'Asset Prices'!AD54/'Asset Prices'!AD55-1</f>
        <v>-9.8394804558264881E-2</v>
      </c>
      <c r="AE54" s="1">
        <f>'Asset Prices'!AE54/'Asset Prices'!AE55-1</f>
        <v>-4.5474420638390578E-3</v>
      </c>
      <c r="AF54" s="1">
        <f>'Asset Prices'!AF54/'Asset Prices'!AF55-1</f>
        <v>-9.740259740259738E-2</v>
      </c>
      <c r="AG54" s="1">
        <f>'Asset Prices'!AG54/'Asset Prices'!AG55-1</f>
        <v>-2.9726261762189954E-2</v>
      </c>
      <c r="AH54" s="1">
        <f>'Asset Prices'!AH54/'Asset Prices'!AH55-1</f>
        <v>-1.8453188602442272E-2</v>
      </c>
      <c r="AI54" s="1">
        <f>'Asset Prices'!AI54/'Asset Prices'!AI55-1</f>
        <v>-6.0083972781236339E-2</v>
      </c>
      <c r="AJ54" s="1">
        <f>'Asset Prices'!AJ54/'Asset Prices'!AJ55-1</f>
        <v>4.2704626334519658E-2</v>
      </c>
      <c r="AK54" s="1">
        <f>'Asset Prices'!AK54/'Asset Prices'!AK55-1</f>
        <v>-0.14669738863287252</v>
      </c>
      <c r="AL54" s="1">
        <f>'Asset Prices'!AL54/'Asset Prices'!AL55-1</f>
        <v>-3.8096850660345405E-2</v>
      </c>
      <c r="AM54" s="1">
        <f>'Asset Prices'!AM54/'Asset Prices'!AM55-1</f>
        <v>-8.4413065404608467E-2</v>
      </c>
      <c r="AN54" s="1">
        <f>'Asset Prices'!AN54/'Asset Prices'!AN55-1</f>
        <v>-7.3404684975767465E-2</v>
      </c>
      <c r="AO54" s="1">
        <f>'Asset Prices'!AO54/'Asset Prices'!AO55-1</f>
        <v>-1.3456833275078628E-2</v>
      </c>
      <c r="AP54" s="1">
        <f>'Asset Prices'!AP54/'Asset Prices'!AP55-1</f>
        <v>-3.9576873974101812E-2</v>
      </c>
      <c r="AQ54" s="1">
        <f>'Asset Prices'!AQ54/'Asset Prices'!AQ55-1</f>
        <v>-4.31765612952969E-2</v>
      </c>
      <c r="AR54" s="1">
        <f>'Asset Prices'!AR54/'Asset Prices'!AR55-1</f>
        <v>2.5044722719140822E-3</v>
      </c>
      <c r="AS54" s="1">
        <f>'Asset Prices'!AS54/'Asset Prices'!AS55-1</f>
        <v>-7.909604519774005E-2</v>
      </c>
      <c r="AT54" s="1">
        <f>'Asset Prices'!AT54/'Asset Prices'!AT55-1</f>
        <v>-8.9093701996927899E-2</v>
      </c>
      <c r="AU54" s="1">
        <f>'Asset Prices'!AU54/'Asset Prices'!AU55-1</f>
        <v>-5.4855265859166558E-2</v>
      </c>
      <c r="AV54" s="1">
        <f>'Asset Prices'!AV54/'Asset Prices'!AV55-1</f>
        <v>-4.4606476517263682E-2</v>
      </c>
      <c r="AW54" s="1">
        <f>'Asset Prices'!AW54/'Asset Prices'!AW55-1</f>
        <v>-2.4705610713461112E-2</v>
      </c>
      <c r="AX54" s="1">
        <f>'Asset Prices'!AX54/'Asset Prices'!AX55-1</f>
        <v>-6.0536398467432972E-2</v>
      </c>
      <c r="AY54" s="1">
        <f>'Asset Prices'!AY54/'Asset Prices'!AY55-1</f>
        <v>-8.0641756385898211E-2</v>
      </c>
      <c r="AZ54" s="1">
        <f>'Asset Prices'!AZ54/'Asset Prices'!AZ55-1</f>
        <v>-0.10845347313237219</v>
      </c>
      <c r="BA54" s="1">
        <f>'Asset Prices'!BA54/'Asset Prices'!BA55-1</f>
        <v>-3.7206117324811716E-2</v>
      </c>
      <c r="BB54" s="1">
        <f>'Asset Prices'!BB54/'Asset Prices'!BB55-1</f>
        <v>-6.7582350796159041E-2</v>
      </c>
      <c r="BC54" s="1">
        <f>'Asset Prices'!BC54/'Asset Prices'!BC55-1</f>
        <v>-0.1499523204068659</v>
      </c>
      <c r="BD54" s="1">
        <f>'Asset Prices'!BD54/'Asset Prices'!BD55-1</f>
        <v>-5.0548056889210935E-2</v>
      </c>
    </row>
    <row r="55" spans="3:56" x14ac:dyDescent="0.25">
      <c r="C55" s="38">
        <f>'Asset Prices'!C55</f>
        <v>43986</v>
      </c>
      <c r="D55" s="1">
        <f>'Asset Prices'!D55/'Asset Prices'!D56-1</f>
        <v>-3.1915988880881763E-3</v>
      </c>
      <c r="E55" s="1">
        <f>'Asset Prices'!E55/'Asset Prices'!E56-1</f>
        <v>5.9443254817987068E-2</v>
      </c>
      <c r="F55" s="1">
        <f>'Asset Prices'!F55/'Asset Prices'!F56-1</f>
        <v>2.864107251675807E-2</v>
      </c>
      <c r="G55" s="1">
        <f>'Asset Prices'!G55/'Asset Prices'!G56-1</f>
        <v>-1.4360313315926798E-2</v>
      </c>
      <c r="H55" s="1">
        <f>'Asset Prices'!H55/'Asset Prices'!H56-1</f>
        <v>6.8080172270995609E-2</v>
      </c>
      <c r="I55" s="1">
        <f>'Asset Prices'!I55/'Asset Prices'!I56-1</f>
        <v>3.6813625476801448E-3</v>
      </c>
      <c r="J55" s="1">
        <f>'Asset Prices'!J55/'Asset Prices'!J56-1</f>
        <v>1.2788688138256177E-2</v>
      </c>
      <c r="K55" s="1">
        <f>'Asset Prices'!K55/'Asset Prices'!K56-1</f>
        <v>2.4780309025030256E-2</v>
      </c>
      <c r="L55" s="1">
        <f>'Asset Prices'!L55/'Asset Prices'!L56-1</f>
        <v>2.1526702786376362E-3</v>
      </c>
      <c r="M55" s="1">
        <f>'Asset Prices'!M55/'Asset Prices'!M56-1</f>
        <v>8.3792723263504953E-3</v>
      </c>
      <c r="N55" s="1">
        <f>'Asset Prices'!N55/'Asset Prices'!N56-1</f>
        <v>-2.778091155234641E-3</v>
      </c>
      <c r="O55" s="1">
        <f>'Asset Prices'!O55/'Asset Prices'!O56-1</f>
        <v>-1.8752757758493721E-2</v>
      </c>
      <c r="P55" s="1">
        <f>'Asset Prices'!P55/'Asset Prices'!P56-1</f>
        <v>1.6529867761057027E-3</v>
      </c>
      <c r="Q55" s="1">
        <f>'Asset Prices'!Q55/'Asset Prices'!Q56-1</f>
        <v>4.3703346978088087E-2</v>
      </c>
      <c r="R55" s="1">
        <f>'Asset Prices'!R55/'Asset Prices'!R56-1</f>
        <v>1.5935010154663365E-2</v>
      </c>
      <c r="S55" s="1">
        <f>'Asset Prices'!S55/'Asset Prices'!S56-1</f>
        <v>9.3658892128279936E-2</v>
      </c>
      <c r="T55" s="1">
        <f>'Asset Prices'!T55/'Asset Prices'!T56-1</f>
        <v>0.14382365779135742</v>
      </c>
      <c r="U55" s="1">
        <f>'Asset Prices'!U55/'Asset Prices'!U56-1</f>
        <v>7.8269824922760023E-2</v>
      </c>
      <c r="V55" s="1">
        <f>'Asset Prices'!V55/'Asset Prices'!V56-1</f>
        <v>1.478650938694126E-2</v>
      </c>
      <c r="W55" s="1">
        <f>'Asset Prices'!W55/'Asset Prices'!W56-1</f>
        <v>4.5662697893497306E-2</v>
      </c>
      <c r="X55" s="1">
        <f>'Asset Prices'!X55/'Asset Prices'!X56-1</f>
        <v>0.17572964669738877</v>
      </c>
      <c r="Y55" s="1">
        <f>'Asset Prices'!Y55/'Asset Prices'!Y56-1</f>
        <v>1.4865205341395793E-2</v>
      </c>
      <c r="Z55" s="1">
        <f>'Asset Prices'!Z55/'Asset Prices'!Z56-1</f>
        <v>-7.8001057641460259E-3</v>
      </c>
      <c r="AA55" s="1">
        <f>'Asset Prices'!AA55/'Asset Prices'!AA56-1</f>
        <v>5.4085644458612192E-2</v>
      </c>
      <c r="AB55" s="1">
        <f>'Asset Prices'!AB55/'Asset Prices'!AB56-1</f>
        <v>0.12143742255266421</v>
      </c>
      <c r="AC55" s="1">
        <f>'Asset Prices'!AC55/'Asset Prices'!AC56-1</f>
        <v>7.3970738346376352E-2</v>
      </c>
      <c r="AD55" s="1">
        <f>'Asset Prices'!AD55/'Asset Prices'!AD56-1</f>
        <v>3.8956078930617366E-2</v>
      </c>
      <c r="AE55" s="1">
        <f>'Asset Prices'!AE55/'Asset Prices'!AE56-1</f>
        <v>-4.5173680694722829E-2</v>
      </c>
      <c r="AF55" s="1">
        <f>'Asset Prices'!AF55/'Asset Prices'!AF56-1</f>
        <v>0.13606557377049189</v>
      </c>
      <c r="AG55" s="1">
        <f>'Asset Prices'!AG55/'Asset Prices'!AG56-1</f>
        <v>6.5148063781321097E-2</v>
      </c>
      <c r="AH55" s="1">
        <f>'Asset Prices'!AH55/'Asset Prices'!AH56-1</f>
        <v>5.4967077011165211E-2</v>
      </c>
      <c r="AI55" s="1">
        <f>'Asset Prices'!AI55/'Asset Prices'!AI56-1</f>
        <v>4.0054208703508509E-2</v>
      </c>
      <c r="AJ55" s="1">
        <f>'Asset Prices'!AJ55/'Asset Prices'!AJ56-1</f>
        <v>-2.894168466522673E-2</v>
      </c>
      <c r="AK55" s="1">
        <f>'Asset Prices'!AK55/'Asset Prices'!AK56-1</f>
        <v>0.28023598820059004</v>
      </c>
      <c r="AL55" s="1">
        <f>'Asset Prices'!AL55/'Asset Prices'!AL56-1</f>
        <v>1.8451457147784067E-2</v>
      </c>
      <c r="AM55" s="1">
        <f>'Asset Prices'!AM55/'Asset Prices'!AM56-1</f>
        <v>3.5011643780614943E-2</v>
      </c>
      <c r="AN55" s="1">
        <f>'Asset Prices'!AN55/'Asset Prices'!AN56-1</f>
        <v>1.3974916815971516E-2</v>
      </c>
      <c r="AO55" s="1">
        <f>'Asset Prices'!AO55/'Asset Prices'!AO56-1</f>
        <v>2.6920315865039512E-2</v>
      </c>
      <c r="AP55" s="1">
        <f>'Asset Prices'!AP55/'Asset Prices'!AP56-1</f>
        <v>1.3868343195266197E-2</v>
      </c>
      <c r="AQ55" s="1">
        <f>'Asset Prices'!AQ55/'Asset Prices'!AQ56-1</f>
        <v>8.7777777777777732E-3</v>
      </c>
      <c r="AR55" s="1">
        <f>'Asset Prices'!AR55/'Asset Prices'!AR56-1</f>
        <v>-4.8024523160763E-2</v>
      </c>
      <c r="AS55" s="1">
        <f>'Asset Prices'!AS55/'Asset Prices'!AS56-1</f>
        <v>2.608695652173898E-2</v>
      </c>
      <c r="AT55" s="1">
        <f>'Asset Prices'!AT55/'Asset Prices'!AT56-1</f>
        <v>4.7184986595174339E-2</v>
      </c>
      <c r="AU55" s="1">
        <f>'Asset Prices'!AU55/'Asset Prices'!AU56-1</f>
        <v>8.4886128364389801E-3</v>
      </c>
      <c r="AV55" s="1">
        <f>'Asset Prices'!AV55/'Asset Prices'!AV56-1</f>
        <v>-4.4858664481769672E-2</v>
      </c>
      <c r="AW55" s="1">
        <f>'Asset Prices'!AW55/'Asset Prices'!AW56-1</f>
        <v>5.5569095783573053E-2</v>
      </c>
      <c r="AX55" s="1">
        <f>'Asset Prices'!AX55/'Asset Prices'!AX56-1</f>
        <v>9.25073252406865E-2</v>
      </c>
      <c r="AY55" s="1">
        <f>'Asset Prices'!AY55/'Asset Prices'!AY56-1</f>
        <v>5.6422836752899164E-2</v>
      </c>
      <c r="AZ55" s="1">
        <f>'Asset Prices'!AZ55/'Asset Prices'!AZ56-1</f>
        <v>5.7702304626581213E-2</v>
      </c>
      <c r="BA55" s="1">
        <f>'Asset Prices'!BA55/'Asset Prices'!BA56-1</f>
        <v>2.7439024390243816E-2</v>
      </c>
      <c r="BB55" s="1">
        <f>'Asset Prices'!BB55/'Asset Prices'!BB56-1</f>
        <v>-2.338556505223166E-2</v>
      </c>
      <c r="BC55" s="1">
        <f>'Asset Prices'!BC55/'Asset Prices'!BC56-1</f>
        <v>0.18784217481593357</v>
      </c>
      <c r="BD55" s="1">
        <f>'Asset Prices'!BD55/'Asset Prices'!BD56-1</f>
        <v>6.6673108512899759E-2</v>
      </c>
    </row>
    <row r="56" spans="3:56" x14ac:dyDescent="0.25">
      <c r="C56" s="38">
        <f>'Asset Prices'!C56</f>
        <v>43979</v>
      </c>
      <c r="D56" s="1">
        <f>'Asset Prices'!D56/'Asset Prices'!D57-1</f>
        <v>1.909558283495949E-2</v>
      </c>
      <c r="E56" s="1">
        <f>'Asset Prices'!E56/'Asset Prices'!E57-1</f>
        <v>-9.1657472630060077E-3</v>
      </c>
      <c r="F56" s="1">
        <f>'Asset Prices'!F56/'Asset Prices'!F57-1</f>
        <v>4.4557606619987089E-2</v>
      </c>
      <c r="G56" s="1">
        <f>'Asset Prices'!G56/'Asset Prices'!G57-1</f>
        <v>2.6809651474530849E-2</v>
      </c>
      <c r="H56" s="1">
        <f>'Asset Prices'!H56/'Asset Prices'!H57-1</f>
        <v>5.8565667192705506E-2</v>
      </c>
      <c r="I56" s="1">
        <f>'Asset Prices'!I56/'Asset Prices'!I57-1</f>
        <v>-2.5627728078136403E-2</v>
      </c>
      <c r="J56" s="1">
        <f>'Asset Prices'!J56/'Asset Prices'!J57-1</f>
        <v>4.4184945557834698E-3</v>
      </c>
      <c r="K56" s="1">
        <f>'Asset Prices'!K56/'Asset Prices'!K57-1</f>
        <v>-1.8653391860189439E-2</v>
      </c>
      <c r="L56" s="1">
        <f>'Asset Prices'!L56/'Asset Prices'!L57-1</f>
        <v>-5.2286532951289377E-2</v>
      </c>
      <c r="M56" s="1">
        <f>'Asset Prices'!M56/'Asset Prices'!M57-1</f>
        <v>-1.1066892002398743E-2</v>
      </c>
      <c r="N56" s="1">
        <f>'Asset Prices'!N56/'Asset Prices'!N57-1</f>
        <v>8.1677625733072023E-3</v>
      </c>
      <c r="O56" s="1">
        <f>'Asset Prices'!O56/'Asset Prices'!O57-1</f>
        <v>6.2094821526204713E-2</v>
      </c>
      <c r="P56" s="1">
        <f>'Asset Prices'!P56/'Asset Prices'!P57-1</f>
        <v>2.5964912280701746E-2</v>
      </c>
      <c r="Q56" s="1">
        <f>'Asset Prices'!Q56/'Asset Prices'!Q57-1</f>
        <v>5.6026445160196614E-2</v>
      </c>
      <c r="R56" s="1">
        <f>'Asset Prices'!R56/'Asset Prices'!R57-1</f>
        <v>6.4172901080631783E-2</v>
      </c>
      <c r="S56" s="1">
        <f>'Asset Prices'!S56/'Asset Prices'!S57-1</f>
        <v>6.7704280155642005E-2</v>
      </c>
      <c r="T56" s="1">
        <f>'Asset Prices'!T56/'Asset Prices'!T57-1</f>
        <v>3.1746031746031633E-3</v>
      </c>
      <c r="U56" s="1">
        <f>'Asset Prices'!U56/'Asset Prices'!U57-1</f>
        <v>-4.1177681696524804E-4</v>
      </c>
      <c r="V56" s="1">
        <f>'Asset Prices'!V56/'Asset Prices'!V57-1</f>
        <v>2.0169491525423799E-2</v>
      </c>
      <c r="W56" s="1">
        <f>'Asset Prices'!W56/'Asset Prices'!W57-1</f>
        <v>-1.9876891510643757E-2</v>
      </c>
      <c r="X56" s="1">
        <f>'Asset Prices'!X56/'Asset Prices'!X57-1</f>
        <v>9.966216216216206E-2</v>
      </c>
      <c r="Y56" s="1">
        <f>'Asset Prices'!Y56/'Asset Prices'!Y57-1</f>
        <v>-1.7898383371824367E-2</v>
      </c>
      <c r="Z56" s="1">
        <f>'Asset Prices'!Z56/'Asset Prices'!Z57-1</f>
        <v>6.6854724964739098E-2</v>
      </c>
      <c r="AA56" s="1">
        <f>'Asset Prices'!AA56/'Asset Prices'!AA57-1</f>
        <v>4.6015338446148801E-2</v>
      </c>
      <c r="AB56" s="1">
        <f>'Asset Prices'!AB56/'Asset Prices'!AB57-1</f>
        <v>-7.9901659496004473E-3</v>
      </c>
      <c r="AC56" s="1">
        <f>'Asset Prices'!AC56/'Asset Prices'!AC57-1</f>
        <v>-6.3560754614916393E-3</v>
      </c>
      <c r="AD56" s="1">
        <f>'Asset Prices'!AD56/'Asset Prices'!AD57-1</f>
        <v>7.4261487964988993E-2</v>
      </c>
      <c r="AE56" s="1">
        <f>'Asset Prices'!AE56/'Asset Prices'!AE57-1</f>
        <v>-4.0461501482253026E-2</v>
      </c>
      <c r="AF56" s="1">
        <f>'Asset Prices'!AF56/'Asset Prices'!AF57-1</f>
        <v>5.6277056277056259E-2</v>
      </c>
      <c r="AG56" s="1">
        <f>'Asset Prices'!AG56/'Asset Prices'!AG57-1</f>
        <v>5.2631578947368363E-2</v>
      </c>
      <c r="AH56" s="1">
        <f>'Asset Prices'!AH56/'Asset Prices'!AH57-1</f>
        <v>0.13261997405966275</v>
      </c>
      <c r="AI56" s="1">
        <f>'Asset Prices'!AI56/'Asset Prices'!AI57-1</f>
        <v>0.12502117567338633</v>
      </c>
      <c r="AJ56" s="1">
        <f>'Asset Prices'!AJ56/'Asset Prices'!AJ57-1</f>
        <v>9.0951932139490932E-2</v>
      </c>
      <c r="AK56" s="1">
        <f>'Asset Prices'!AK56/'Asset Prices'!AK57-1</f>
        <v>7.9617834394904552E-2</v>
      </c>
      <c r="AL56" s="1">
        <f>'Asset Prices'!AL56/'Asset Prices'!AL57-1</f>
        <v>3.0566909543273457E-2</v>
      </c>
      <c r="AM56" s="1">
        <f>'Asset Prices'!AM56/'Asset Prices'!AM57-1</f>
        <v>4.5416386836803158E-2</v>
      </c>
      <c r="AN56" s="1">
        <f>'Asset Prices'!AN56/'Asset Prices'!AN57-1</f>
        <v>5.5432492301042746E-2</v>
      </c>
      <c r="AO56" s="1">
        <f>'Asset Prices'!AO56/'Asset Prices'!AO57-1</f>
        <v>3.2425421530480003E-2</v>
      </c>
      <c r="AP56" s="1">
        <f>'Asset Prices'!AP56/'Asset Prices'!AP57-1</f>
        <v>-4.0515653775322624E-3</v>
      </c>
      <c r="AQ56" s="1">
        <f>'Asset Prices'!AQ56/'Asset Prices'!AQ57-1</f>
        <v>0.10125420617925984</v>
      </c>
      <c r="AR56" s="1">
        <f>'Asset Prices'!AR56/'Asset Prices'!AR57-1</f>
        <v>-7.4984247006931293E-2</v>
      </c>
      <c r="AS56" s="1">
        <f>'Asset Prices'!AS56/'Asset Prices'!AS57-1</f>
        <v>7.8462019381056569E-2</v>
      </c>
      <c r="AT56" s="1">
        <f>'Asset Prices'!AT56/'Asset Prices'!AT57-1</f>
        <v>6.6120426829268331E-2</v>
      </c>
      <c r="AU56" s="1">
        <f>'Asset Prices'!AU56/'Asset Prices'!AU57-1</f>
        <v>1.0713986774922635E-2</v>
      </c>
      <c r="AV56" s="1">
        <f>'Asset Prices'!AV56/'Asset Prices'!AV57-1</f>
        <v>0.20216695395222861</v>
      </c>
      <c r="AW56" s="1">
        <f>'Asset Prices'!AW56/'Asset Prices'!AW57-1</f>
        <v>4.7141607116814921E-2</v>
      </c>
      <c r="AX56" s="1">
        <f>'Asset Prices'!AX56/'Asset Prices'!AX57-1</f>
        <v>4.050522648083632E-2</v>
      </c>
      <c r="AY56" s="1">
        <f>'Asset Prices'!AY56/'Asset Prices'!AY57-1</f>
        <v>6.7364913115924852E-2</v>
      </c>
      <c r="AZ56" s="1">
        <f>'Asset Prices'!AZ56/'Asset Prices'!AZ57-1</f>
        <v>0.12935420743639914</v>
      </c>
      <c r="BA56" s="1">
        <f>'Asset Prices'!BA56/'Asset Prices'!BA57-1</f>
        <v>0.10609597924773029</v>
      </c>
      <c r="BB56" s="1">
        <f>'Asset Prices'!BB56/'Asset Prices'!BB57-1</f>
        <v>7.8479067981052308E-2</v>
      </c>
      <c r="BC56" s="1">
        <f>'Asset Prices'!BC56/'Asset Prices'!BC57-1</f>
        <v>0.18183846497099498</v>
      </c>
      <c r="BD56" s="1">
        <f>'Asset Prices'!BD56/'Asset Prices'!BD57-1</f>
        <v>2.3842500989315285E-2</v>
      </c>
    </row>
    <row r="57" spans="3:56" x14ac:dyDescent="0.25">
      <c r="C57" s="38">
        <f>'Asset Prices'!C57</f>
        <v>43972</v>
      </c>
      <c r="D57" s="1">
        <f>'Asset Prices'!D57/'Asset Prices'!D58-1</f>
        <v>5.3731343283581978E-2</v>
      </c>
      <c r="E57" s="1">
        <f>'Asset Prices'!E57/'Asset Prices'!E58-1</f>
        <v>0.1125483901425739</v>
      </c>
      <c r="F57" s="1">
        <f>'Asset Prices'!F57/'Asset Prices'!F58-1</f>
        <v>8.9081455805892551E-2</v>
      </c>
      <c r="G57" s="1">
        <f>'Asset Prices'!G57/'Asset Prices'!G58-1</f>
        <v>-1.3041013041013017E-2</v>
      </c>
      <c r="H57" s="1">
        <f>'Asset Prices'!H57/'Asset Prices'!H58-1</f>
        <v>7.411243996609862E-2</v>
      </c>
      <c r="I57" s="1">
        <f>'Asset Prices'!I57/'Asset Prices'!I58-1</f>
        <v>0.11885305352739217</v>
      </c>
      <c r="J57" s="1">
        <f>'Asset Prices'!J57/'Asset Prices'!J58-1</f>
        <v>2.3615687794792173E-2</v>
      </c>
      <c r="K57" s="1">
        <f>'Asset Prices'!K57/'Asset Prices'!K58-1</f>
        <v>2.4233417753312114E-2</v>
      </c>
      <c r="L57" s="1">
        <f>'Asset Prices'!L57/'Asset Prices'!L58-1</f>
        <v>-1.2897386582192527E-2</v>
      </c>
      <c r="M57" s="1">
        <f>'Asset Prices'!M57/'Asset Prices'!M58-1</f>
        <v>1.606381210879082E-2</v>
      </c>
      <c r="N57" s="1">
        <f>'Asset Prices'!N57/'Asset Prices'!N58-1</f>
        <v>3.676871600607301E-2</v>
      </c>
      <c r="O57" s="1">
        <f>'Asset Prices'!O57/'Asset Prices'!O58-1</f>
        <v>-2.2895520109898482E-2</v>
      </c>
      <c r="P57" s="1">
        <f>'Asset Prices'!P57/'Asset Prices'!P58-1</f>
        <v>8.2552544948088169E-2</v>
      </c>
      <c r="Q57" s="1">
        <f>'Asset Prices'!Q57/'Asset Prices'!Q58-1</f>
        <v>0.14493667815032274</v>
      </c>
      <c r="R57" s="1">
        <f>'Asset Prices'!R57/'Asset Prices'!R58-1</f>
        <v>3.3505154639175139E-2</v>
      </c>
      <c r="S57" s="1">
        <f>'Asset Prices'!S57/'Asset Prices'!S58-1</f>
        <v>1.8225039619651273E-2</v>
      </c>
      <c r="T57" s="1">
        <f>'Asset Prices'!T57/'Asset Prices'!T58-1</f>
        <v>0.15268138801261832</v>
      </c>
      <c r="U57" s="1">
        <f>'Asset Prices'!U57/'Asset Prices'!U58-1</f>
        <v>6.3266199649737231E-2</v>
      </c>
      <c r="V57" s="1">
        <f>'Asset Prices'!V57/'Asset Prices'!V58-1</f>
        <v>0.21025641025641018</v>
      </c>
      <c r="W57" s="1">
        <f>'Asset Prices'!W57/'Asset Prices'!W58-1</f>
        <v>1.0234486332426629E-2</v>
      </c>
      <c r="X57" s="1">
        <f>'Asset Prices'!X57/'Asset Prices'!X58-1</f>
        <v>0.19451170298627929</v>
      </c>
      <c r="Y57" s="1">
        <f>'Asset Prices'!Y57/'Asset Prices'!Y58-1</f>
        <v>-5.4958575998688142E-3</v>
      </c>
      <c r="Z57" s="1">
        <f>'Asset Prices'!Z57/'Asset Prices'!Z58-1</f>
        <v>5.6737588652482351E-3</v>
      </c>
      <c r="AA57" s="1">
        <f>'Asset Prices'!AA57/'Asset Prices'!AA58-1</f>
        <v>5.7848324514991223E-2</v>
      </c>
      <c r="AB57" s="1">
        <f>'Asset Prices'!AB57/'Asset Prices'!AB58-1</f>
        <v>3.2360406091370475E-2</v>
      </c>
      <c r="AC57" s="1">
        <f>'Asset Prices'!AC57/'Asset Prices'!AC58-1</f>
        <v>2.8013346308911169E-2</v>
      </c>
      <c r="AD57" s="1">
        <f>'Asset Prices'!AD57/'Asset Prices'!AD58-1</f>
        <v>0.13558005901537507</v>
      </c>
      <c r="AE57" s="1">
        <f>'Asset Prices'!AE57/'Asset Prices'!AE58-1</f>
        <v>0.11169502093168271</v>
      </c>
      <c r="AF57" s="1">
        <f>'Asset Prices'!AF57/'Asset Prices'!AF58-1</f>
        <v>0.11057692307692313</v>
      </c>
      <c r="AG57" s="1">
        <f>'Asset Prices'!AG57/'Asset Prices'!AG58-1</f>
        <v>0.13498435161246425</v>
      </c>
      <c r="AH57" s="1">
        <f>'Asset Prices'!AH57/'Asset Prices'!AH58-1</f>
        <v>0.12967032967032965</v>
      </c>
      <c r="AI57" s="1">
        <f>'Asset Prices'!AI57/'Asset Prices'!AI58-1</f>
        <v>0.12674174460774967</v>
      </c>
      <c r="AJ57" s="1">
        <f>'Asset Prices'!AJ57/'Asset Prices'!AJ58-1</f>
        <v>-9.2774690038478047E-2</v>
      </c>
      <c r="AK57" s="1">
        <f>'Asset Prices'!AK57/'Asset Prices'!AK58-1</f>
        <v>0.14459295261239369</v>
      </c>
      <c r="AL57" s="1">
        <f>'Asset Prices'!AL57/'Asset Prices'!AL58-1</f>
        <v>-2.1731571627260138E-2</v>
      </c>
      <c r="AM57" s="1">
        <f>'Asset Prices'!AM57/'Asset Prices'!AM58-1</f>
        <v>1.8554938007695698E-2</v>
      </c>
      <c r="AN57" s="1">
        <f>'Asset Prices'!AN57/'Asset Prices'!AN58-1</f>
        <v>3.1831865313858954E-2</v>
      </c>
      <c r="AO57" s="1">
        <f>'Asset Prices'!AO57/'Asset Prices'!AO58-1</f>
        <v>-1.7118921872154358E-2</v>
      </c>
      <c r="AP57" s="1">
        <f>'Asset Prices'!AP57/'Asset Prices'!AP58-1</f>
        <v>0.21367903442109948</v>
      </c>
      <c r="AQ57" s="1">
        <f>'Asset Prices'!AQ57/'Asset Prices'!AQ58-1</f>
        <v>7.8593110729840321E-2</v>
      </c>
      <c r="AR57" s="1">
        <f>'Asset Prices'!AR57/'Asset Prices'!AR58-1</f>
        <v>-4.7418967587034899E-2</v>
      </c>
      <c r="AS57" s="1">
        <f>'Asset Prices'!AS57/'Asset Prices'!AS58-1</f>
        <v>5.0919842312746377E-2</v>
      </c>
      <c r="AT57" s="1">
        <f>'Asset Prices'!AT57/'Asset Prices'!AT58-1</f>
        <v>9.3789078782826163E-2</v>
      </c>
      <c r="AU57" s="1">
        <f>'Asset Prices'!AU57/'Asset Prices'!AU58-1</f>
        <v>-7.6381909547738713E-2</v>
      </c>
      <c r="AV57" s="1">
        <f>'Asset Prices'!AV57/'Asset Prices'!AV58-1</f>
        <v>7.5334304249966788E-2</v>
      </c>
      <c r="AW57" s="1">
        <f>'Asset Prices'!AW57/'Asset Prices'!AW58-1</f>
        <v>8.4925438076025372E-2</v>
      </c>
      <c r="AX57" s="1">
        <f>'Asset Prices'!AX57/'Asset Prices'!AX58-1</f>
        <v>5.2539404553415547E-3</v>
      </c>
      <c r="AY57" s="1">
        <f>'Asset Prices'!AY57/'Asset Prices'!AY58-1</f>
        <v>8.8060088060087915E-2</v>
      </c>
      <c r="AZ57" s="1">
        <f>'Asset Prices'!AZ57/'Asset Prices'!AZ58-1</f>
        <v>0.11865148861646224</v>
      </c>
      <c r="BA57" s="1">
        <f>'Asset Prices'!BA57/'Asset Prices'!BA58-1</f>
        <v>4.9550775932480473E-2</v>
      </c>
      <c r="BB57" s="1">
        <f>'Asset Prices'!BB57/'Asset Prices'!BB58-1</f>
        <v>3.6766657817892234E-2</v>
      </c>
      <c r="BC57" s="1">
        <f>'Asset Prices'!BC57/'Asset Prices'!BC58-1</f>
        <v>0.20500067213335127</v>
      </c>
      <c r="BD57" s="1">
        <f>'Asset Prices'!BD57/'Asset Prices'!BD58-1</f>
        <v>0.13509264458169579</v>
      </c>
    </row>
    <row r="58" spans="3:56" x14ac:dyDescent="0.25">
      <c r="C58" s="38">
        <f>'Asset Prices'!C58</f>
        <v>43965</v>
      </c>
      <c r="D58" s="1">
        <f>'Asset Prices'!D58/'Asset Prices'!D59-1</f>
        <v>-9.9605954465848967E-3</v>
      </c>
      <c r="E58" s="1">
        <f>'Asset Prices'!E58/'Asset Prices'!E59-1</f>
        <v>3.2206119162641045E-3</v>
      </c>
      <c r="F58" s="1">
        <f>'Asset Prices'!F58/'Asset Prices'!F59-1</f>
        <v>-2.269647696476973E-2</v>
      </c>
      <c r="G58" s="1">
        <f>'Asset Prices'!G58/'Asset Prices'!G59-1</f>
        <v>5.893536121672982E-3</v>
      </c>
      <c r="H58" s="1">
        <f>'Asset Prices'!H58/'Asset Prices'!H59-1</f>
        <v>-1.0252586447944911E-2</v>
      </c>
      <c r="I58" s="1">
        <f>'Asset Prices'!I58/'Asset Prices'!I59-1</f>
        <v>-2.1064091640632387E-2</v>
      </c>
      <c r="J58" s="1">
        <f>'Asset Prices'!J58/'Asset Prices'!J59-1</f>
        <v>1.9095278856917197E-2</v>
      </c>
      <c r="K58" s="1">
        <f>'Asset Prices'!K58/'Asset Prices'!K59-1</f>
        <v>8.971072093799215E-3</v>
      </c>
      <c r="L58" s="1">
        <f>'Asset Prices'!L58/'Asset Prices'!L59-1</f>
        <v>1.2416099695324423E-2</v>
      </c>
      <c r="M58" s="1">
        <f>'Asset Prices'!M58/'Asset Prices'!M59-1</f>
        <v>-1.6721132897603463E-2</v>
      </c>
      <c r="N58" s="1">
        <f>'Asset Prices'!N58/'Asset Prices'!N59-1</f>
        <v>-9.0704603879411261E-3</v>
      </c>
      <c r="O58" s="1">
        <f>'Asset Prices'!O58/'Asset Prices'!O59-1</f>
        <v>3.8305370412932138E-3</v>
      </c>
      <c r="P58" s="1">
        <f>'Asset Prices'!P58/'Asset Prices'!P59-1</f>
        <v>-4.1330339260787774E-2</v>
      </c>
      <c r="Q58" s="1">
        <f>'Asset Prices'!Q58/'Asset Prices'!Q59-1</f>
        <v>-3.4707259953161596E-2</v>
      </c>
      <c r="R58" s="1">
        <f>'Asset Prices'!R58/'Asset Prices'!R59-1</f>
        <v>-2.9352901934623032E-2</v>
      </c>
      <c r="S58" s="1">
        <f>'Asset Prices'!S58/'Asset Prices'!S59-1</f>
        <v>3.9110745162618255E-2</v>
      </c>
      <c r="T58" s="1">
        <f>'Asset Prices'!T58/'Asset Prices'!T59-1</f>
        <v>-7.8274017213305513E-2</v>
      </c>
      <c r="U58" s="1">
        <f>'Asset Prices'!U58/'Asset Prices'!U59-1</f>
        <v>-3.5676588558159139E-2</v>
      </c>
      <c r="V58" s="1">
        <f>'Asset Prices'!V58/'Asset Prices'!V59-1</f>
        <v>-4.1109362706530317E-2</v>
      </c>
      <c r="W58" s="1">
        <f>'Asset Prices'!W58/'Asset Prices'!W59-1</f>
        <v>1.2327868852459067E-2</v>
      </c>
      <c r="X58" s="1">
        <f>'Asset Prices'!X58/'Asset Prices'!X59-1</f>
        <v>-2.6326129666011666E-2</v>
      </c>
      <c r="Y58" s="1">
        <f>'Asset Prices'!Y58/'Asset Prices'!Y59-1</f>
        <v>-8.8617886178861127E-3</v>
      </c>
      <c r="Z58" s="1">
        <f>'Asset Prices'!Z58/'Asset Prices'!Z59-1</f>
        <v>-1.9607843137254832E-2</v>
      </c>
      <c r="AA58" s="1">
        <f>'Asset Prices'!AA58/'Asset Prices'!AA59-1</f>
        <v>-5.6572379367720527E-2</v>
      </c>
      <c r="AB58" s="1">
        <f>'Asset Prices'!AB58/'Asset Prices'!AB59-1</f>
        <v>3.1413612565444948E-2</v>
      </c>
      <c r="AC58" s="1">
        <f>'Asset Prices'!AC58/'Asset Prices'!AC59-1</f>
        <v>-7.4855305466237865E-2</v>
      </c>
      <c r="AD58" s="1">
        <f>'Asset Prices'!AD58/'Asset Prices'!AD59-1</f>
        <v>-2.7047446358416494E-2</v>
      </c>
      <c r="AE58" s="1">
        <f>'Asset Prices'!AE58/'Asset Prices'!AE59-1</f>
        <v>1.7583612797969606E-2</v>
      </c>
      <c r="AF58" s="1">
        <f>'Asset Prices'!AF58/'Asset Prices'!AF59-1</f>
        <v>-6.3063063063062974E-2</v>
      </c>
      <c r="AG58" s="1">
        <f>'Asset Prices'!AG58/'Asset Prices'!AG59-1</f>
        <v>9.6538346762160554E-2</v>
      </c>
      <c r="AH58" s="1">
        <f>'Asset Prices'!AH58/'Asset Prices'!AH59-1</f>
        <v>-1.7985611510791366E-2</v>
      </c>
      <c r="AI58" s="1">
        <f>'Asset Prices'!AI58/'Asset Prices'!AI59-1</f>
        <v>-2.693164933135217E-2</v>
      </c>
      <c r="AJ58" s="1">
        <f>'Asset Prices'!AJ58/'Asset Prices'!AJ59-1</f>
        <v>-9.0944422852701101E-2</v>
      </c>
      <c r="AK58" s="1">
        <f>'Asset Prices'!AK58/'Asset Prices'!AK59-1</f>
        <v>6.1124694376528677E-3</v>
      </c>
      <c r="AL58" s="1">
        <f>'Asset Prices'!AL58/'Asset Prices'!AL59-1</f>
        <v>5.4832202457362866E-2</v>
      </c>
      <c r="AM58" s="1">
        <f>'Asset Prices'!AM58/'Asset Prices'!AM59-1</f>
        <v>-3.5304792543099928E-2</v>
      </c>
      <c r="AN58" s="1">
        <f>'Asset Prices'!AN58/'Asset Prices'!AN59-1</f>
        <v>-6.6652791508403197E-2</v>
      </c>
      <c r="AO58" s="1">
        <f>'Asset Prices'!AO58/'Asset Prices'!AO59-1</f>
        <v>-1.2054695933789161E-2</v>
      </c>
      <c r="AP58" s="1">
        <f>'Asset Prices'!AP58/'Asset Prices'!AP59-1</f>
        <v>-7.752577319587628E-2</v>
      </c>
      <c r="AQ58" s="1">
        <f>'Asset Prices'!AQ58/'Asset Prices'!AQ59-1</f>
        <v>6.0412932350792925E-3</v>
      </c>
      <c r="AR58" s="1">
        <f>'Asset Prices'!AR58/'Asset Prices'!AR59-1</f>
        <v>3.2218091697645557E-2</v>
      </c>
      <c r="AS58" s="1">
        <f>'Asset Prices'!AS58/'Asset Prices'!AS59-1</f>
        <v>-0.1212471131639723</v>
      </c>
      <c r="AT58" s="1">
        <f>'Asset Prices'!AT58/'Asset Prices'!AT59-1</f>
        <v>-8.2249426166794315E-2</v>
      </c>
      <c r="AU58" s="1">
        <f>'Asset Prices'!AU58/'Asset Prices'!AU59-1</f>
        <v>9.5609756097561061E-3</v>
      </c>
      <c r="AV58" s="1">
        <f>'Asset Prices'!AV58/'Asset Prices'!AV59-1</f>
        <v>-1.5125831268744228E-2</v>
      </c>
      <c r="AW58" s="1">
        <f>'Asset Prices'!AW58/'Asset Prices'!AW59-1</f>
        <v>-5.955658061156166E-2</v>
      </c>
      <c r="AX58" s="1">
        <f>'Asset Prices'!AX58/'Asset Prices'!AX59-1</f>
        <v>-4.435146443514637E-2</v>
      </c>
      <c r="AY58" s="1">
        <f>'Asset Prices'!AY58/'Asset Prices'!AY59-1</f>
        <v>-4.3122676579925745E-2</v>
      </c>
      <c r="AZ58" s="1">
        <f>'Asset Prices'!AZ58/'Asset Prices'!AZ59-1</f>
        <v>-7.6238624873609662E-2</v>
      </c>
      <c r="BA58" s="1">
        <f>'Asset Prices'!BA58/'Asset Prices'!BA59-1</f>
        <v>-4.3987506507027652E-2</v>
      </c>
      <c r="BB58" s="1">
        <f>'Asset Prices'!BB58/'Asset Prices'!BB59-1</f>
        <v>-3.7434521528043829E-2</v>
      </c>
      <c r="BC58" s="1">
        <f>'Asset Prices'!BC58/'Asset Prices'!BC59-1</f>
        <v>0.12320700588857014</v>
      </c>
      <c r="BD58" s="1">
        <f>'Asset Prices'!BD58/'Asset Prices'!BD59-1</f>
        <v>-9.6764377725935713E-2</v>
      </c>
    </row>
    <row r="59" spans="3:56" x14ac:dyDescent="0.25">
      <c r="C59" s="38">
        <f>'Asset Prices'!C59</f>
        <v>43958</v>
      </c>
      <c r="D59" s="1">
        <f>'Asset Prices'!D59/'Asset Prices'!D60-1</f>
        <v>2.2381378692927445E-2</v>
      </c>
      <c r="E59" s="1">
        <f>'Asset Prices'!E59/'Asset Prices'!E60-1</f>
        <v>-2.3855755894590991E-2</v>
      </c>
      <c r="F59" s="1">
        <f>'Asset Prices'!F59/'Asset Prices'!F60-1</f>
        <v>1.5829318651066737E-2</v>
      </c>
      <c r="G59" s="1">
        <f>'Asset Prices'!G59/'Asset Prices'!G60-1</f>
        <v>-6.9850858976778785E-3</v>
      </c>
      <c r="H59" s="1">
        <f>'Asset Prices'!H59/'Asset Prices'!H60-1</f>
        <v>-7.8106203815088371E-2</v>
      </c>
      <c r="I59" s="1">
        <f>'Asset Prices'!I59/'Asset Prices'!I60-1</f>
        <v>3.19964828293684E-2</v>
      </c>
      <c r="J59" s="1">
        <f>'Asset Prices'!J59/'Asset Prices'!J60-1</f>
        <v>3.3832539142273577E-2</v>
      </c>
      <c r="K59" s="1">
        <f>'Asset Prices'!K59/'Asset Prices'!K60-1</f>
        <v>-4.3003233629749338E-2</v>
      </c>
      <c r="L59" s="1">
        <f>'Asset Prices'!L59/'Asset Prices'!L60-1</f>
        <v>3.9728474455162477E-2</v>
      </c>
      <c r="M59" s="1">
        <f>'Asset Prices'!M59/'Asset Prices'!M60-1</f>
        <v>2.4496400870487101E-2</v>
      </c>
      <c r="N59" s="1">
        <f>'Asset Prices'!N59/'Asset Prices'!N60-1</f>
        <v>1.6766911710106136E-2</v>
      </c>
      <c r="O59" s="1">
        <f>'Asset Prices'!O59/'Asset Prices'!O60-1</f>
        <v>-1.4347202295552419E-2</v>
      </c>
      <c r="P59" s="1">
        <f>'Asset Prices'!P59/'Asset Prices'!P60-1</f>
        <v>4.8576112696596674E-4</v>
      </c>
      <c r="Q59" s="1">
        <f>'Asset Prices'!Q59/'Asset Prices'!Q60-1</f>
        <v>-6.2834535722596785E-3</v>
      </c>
      <c r="R59" s="1">
        <f>'Asset Prices'!R59/'Asset Prices'!R60-1</f>
        <v>-5.6639395846444285E-2</v>
      </c>
      <c r="S59" s="1">
        <f>'Asset Prices'!S59/'Asset Prices'!S60-1</f>
        <v>-4.4453186467348638E-2</v>
      </c>
      <c r="T59" s="1">
        <f>'Asset Prices'!T59/'Asset Prices'!T60-1</f>
        <v>-5.4541455904992264E-2</v>
      </c>
      <c r="U59" s="1">
        <f>'Asset Prices'!U59/'Asset Prices'!U60-1</f>
        <v>-1.3536026655560307E-2</v>
      </c>
      <c r="V59" s="1">
        <f>'Asset Prices'!V59/'Asset Prices'!V60-1</f>
        <v>1.5378470141801603E-2</v>
      </c>
      <c r="W59" s="1">
        <f>'Asset Prices'!W59/'Asset Prices'!W60-1</f>
        <v>-6.2557018115469987E-3</v>
      </c>
      <c r="X59" s="1">
        <f>'Asset Prices'!X59/'Asset Prices'!X60-1</f>
        <v>-0.18559999999999999</v>
      </c>
      <c r="Y59" s="1">
        <f>'Asset Prices'!Y59/'Asset Prices'!Y60-1</f>
        <v>4.8861601432591328E-2</v>
      </c>
      <c r="Z59" s="1">
        <f>'Asset Prices'!Z59/'Asset Prices'!Z60-1</f>
        <v>-4.6412942580559613E-2</v>
      </c>
      <c r="AA59" s="1">
        <f>'Asset Prices'!AA59/'Asset Prices'!AA60-1</f>
        <v>7.8091365701985271E-2</v>
      </c>
      <c r="AB59" s="1">
        <f>'Asset Prices'!AB59/'Asset Prices'!AB60-1</f>
        <v>1.3262599469495928E-2</v>
      </c>
      <c r="AC59" s="1">
        <f>'Asset Prices'!AC59/'Asset Prices'!AC60-1</f>
        <v>3.5837996269650896E-2</v>
      </c>
      <c r="AD59" s="1">
        <f>'Asset Prices'!AD59/'Asset Prices'!AD60-1</f>
        <v>-8.3907701528317391E-3</v>
      </c>
      <c r="AE59" s="1">
        <f>'Asset Prices'!AE59/'Asset Prices'!AE60-1</f>
        <v>0.15868515017853402</v>
      </c>
      <c r="AF59" s="1">
        <f>'Asset Prices'!AF59/'Asset Prices'!AF60-1</f>
        <v>-3.5621198957428324E-2</v>
      </c>
      <c r="AG59" s="1">
        <f>'Asset Prices'!AG59/'Asset Prices'!AG60-1</f>
        <v>-1.310558091591818E-2</v>
      </c>
      <c r="AH59" s="1">
        <f>'Asset Prices'!AH59/'Asset Prices'!AH60-1</f>
        <v>-5.41000340251786E-2</v>
      </c>
      <c r="AI59" s="1">
        <f>'Asset Prices'!AI59/'Asset Prices'!AI60-1</f>
        <v>1.6744186046511178E-3</v>
      </c>
      <c r="AJ59" s="1">
        <f>'Asset Prices'!AJ59/'Asset Prices'!AJ60-1</f>
        <v>0.10098416773641428</v>
      </c>
      <c r="AK59" s="1">
        <f>'Asset Prices'!AK59/'Asset Prices'!AK60-1</f>
        <v>-0.16016427104722797</v>
      </c>
      <c r="AL59" s="1">
        <f>'Asset Prices'!AL59/'Asset Prices'!AL60-1</f>
        <v>-7.1197411003236288E-2</v>
      </c>
      <c r="AM59" s="1">
        <f>'Asset Prices'!AM59/'Asset Prices'!AM60-1</f>
        <v>-3.4485504937878275E-2</v>
      </c>
      <c r="AN59" s="1">
        <f>'Asset Prices'!AN59/'Asset Prices'!AN60-1</f>
        <v>3.0896314970766392E-2</v>
      </c>
      <c r="AO59" s="1">
        <f>'Asset Prices'!AO59/'Asset Prices'!AO60-1</f>
        <v>-3.2550043516101024E-2</v>
      </c>
      <c r="AP59" s="1">
        <f>'Asset Prices'!AP59/'Asset Prices'!AP60-1</f>
        <v>-1.1213047910295537E-2</v>
      </c>
      <c r="AQ59" s="1">
        <f>'Asset Prices'!AQ59/'Asset Prices'!AQ60-1</f>
        <v>7.3168994015388789E-2</v>
      </c>
      <c r="AR59" s="1">
        <f>'Asset Prices'!AR59/'Asset Prices'!AR60-1</f>
        <v>8.5406859448554195E-2</v>
      </c>
      <c r="AS59" s="1">
        <f>'Asset Prices'!AS59/'Asset Prices'!AS60-1</f>
        <v>3.2796660703637404E-2</v>
      </c>
      <c r="AT59" s="1">
        <f>'Asset Prices'!AT59/'Asset Prices'!AT60-1</f>
        <v>-7.0908121556779835E-2</v>
      </c>
      <c r="AU59" s="1">
        <f>'Asset Prices'!AU59/'Asset Prices'!AU60-1</f>
        <v>1.4730923058646539E-2</v>
      </c>
      <c r="AV59" s="1">
        <f>'Asset Prices'!AV59/'Asset Prices'!AV60-1</f>
        <v>-3.7404292707418185E-2</v>
      </c>
      <c r="AW59" s="1">
        <f>'Asset Prices'!AW59/'Asset Prices'!AW60-1</f>
        <v>2.9882767604014981E-2</v>
      </c>
      <c r="AX59" s="1">
        <f>'Asset Prices'!AX59/'Asset Prices'!AX60-1</f>
        <v>3.8227628149435144E-2</v>
      </c>
      <c r="AY59" s="1">
        <f>'Asset Prices'!AY59/'Asset Prices'!AY60-1</f>
        <v>-4.6867291563886804E-3</v>
      </c>
      <c r="AZ59" s="1">
        <f>'Asset Prices'!AZ59/'Asset Prices'!AZ60-1</f>
        <v>-6.415594246782752E-2</v>
      </c>
      <c r="BA59" s="1">
        <f>'Asset Prices'!BA59/'Asset Prices'!BA60-1</f>
        <v>-1.4366341713699327E-2</v>
      </c>
      <c r="BB59" s="1">
        <f>'Asset Prices'!BB59/'Asset Prices'!BB60-1</f>
        <v>-1.8065487391795254E-2</v>
      </c>
      <c r="BC59" s="1">
        <f>'Asset Prices'!BC59/'Asset Prices'!BC60-1</f>
        <v>-0.1560907237512742</v>
      </c>
      <c r="BD59" s="1">
        <f>'Asset Prices'!BD59/'Asset Prices'!BD60-1</f>
        <v>-7.2006777108433617E-2</v>
      </c>
    </row>
    <row r="60" spans="3:56" x14ac:dyDescent="0.25">
      <c r="C60" s="38">
        <f>'Asset Prices'!C60</f>
        <v>43951</v>
      </c>
      <c r="D60" s="1">
        <f>'Asset Prices'!D60/'Asset Prices'!D61-1</f>
        <v>7.4167568217333946E-2</v>
      </c>
      <c r="E60" s="1">
        <f>'Asset Prices'!E60/'Asset Prices'!E61-1</f>
        <v>7.0792079207920855E-2</v>
      </c>
      <c r="F60" s="1">
        <f>'Asset Prices'!F60/'Asset Prices'!F61-1</f>
        <v>-1.9461934745276244E-3</v>
      </c>
      <c r="G60" s="1">
        <f>'Asset Prices'!G60/'Asset Prices'!G61-1</f>
        <v>1.9241870309794074E-2</v>
      </c>
      <c r="H60" s="1">
        <f>'Asset Prices'!H60/'Asset Prices'!H61-1</f>
        <v>3.0732441767779672E-2</v>
      </c>
      <c r="I60" s="1">
        <f>'Asset Prices'!I60/'Asset Prices'!I61-1</f>
        <v>0.10576351752822344</v>
      </c>
      <c r="J60" s="1">
        <f>'Asset Prices'!J60/'Asset Prices'!J61-1</f>
        <v>6.824710031632919E-2</v>
      </c>
      <c r="K60" s="1">
        <f>'Asset Prices'!K60/'Asset Prices'!K61-1</f>
        <v>3.1069620121277897E-2</v>
      </c>
      <c r="L60" s="1">
        <f>'Asset Prices'!L60/'Asset Prices'!L61-1</f>
        <v>-1.6053433325521338E-2</v>
      </c>
      <c r="M60" s="1">
        <f>'Asset Prices'!M60/'Asset Prices'!M61-1</f>
        <v>4.5443938863609867E-2</v>
      </c>
      <c r="N60" s="1">
        <f>'Asset Prices'!N60/'Asset Prices'!N61-1</f>
        <v>5.9417701802276568E-2</v>
      </c>
      <c r="O60" s="1">
        <f>'Asset Prices'!O60/'Asset Prices'!O61-1</f>
        <v>-3.2722226280037958E-2</v>
      </c>
      <c r="P60" s="1">
        <f>'Asset Prices'!P60/'Asset Prices'!P61-1</f>
        <v>7.6053577262332528E-2</v>
      </c>
      <c r="Q60" s="1">
        <f>'Asset Prices'!Q60/'Asset Prices'!Q61-1</f>
        <v>0.13936469215675884</v>
      </c>
      <c r="R60" s="1">
        <f>'Asset Prices'!R60/'Asset Prices'!R61-1</f>
        <v>-1.2736874805840182E-2</v>
      </c>
      <c r="S60" s="1">
        <f>'Asset Prices'!S60/'Asset Prices'!S61-1</f>
        <v>9.1306073838826052E-3</v>
      </c>
      <c r="T60" s="1">
        <f>'Asset Prices'!T60/'Asset Prices'!T61-1</f>
        <v>0.12133168927250315</v>
      </c>
      <c r="U60" s="1">
        <f>'Asset Prices'!U60/'Asset Prices'!U61-1</f>
        <v>4.4821583986074831E-2</v>
      </c>
      <c r="V60" s="1">
        <f>'Asset Prices'!V60/'Asset Prices'!V61-1</f>
        <v>0.21381818181818191</v>
      </c>
      <c r="W60" s="1">
        <f>'Asset Prices'!W60/'Asset Prices'!W61-1</f>
        <v>0.10244252873563231</v>
      </c>
      <c r="X60" s="1">
        <f>'Asset Prices'!X60/'Asset Prices'!X61-1</f>
        <v>3.6828135368281334E-2</v>
      </c>
      <c r="Y60" s="1">
        <f>'Asset Prices'!Y60/'Asset Prices'!Y61-1</f>
        <v>7.1937842778793559E-2</v>
      </c>
      <c r="Z60" s="1">
        <f>'Asset Prices'!Z60/'Asset Prices'!Z61-1</f>
        <v>-9.2739798622165637E-4</v>
      </c>
      <c r="AA60" s="1">
        <f>'Asset Prices'!AA60/'Asset Prices'!AA61-1</f>
        <v>9.7375328083989521E-2</v>
      </c>
      <c r="AB60" s="1">
        <f>'Asset Prices'!AB60/'Asset Prices'!AB61-1</f>
        <v>1.2080536912751683E-2</v>
      </c>
      <c r="AC60" s="1">
        <f>'Asset Prices'!AC60/'Asset Prices'!AC61-1</f>
        <v>9.0592081365782784E-2</v>
      </c>
      <c r="AD60" s="1">
        <f>'Asset Prices'!AD60/'Asset Prices'!AD61-1</f>
        <v>4.1835778957227454E-2</v>
      </c>
      <c r="AE60" s="1">
        <f>'Asset Prices'!AE60/'Asset Prices'!AE61-1</f>
        <v>0.12900165994783008</v>
      </c>
      <c r="AF60" s="1">
        <f>'Asset Prices'!AF60/'Asset Prices'!AF61-1</f>
        <v>2.4933214603739984E-2</v>
      </c>
      <c r="AG60" s="1">
        <f>'Asset Prices'!AG60/'Asset Prices'!AG61-1</f>
        <v>0.13202200366727768</v>
      </c>
      <c r="AH60" s="1">
        <f>'Asset Prices'!AH60/'Asset Prices'!AH61-1</f>
        <v>0.12047274113610373</v>
      </c>
      <c r="AI60" s="1">
        <f>'Asset Prices'!AI60/'Asset Prices'!AI61-1</f>
        <v>0.2399077277970012</v>
      </c>
      <c r="AJ60" s="1">
        <f>'Asset Prices'!AJ60/'Asset Prices'!AJ61-1</f>
        <v>-2.5031289111389188E-2</v>
      </c>
      <c r="AK60" s="1">
        <f>'Asset Prices'!AK60/'Asset Prices'!AK61-1</f>
        <v>0.2159800249687891</v>
      </c>
      <c r="AL60" s="1">
        <f>'Asset Prices'!AL60/'Asset Prices'!AL61-1</f>
        <v>8.2431736218444573E-3</v>
      </c>
      <c r="AM60" s="1">
        <f>'Asset Prices'!AM60/'Asset Prices'!AM61-1</f>
        <v>3.4693036670786936E-2</v>
      </c>
      <c r="AN60" s="1">
        <f>'Asset Prices'!AN60/'Asset Prices'!AN61-1</f>
        <v>2.1646207803595052E-2</v>
      </c>
      <c r="AO60" s="1">
        <f>'Asset Prices'!AO60/'Asset Prices'!AO61-1</f>
        <v>-2.4309776002778838E-3</v>
      </c>
      <c r="AP60" s="1">
        <f>'Asset Prices'!AP60/'Asset Prices'!AP61-1</f>
        <v>7.2365544381285396E-2</v>
      </c>
      <c r="AQ60" s="1">
        <f>'Asset Prices'!AQ60/'Asset Prices'!AQ61-1</f>
        <v>6.5836434049662218E-2</v>
      </c>
      <c r="AR60" s="1">
        <f>'Asset Prices'!AR60/'Asset Prices'!AR61-1</f>
        <v>-4.7405509288917402E-2</v>
      </c>
      <c r="AS60" s="1">
        <f>'Asset Prices'!AS60/'Asset Prices'!AS61-1</f>
        <v>9.60784313725489E-2</v>
      </c>
      <c r="AT60" s="1">
        <f>'Asset Prices'!AT60/'Asset Prices'!AT61-1</f>
        <v>0.1310552763819095</v>
      </c>
      <c r="AU60" s="1">
        <f>'Asset Prices'!AU60/'Asset Prices'!AU61-1</f>
        <v>-4.7344197977968849E-2</v>
      </c>
      <c r="AV60" s="1">
        <f>'Asset Prices'!AV60/'Asset Prices'!AV61-1</f>
        <v>6.3259041772320668E-2</v>
      </c>
      <c r="AW60" s="1">
        <f>'Asset Prices'!AW60/'Asset Prices'!AW61-1</f>
        <v>0.23314593470968958</v>
      </c>
      <c r="AX60" s="1">
        <f>'Asset Prices'!AX60/'Asset Prices'!AX61-1</f>
        <v>5.1141552511415611E-2</v>
      </c>
      <c r="AY60" s="1">
        <f>'Asset Prices'!AY60/'Asset Prices'!AY61-1</f>
        <v>0.15498575498575495</v>
      </c>
      <c r="AZ60" s="1">
        <f>'Asset Prices'!AZ60/'Asset Prices'!AZ61-1</f>
        <v>8.0130825838103048E-2</v>
      </c>
      <c r="BA60" s="1">
        <f>'Asset Prices'!BA60/'Asset Prices'!BA61-1</f>
        <v>8.6096405684034538E-2</v>
      </c>
      <c r="BB60" s="1">
        <f>'Asset Prices'!BB60/'Asset Prices'!BB61-1</f>
        <v>-7.0328901329601123E-2</v>
      </c>
      <c r="BC60" s="1">
        <f>'Asset Prices'!BC60/'Asset Prices'!BC61-1</f>
        <v>0.12050256996002284</v>
      </c>
      <c r="BD60" s="1">
        <f>'Asset Prices'!BD60/'Asset Prices'!BD61-1</f>
        <v>4.9283950617283967E-2</v>
      </c>
    </row>
    <row r="61" spans="3:56" x14ac:dyDescent="0.25">
      <c r="C61" s="38">
        <f>'Asset Prices'!C61</f>
        <v>43944</v>
      </c>
      <c r="D61" s="1">
        <f>'Asset Prices'!D61/'Asset Prices'!D62-1</f>
        <v>2.4381233838197236E-2</v>
      </c>
      <c r="E61" s="1">
        <f>'Asset Prices'!E61/'Asset Prices'!E62-1</f>
        <v>-9.99803960007839E-3</v>
      </c>
      <c r="F61" s="1">
        <f>'Asset Prices'!F61/'Asset Prices'!F62-1</f>
        <v>1.2166859791425289E-2</v>
      </c>
      <c r="G61" s="1">
        <f>'Asset Prices'!G61/'Asset Prices'!G62-1</f>
        <v>-3.2216014897579193E-2</v>
      </c>
      <c r="H61" s="1">
        <f>'Asset Prices'!H61/'Asset Prices'!H62-1</f>
        <v>-2.738032149796843E-3</v>
      </c>
      <c r="I61" s="1">
        <f>'Asset Prices'!I61/'Asset Prices'!I62-1</f>
        <v>5.0382978723404248E-2</v>
      </c>
      <c r="J61" s="1">
        <f>'Asset Prices'!J61/'Asset Prices'!J62-1</f>
        <v>-4.0671108165614478E-2</v>
      </c>
      <c r="K61" s="1">
        <f>'Asset Prices'!K61/'Asset Prices'!K62-1</f>
        <v>-3.6292817427197033E-3</v>
      </c>
      <c r="L61" s="1">
        <f>'Asset Prices'!L61/'Asset Prices'!L62-1</f>
        <v>-2.8394471389211473E-2</v>
      </c>
      <c r="M61" s="1">
        <f>'Asset Prices'!M61/'Asset Prices'!M62-1</f>
        <v>-3.1744238590149187E-2</v>
      </c>
      <c r="N61" s="1">
        <f>'Asset Prices'!N61/'Asset Prices'!N62-1</f>
        <v>1.0927049617076134E-2</v>
      </c>
      <c r="O61" s="1">
        <f>'Asset Prices'!O61/'Asset Prices'!O62-1</f>
        <v>-5.8714334822963177E-2</v>
      </c>
      <c r="P61" s="1">
        <f>'Asset Prices'!P61/'Asset Prices'!P62-1</f>
        <v>-5.6120875732346587E-2</v>
      </c>
      <c r="Q61" s="1">
        <f>'Asset Prices'!Q61/'Asset Prices'!Q62-1</f>
        <v>4.5636020849506354E-2</v>
      </c>
      <c r="R61" s="1">
        <f>'Asset Prices'!R61/'Asset Prices'!R62-1</f>
        <v>-1.3333333333333419E-2</v>
      </c>
      <c r="S61" s="1">
        <f>'Asset Prices'!S61/'Asset Prices'!S62-1</f>
        <v>-3.9541320680109848E-3</v>
      </c>
      <c r="T61" s="1">
        <f>'Asset Prices'!T61/'Asset Prices'!T62-1</f>
        <v>8.8319442716755514E-3</v>
      </c>
      <c r="U61" s="1">
        <f>'Asset Prices'!U61/'Asset Prices'!U62-1</f>
        <v>1.3071895424836555E-3</v>
      </c>
      <c r="V61" s="1">
        <f>'Asset Prices'!V61/'Asset Prices'!V62-1</f>
        <v>8.5574572127140591E-3</v>
      </c>
      <c r="W61" s="1">
        <f>'Asset Prices'!W61/'Asset Prices'!W62-1</f>
        <v>7.1098799630655352E-2</v>
      </c>
      <c r="X61" s="1">
        <f>'Asset Prices'!X61/'Asset Prices'!X62-1</f>
        <v>-1.7601043024771834E-2</v>
      </c>
      <c r="Y61" s="1">
        <f>'Asset Prices'!Y61/'Asset Prices'!Y62-1</f>
        <v>6.4409418174742106E-2</v>
      </c>
      <c r="Z61" s="1">
        <f>'Asset Prices'!Z61/'Asset Prices'!Z62-1</f>
        <v>7.9365079365079305E-2</v>
      </c>
      <c r="AA61" s="1">
        <f>'Asset Prices'!AA61/'Asset Prices'!AA62-1</f>
        <v>-1.3081207097526137E-2</v>
      </c>
      <c r="AB61" s="1">
        <f>'Asset Prices'!AB61/'Asset Prices'!AB62-1</f>
        <v>-3.8709677419354827E-2</v>
      </c>
      <c r="AC61" s="1">
        <f>'Asset Prices'!AC61/'Asset Prices'!AC62-1</f>
        <v>-3.6671565539925677E-2</v>
      </c>
      <c r="AD61" s="1">
        <f>'Asset Prices'!AD61/'Asset Prices'!AD62-1</f>
        <v>0.17240117130307464</v>
      </c>
      <c r="AE61" s="1">
        <f>'Asset Prices'!AE61/'Asset Prices'!AE62-1</f>
        <v>5.9947216287545624E-2</v>
      </c>
      <c r="AF61" s="1">
        <f>'Asset Prices'!AF61/'Asset Prices'!AF62-1</f>
        <v>3.6934441366574422E-2</v>
      </c>
      <c r="AG61" s="1">
        <f>'Asset Prices'!AG61/'Asset Prices'!AG62-1</f>
        <v>9.0132654915500598E-2</v>
      </c>
      <c r="AH61" s="1">
        <f>'Asset Prices'!AH61/'Asset Prices'!AH62-1</f>
        <v>5.9797979797979739E-2</v>
      </c>
      <c r="AI61" s="1">
        <f>'Asset Prices'!AI61/'Asset Prices'!AI62-1</f>
        <v>6.2239647145307497E-2</v>
      </c>
      <c r="AJ61" s="1">
        <f>'Asset Prices'!AJ61/'Asset Prices'!AJ62-1</f>
        <v>-1.0730499380932845E-2</v>
      </c>
      <c r="AK61" s="1">
        <f>'Asset Prices'!AK61/'Asset Prices'!AK62-1</f>
        <v>-8.2474226804123751E-2</v>
      </c>
      <c r="AL61" s="1">
        <f>'Asset Prices'!AL61/'Asset Prices'!AL62-1</f>
        <v>-2.6579739217652998E-2</v>
      </c>
      <c r="AM61" s="1">
        <f>'Asset Prices'!AM61/'Asset Prices'!AM62-1</f>
        <v>4.8561306489242062E-2</v>
      </c>
      <c r="AN61" s="1">
        <f>'Asset Prices'!AN61/'Asset Prices'!AN62-1</f>
        <v>4.3876208454893817E-2</v>
      </c>
      <c r="AO61" s="1">
        <f>'Asset Prices'!AO61/'Asset Prices'!AO62-1</f>
        <v>-1.2140131807144572E-3</v>
      </c>
      <c r="AP61" s="1">
        <f>'Asset Prices'!AP61/'Asset Prices'!AP62-1</f>
        <v>-1.5285252960172246E-2</v>
      </c>
      <c r="AQ61" s="1">
        <f>'Asset Prices'!AQ61/'Asset Prices'!AQ62-1</f>
        <v>8.7402622078669445E-4</v>
      </c>
      <c r="AR61" s="1">
        <f>'Asset Prices'!AR61/'Asset Prices'!AR62-1</f>
        <v>4.2404006677796424E-2</v>
      </c>
      <c r="AS61" s="1">
        <f>'Asset Prices'!AS61/'Asset Prices'!AS62-1</f>
        <v>-1.2903225806451535E-2</v>
      </c>
      <c r="AT61" s="1">
        <f>'Asset Prices'!AT61/'Asset Prices'!AT62-1</f>
        <v>8.7669435942282492E-2</v>
      </c>
      <c r="AU61" s="1">
        <f>'Asset Prices'!AU61/'Asset Prices'!AU62-1</f>
        <v>1.3264018959519674E-2</v>
      </c>
      <c r="AV61" s="1">
        <f>'Asset Prices'!AV61/'Asset Prices'!AV62-1</f>
        <v>-6.8382444361556605E-2</v>
      </c>
      <c r="AW61" s="1">
        <f>'Asset Prices'!AW61/'Asset Prices'!AW62-1</f>
        <v>2.3994968796865024E-2</v>
      </c>
      <c r="AX61" s="1">
        <f>'Asset Prices'!AX61/'Asset Prices'!AX62-1</f>
        <v>1.5769944341372799E-2</v>
      </c>
      <c r="AY61" s="1">
        <f>'Asset Prices'!AY61/'Asset Prices'!AY62-1</f>
        <v>8.4002470660901718E-2</v>
      </c>
      <c r="AZ61" s="1">
        <f>'Asset Prices'!AZ61/'Asset Prices'!AZ62-1</f>
        <v>8.9047195013357117E-2</v>
      </c>
      <c r="BA61" s="1">
        <f>'Asset Prices'!BA61/'Asset Prices'!BA62-1</f>
        <v>4.3920884235020496E-2</v>
      </c>
      <c r="BB61" s="1">
        <f>'Asset Prices'!BB61/'Asset Prices'!BB62-1</f>
        <v>-1.7464198393294383E-3</v>
      </c>
      <c r="BC61" s="1">
        <f>'Asset Prices'!BC61/'Asset Prices'!BC62-1</f>
        <v>-3.4596829772570503E-2</v>
      </c>
      <c r="BD61" s="1">
        <f>'Asset Prices'!BD61/'Asset Prices'!BD62-1</f>
        <v>6.661364088287991E-3</v>
      </c>
    </row>
    <row r="62" spans="3:56" x14ac:dyDescent="0.25">
      <c r="C62" s="38">
        <f>'Asset Prices'!C62</f>
        <v>43937</v>
      </c>
      <c r="D62" s="1">
        <f>'Asset Prices'!D62/'Asset Prices'!D63-1</f>
        <v>-6.4885715930681154E-2</v>
      </c>
      <c r="E62" s="1">
        <f>'Asset Prices'!E62/'Asset Prices'!E63-1</f>
        <v>-2.3732057416267938E-2</v>
      </c>
      <c r="F62" s="1">
        <f>'Asset Prices'!F62/'Asset Prices'!F63-1</f>
        <v>-5.6458117294619914E-3</v>
      </c>
      <c r="G62" s="1">
        <f>'Asset Prices'!G62/'Asset Prices'!G63-1</f>
        <v>9.7781120722075787E-3</v>
      </c>
      <c r="H62" s="1">
        <f>'Asset Prices'!H62/'Asset Prices'!H63-1</f>
        <v>-9.445733024074221E-2</v>
      </c>
      <c r="I62" s="1">
        <f>'Asset Prices'!I62/'Asset Prices'!I63-1</f>
        <v>6.0505736628804208E-3</v>
      </c>
      <c r="J62" s="1">
        <f>'Asset Prices'!J62/'Asset Prices'!J63-1</f>
        <v>6.9778723086682204E-2</v>
      </c>
      <c r="K62" s="1">
        <f>'Asset Prices'!K62/'Asset Prices'!K63-1</f>
        <v>0.17889032485460854</v>
      </c>
      <c r="L62" s="1">
        <f>'Asset Prices'!L62/'Asset Prices'!L63-1</f>
        <v>0.18464069917997405</v>
      </c>
      <c r="M62" s="1">
        <f>'Asset Prices'!M62/'Asset Prices'!M63-1</f>
        <v>7.2060070243429752E-2</v>
      </c>
      <c r="N62" s="1">
        <f>'Asset Prices'!N62/'Asset Prices'!N63-1</f>
        <v>4.2152548132309064E-2</v>
      </c>
      <c r="O62" s="1">
        <f>'Asset Prices'!O62/'Asset Prices'!O63-1</f>
        <v>1.0701132652352063E-2</v>
      </c>
      <c r="P62" s="1">
        <f>'Asset Prices'!P62/'Asset Prices'!P63-1</f>
        <v>-2.460298363811364E-2</v>
      </c>
      <c r="Q62" s="1">
        <f>'Asset Prices'!Q62/'Asset Prices'!Q63-1</f>
        <v>-6.6514829960142796E-2</v>
      </c>
      <c r="R62" s="1">
        <f>'Asset Prices'!R62/'Asset Prices'!R63-1</f>
        <v>-1.5391579900407404E-2</v>
      </c>
      <c r="S62" s="1">
        <f>'Asset Prices'!S62/'Asset Prices'!S63-1</f>
        <v>-5.280898876404494E-2</v>
      </c>
      <c r="T62" s="1">
        <f>'Asset Prices'!T62/'Asset Prices'!T63-1</f>
        <v>-1.1314721436477715E-2</v>
      </c>
      <c r="U62" s="1">
        <f>'Asset Prices'!U62/'Asset Prices'!U63-1</f>
        <v>-4.0952778938570855E-2</v>
      </c>
      <c r="V62" s="1">
        <f>'Asset Prices'!V62/'Asset Prices'!V63-1</f>
        <v>-8.7053571428571397E-2</v>
      </c>
      <c r="W62" s="1">
        <f>'Asset Prices'!W62/'Asset Prices'!W63-1</f>
        <v>-1.5305349295347659E-2</v>
      </c>
      <c r="X62" s="1">
        <f>'Asset Prices'!X62/'Asset Prices'!X63-1</f>
        <v>-0.15876062517137368</v>
      </c>
      <c r="Y62" s="1">
        <f>'Asset Prices'!Y62/'Asset Prices'!Y63-1</f>
        <v>3.0169389596071072E-2</v>
      </c>
      <c r="Z62" s="1">
        <f>'Asset Prices'!Z62/'Asset Prices'!Z63-1</f>
        <v>0.10491388844999228</v>
      </c>
      <c r="AA62" s="1">
        <f>'Asset Prices'!AA62/'Asset Prices'!AA63-1</f>
        <v>1.7527675276752808E-2</v>
      </c>
      <c r="AB62" s="1">
        <f>'Asset Prices'!AB62/'Asset Prices'!AB63-1</f>
        <v>0.12156295224312585</v>
      </c>
      <c r="AC62" s="1">
        <f>'Asset Prices'!AC62/'Asset Prices'!AC63-1</f>
        <v>3.274067649609691E-2</v>
      </c>
      <c r="AD62" s="1">
        <f>'Asset Prices'!AD62/'Asset Prices'!AD63-1</f>
        <v>-0.11728594507269785</v>
      </c>
      <c r="AE62" s="1">
        <f>'Asset Prices'!AE62/'Asset Prices'!AE63-1</f>
        <v>-7.2286347207648372E-2</v>
      </c>
      <c r="AF62" s="1">
        <f>'Asset Prices'!AF62/'Asset Prices'!AF63-1</f>
        <v>-0.16499614494988435</v>
      </c>
      <c r="AG62" s="1">
        <f>'Asset Prices'!AG62/'Asset Prices'!AG63-1</f>
        <v>7.1376281112738305E-3</v>
      </c>
      <c r="AH62" s="1">
        <f>'Asset Prices'!AH62/'Asset Prices'!AH63-1</f>
        <v>-0.10261058738216089</v>
      </c>
      <c r="AI62" s="1">
        <f>'Asset Prices'!AI62/'Asset Prices'!AI63-1</f>
        <v>-0.13775618001267687</v>
      </c>
      <c r="AJ62" s="1">
        <f>'Asset Prices'!AJ62/'Asset Prices'!AJ63-1</f>
        <v>1.0846891948268711E-2</v>
      </c>
      <c r="AK62" s="1">
        <f>'Asset Prices'!AK62/'Asset Prices'!AK63-1</f>
        <v>-8.1052631578947376E-2</v>
      </c>
      <c r="AL62" s="1">
        <f>'Asset Prices'!AL62/'Asset Prices'!AL63-1</f>
        <v>-7.4664011946242725E-3</v>
      </c>
      <c r="AM62" s="1">
        <f>'Asset Prices'!AM62/'Asset Prices'!AM63-1</f>
        <v>-4.7489711934156298E-2</v>
      </c>
      <c r="AN62" s="1">
        <f>'Asset Prices'!AN62/'Asset Prices'!AN63-1</f>
        <v>-4.3290280210157572E-2</v>
      </c>
      <c r="AO62" s="1">
        <f>'Asset Prices'!AO62/'Asset Prices'!AO63-1</f>
        <v>3.8300835654596632E-3</v>
      </c>
      <c r="AP62" s="1">
        <f>'Asset Prices'!AP62/'Asset Prices'!AP63-1</f>
        <v>-4.8350747797582416E-2</v>
      </c>
      <c r="AQ62" s="1">
        <f>'Asset Prices'!AQ62/'Asset Prices'!AQ63-1</f>
        <v>6.8586047267116035E-2</v>
      </c>
      <c r="AR62" s="1">
        <f>'Asset Prices'!AR62/'Asset Prices'!AR63-1</f>
        <v>4.5192811027743751E-2</v>
      </c>
      <c r="AS62" s="1">
        <f>'Asset Prices'!AS62/'Asset Prices'!AS63-1</f>
        <v>-3.6069651741293396E-2</v>
      </c>
      <c r="AT62" s="1">
        <f>'Asset Prices'!AT62/'Asset Prices'!AT63-1</f>
        <v>-7.7636620286348101E-2</v>
      </c>
      <c r="AU62" s="1">
        <f>'Asset Prices'!AU62/'Asset Prices'!AU63-1</f>
        <v>5.7223681551828776E-2</v>
      </c>
      <c r="AV62" s="1">
        <f>'Asset Prices'!AV62/'Asset Prices'!AV63-1</f>
        <v>3.7003610108303331E-2</v>
      </c>
      <c r="AW62" s="1">
        <f>'Asset Prices'!AW62/'Asset Prices'!AW63-1</f>
        <v>-6.883192936618765E-2</v>
      </c>
      <c r="AX62" s="1">
        <f>'Asset Prices'!AX62/'Asset Prices'!AX63-1</f>
        <v>1.1257035647279423E-2</v>
      </c>
      <c r="AY62" s="1">
        <f>'Asset Prices'!AY62/'Asset Prices'!AY63-1</f>
        <v>-9.930458970792766E-2</v>
      </c>
      <c r="AZ62" s="1">
        <f>'Asset Prices'!AZ62/'Asset Prices'!AZ63-1</f>
        <v>-0.13781190019193856</v>
      </c>
      <c r="BA62" s="1">
        <f>'Asset Prices'!BA62/'Asset Prices'!BA63-1</f>
        <v>-8.1485439487042566E-2</v>
      </c>
      <c r="BB62" s="1">
        <f>'Asset Prices'!BB62/'Asset Prices'!BB63-1</f>
        <v>-5.6775752251262968E-2</v>
      </c>
      <c r="BC62" s="1">
        <f>'Asset Prices'!BC62/'Asset Prices'!BC63-1</f>
        <v>-0.12936517460698427</v>
      </c>
      <c r="BD62" s="1">
        <f>'Asset Prices'!BD62/'Asset Prices'!BD63-1</f>
        <v>-0.1050805231782187</v>
      </c>
    </row>
    <row r="63" spans="3:56" x14ac:dyDescent="0.25">
      <c r="C63" s="38">
        <f>'Asset Prices'!C63</f>
        <v>43930</v>
      </c>
      <c r="D63" s="1">
        <f>'Asset Prices'!D63/'Asset Prices'!D64-1</f>
        <v>0.10356439418006236</v>
      </c>
      <c r="E63" s="1">
        <f>'Asset Prices'!E63/'Asset Prices'!E64-1</f>
        <v>7.7652882334742657E-2</v>
      </c>
      <c r="F63" s="1">
        <f>'Asset Prices'!F63/'Asset Prices'!F64-1</f>
        <v>8.2979785375592696E-2</v>
      </c>
      <c r="G63" s="1">
        <f>'Asset Prices'!G63/'Asset Prices'!G64-1</f>
        <v>6.7871485943775234E-2</v>
      </c>
      <c r="H63" s="1">
        <f>'Asset Prices'!H63/'Asset Prices'!H64-1</f>
        <v>7.1012506424533273E-2</v>
      </c>
      <c r="I63" s="1">
        <f>'Asset Prices'!I63/'Asset Prices'!I64-1</f>
        <v>0.10746570579682668</v>
      </c>
      <c r="J63" s="1">
        <f>'Asset Prices'!J63/'Asset Prices'!J64-1</f>
        <v>9.4149348793532761E-2</v>
      </c>
      <c r="K63" s="1">
        <f>'Asset Prices'!K63/'Asset Prices'!K64-1</f>
        <v>6.4586232235268382E-2</v>
      </c>
      <c r="L63" s="1">
        <f>'Asset Prices'!L63/'Asset Prices'!L64-1</f>
        <v>1.7293558149591437E-3</v>
      </c>
      <c r="M63" s="1">
        <f>'Asset Prices'!M63/'Asset Prices'!M64-1</f>
        <v>6.3635192580188127E-2</v>
      </c>
      <c r="N63" s="1">
        <f>'Asset Prices'!N63/'Asset Prices'!N64-1</f>
        <v>8.0158993044054272E-2</v>
      </c>
      <c r="O63" s="1">
        <f>'Asset Prices'!O63/'Asset Prices'!O64-1</f>
        <v>6.0266705960362543E-2</v>
      </c>
      <c r="P63" s="1">
        <f>'Asset Prices'!P63/'Asset Prices'!P64-1</f>
        <v>0.26688004877305294</v>
      </c>
      <c r="Q63" s="1">
        <f>'Asset Prices'!Q63/'Asset Prices'!Q64-1</f>
        <v>0.27040178864996389</v>
      </c>
      <c r="R63" s="1">
        <f>'Asset Prices'!R63/'Asset Prices'!R64-1</f>
        <v>9.6822244289970216E-2</v>
      </c>
      <c r="S63" s="1">
        <f>'Asset Prices'!S63/'Asset Prices'!S64-1</f>
        <v>0.16238572050500655</v>
      </c>
      <c r="T63" s="1">
        <f>'Asset Prices'!T63/'Asset Prices'!T64-1</f>
        <v>0.29063492063492058</v>
      </c>
      <c r="U63" s="1">
        <f>'Asset Prices'!U63/'Asset Prices'!U64-1</f>
        <v>0.18847777501862417</v>
      </c>
      <c r="V63" s="1">
        <f>'Asset Prices'!V63/'Asset Prices'!V64-1</f>
        <v>0.34051466187911417</v>
      </c>
      <c r="W63" s="1">
        <f>'Asset Prices'!W63/'Asset Prices'!W64-1</f>
        <v>0.25075815011372238</v>
      </c>
      <c r="X63" s="1">
        <f>'Asset Prices'!X63/'Asset Prices'!X64-1</f>
        <v>0.15777777777777779</v>
      </c>
      <c r="Y63" s="1">
        <f>'Asset Prices'!Y63/'Asset Prices'!Y64-1</f>
        <v>0.25417976115650553</v>
      </c>
      <c r="Z63" s="1">
        <f>'Asset Prices'!Z63/'Asset Prices'!Z64-1</f>
        <v>9.4098883572566461E-3</v>
      </c>
      <c r="AA63" s="1">
        <f>'Asset Prices'!AA63/'Asset Prices'!AA64-1</f>
        <v>0.16433941997851753</v>
      </c>
      <c r="AB63" s="1">
        <f>'Asset Prices'!AB63/'Asset Prices'!AB64-1</f>
        <v>3.4431137724550975E-2</v>
      </c>
      <c r="AC63" s="1">
        <f>'Asset Prices'!AC63/'Asset Prices'!AC64-1</f>
        <v>0.12808805544231561</v>
      </c>
      <c r="AD63" s="1">
        <f>'Asset Prices'!AD63/'Asset Prices'!AD64-1</f>
        <v>0.32095603926589833</v>
      </c>
      <c r="AE63" s="1">
        <f>'Asset Prices'!AE63/'Asset Prices'!AE64-1</f>
        <v>0.13078444297956504</v>
      </c>
      <c r="AF63" s="1">
        <f>'Asset Prices'!AF63/'Asset Prices'!AF64-1</f>
        <v>0.3207739307535642</v>
      </c>
      <c r="AG63" s="1">
        <f>'Asset Prices'!AG63/'Asset Prices'!AG64-1</f>
        <v>0.17127545551982859</v>
      </c>
      <c r="AH63" s="1">
        <f>'Asset Prices'!AH63/'Asset Prices'!AH64-1</f>
        <v>0.47407803313735952</v>
      </c>
      <c r="AI63" s="1">
        <f>'Asset Prices'!AI63/'Asset Prices'!AI64-1</f>
        <v>0.28614130434782603</v>
      </c>
      <c r="AJ63" s="1">
        <f>'Asset Prices'!AJ63/'Asset Prices'!AJ64-1</f>
        <v>0.11904761904761885</v>
      </c>
      <c r="AK63" s="1">
        <f>'Asset Prices'!AK63/'Asset Prices'!AK64-1</f>
        <v>0.2450851900393185</v>
      </c>
      <c r="AL63" s="1">
        <f>'Asset Prices'!AL63/'Asset Prices'!AL64-1</f>
        <v>0.16960993595963525</v>
      </c>
      <c r="AM63" s="1">
        <f>'Asset Prices'!AM63/'Asset Prices'!AM64-1</f>
        <v>0.1045454545454545</v>
      </c>
      <c r="AN63" s="1">
        <f>'Asset Prices'!AN63/'Asset Prices'!AN64-1</f>
        <v>0.22155368364754646</v>
      </c>
      <c r="AO63" s="1">
        <f>'Asset Prices'!AO63/'Asset Prices'!AO64-1</f>
        <v>3.9638009049773659E-2</v>
      </c>
      <c r="AP63" s="1">
        <f>'Asset Prices'!AP63/'Asset Prices'!AP64-1</f>
        <v>0.11463804521580268</v>
      </c>
      <c r="AQ63" s="1">
        <f>'Asset Prices'!AQ63/'Asset Prices'!AQ64-1</f>
        <v>0.16954787234042556</v>
      </c>
      <c r="AR63" s="1">
        <f>'Asset Prices'!AR63/'Asset Prices'!AR64-1</f>
        <v>0.18826456562305638</v>
      </c>
      <c r="AS63" s="1">
        <f>'Asset Prices'!AS63/'Asset Prices'!AS64-1</f>
        <v>0.15517241379310343</v>
      </c>
      <c r="AT63" s="1">
        <f>'Asset Prices'!AT63/'Asset Prices'!AT64-1</f>
        <v>0.2010171954468396</v>
      </c>
      <c r="AU63" s="1">
        <f>'Asset Prices'!AU63/'Asset Prices'!AU64-1</f>
        <v>6.0742455418381303E-2</v>
      </c>
      <c r="AV63" s="1">
        <f>'Asset Prices'!AV63/'Asset Prices'!AV64-1</f>
        <v>0.10076639227930761</v>
      </c>
      <c r="AW63" s="1">
        <f>'Asset Prices'!AW63/'Asset Prices'!AW64-1</f>
        <v>0.22470484387068312</v>
      </c>
      <c r="AX63" s="1">
        <f>'Asset Prices'!AX63/'Asset Prices'!AX64-1</f>
        <v>7.6767676767676818E-2</v>
      </c>
      <c r="AY63" s="1">
        <f>'Asset Prices'!AY63/'Asset Prices'!AY64-1</f>
        <v>0.34191862635311709</v>
      </c>
      <c r="AZ63" s="1">
        <f>'Asset Prices'!AZ63/'Asset Prices'!AZ64-1</f>
        <v>0.16685330347144456</v>
      </c>
      <c r="BA63" s="1">
        <f>'Asset Prices'!BA63/'Asset Prices'!BA64-1</f>
        <v>0.10282852091926942</v>
      </c>
      <c r="BB63" s="1">
        <f>'Asset Prices'!BB63/'Asset Prices'!BB64-1</f>
        <v>0.15338822039265354</v>
      </c>
      <c r="BC63" s="1">
        <f>'Asset Prices'!BC63/'Asset Prices'!BC64-1</f>
        <v>0.19899280575539557</v>
      </c>
      <c r="BD63" s="1">
        <f>'Asset Prices'!BD63/'Asset Prices'!BD64-1</f>
        <v>0.12322606436138317</v>
      </c>
    </row>
    <row r="64" spans="3:56" x14ac:dyDescent="0.25">
      <c r="C64" s="38">
        <f>'Asset Prices'!C64</f>
        <v>43923</v>
      </c>
      <c r="D64" s="1">
        <f>'Asset Prices'!D64/'Asset Prices'!D65-1</f>
        <v>-6.8036475603979185E-2</v>
      </c>
      <c r="E64" s="1">
        <f>'Asset Prices'!E64/'Asset Prices'!E65-1</f>
        <v>-7.963173880030372E-2</v>
      </c>
      <c r="F64" s="1">
        <f>'Asset Prices'!F64/'Asset Prices'!F65-1</f>
        <v>-4.934756820877817E-2</v>
      </c>
      <c r="G64" s="1">
        <f>'Asset Prices'!G64/'Asset Prices'!G65-1</f>
        <v>-1.347068145800312E-2</v>
      </c>
      <c r="H64" s="1">
        <f>'Asset Prices'!H64/'Asset Prices'!H65-1</f>
        <v>5.647058823529405E-2</v>
      </c>
      <c r="I64" s="1">
        <f>'Asset Prices'!I64/'Asset Prices'!I65-1</f>
        <v>-3.152932533365993E-2</v>
      </c>
      <c r="J64" s="1">
        <f>'Asset Prices'!J64/'Asset Prices'!J65-1</f>
        <v>-5.2275189599133243E-2</v>
      </c>
      <c r="K64" s="1">
        <f>'Asset Prices'!K64/'Asset Prices'!K65-1</f>
        <v>-1.8747219367012957E-2</v>
      </c>
      <c r="L64" s="1">
        <f>'Asset Prices'!L64/'Asset Prices'!L65-1</f>
        <v>1.9532218518416355E-2</v>
      </c>
      <c r="M64" s="1">
        <f>'Asset Prices'!M64/'Asset Prices'!M65-1</f>
        <v>-5.4448786112357705E-3</v>
      </c>
      <c r="N64" s="1">
        <f>'Asset Prices'!N64/'Asset Prices'!N65-1</f>
        <v>-3.9461011935472912E-2</v>
      </c>
      <c r="O64" s="1">
        <f>'Asset Prices'!O64/'Asset Prices'!O65-1</f>
        <v>2.4764061910154789E-2</v>
      </c>
      <c r="P64" s="1">
        <f>'Asset Prices'!P64/'Asset Prices'!P65-1</f>
        <v>-6.7311109531594249E-2</v>
      </c>
      <c r="Q64" s="1">
        <f>'Asset Prices'!Q64/'Asset Prices'!Q65-1</f>
        <v>-0.20648090169067002</v>
      </c>
      <c r="R64" s="1">
        <f>'Asset Prices'!R64/'Asset Prices'!R65-1</f>
        <v>4.3343118632360733E-2</v>
      </c>
      <c r="S64" s="1">
        <f>'Asset Prices'!S64/'Asset Prices'!S65-1</f>
        <v>-6.8909606809890667E-2</v>
      </c>
      <c r="T64" s="1">
        <f>'Asset Prices'!T64/'Asset Prices'!T65-1</f>
        <v>-0.23922231614539313</v>
      </c>
      <c r="U64" s="1">
        <f>'Asset Prices'!U64/'Asset Prices'!U65-1</f>
        <v>-0.1672870140612075</v>
      </c>
      <c r="V64" s="1">
        <f>'Asset Prices'!V64/'Asset Prices'!V65-1</f>
        <v>-0.21216407355021216</v>
      </c>
      <c r="W64" s="1">
        <f>'Asset Prices'!W64/'Asset Prices'!W65-1</f>
        <v>-0.16094147582697205</v>
      </c>
      <c r="X64" s="1">
        <f>'Asset Prices'!X64/'Asset Prices'!X65-1</f>
        <v>-0.23599320882852282</v>
      </c>
      <c r="Y64" s="1">
        <f>'Asset Prices'!Y64/'Asset Prices'!Y65-1</f>
        <v>5.5739880557398758E-2</v>
      </c>
      <c r="Z64" s="1">
        <f>'Asset Prices'!Z64/'Asset Prices'!Z65-1</f>
        <v>-1.1820330969267157E-2</v>
      </c>
      <c r="AA64" s="1">
        <f>'Asset Prices'!AA64/'Asset Prices'!AA65-1</f>
        <v>-0.1303709634374165</v>
      </c>
      <c r="AB64" s="1">
        <f>'Asset Prices'!AB64/'Asset Prices'!AB65-1</f>
        <v>-8.9020771513353969E-3</v>
      </c>
      <c r="AC64" s="1">
        <f>'Asset Prices'!AC64/'Asset Prices'!AC65-1</f>
        <v>-0.12273800157356407</v>
      </c>
      <c r="AD64" s="1">
        <f>'Asset Prices'!AD64/'Asset Prices'!AD65-1</f>
        <v>-0.20333219993199592</v>
      </c>
      <c r="AE64" s="1">
        <f>'Asset Prices'!AE64/'Asset Prices'!AE65-1</f>
        <v>-0.14775280898876408</v>
      </c>
      <c r="AF64" s="1">
        <f>'Asset Prices'!AF64/'Asset Prices'!AF65-1</f>
        <v>-8.3955223880597063E-2</v>
      </c>
      <c r="AG64" s="1">
        <f>'Asset Prices'!AG64/'Asset Prices'!AG65-1</f>
        <v>0.10023584905660377</v>
      </c>
      <c r="AH64" s="1">
        <f>'Asset Prices'!AH64/'Asset Prices'!AH65-1</f>
        <v>-0.14915870850386526</v>
      </c>
      <c r="AI64" s="1">
        <f>'Asset Prices'!AI64/'Asset Prices'!AI65-1</f>
        <v>-0.23476814306508642</v>
      </c>
      <c r="AJ64" s="1">
        <f>'Asset Prices'!AJ64/'Asset Prices'!AJ65-1</f>
        <v>-5.8461538461538343E-2</v>
      </c>
      <c r="AK64" s="1">
        <f>'Asset Prices'!AK64/'Asset Prices'!AK65-1</f>
        <v>-0.30192131747483986</v>
      </c>
      <c r="AL64" s="1">
        <f>'Asset Prices'!AL64/'Asset Prices'!AL65-1</f>
        <v>-0.1073965009527108</v>
      </c>
      <c r="AM64" s="1">
        <f>'Asset Prices'!AM64/'Asset Prices'!AM65-1</f>
        <v>-2.5600141730888426E-2</v>
      </c>
      <c r="AN64" s="1">
        <f>'Asset Prices'!AN64/'Asset Prices'!AN65-1</f>
        <v>-8.4185391538602827E-2</v>
      </c>
      <c r="AO64" s="1">
        <f>'Asset Prices'!AO64/'Asset Prices'!AO65-1</f>
        <v>3.1938737392603667E-2</v>
      </c>
      <c r="AP64" s="1">
        <f>'Asset Prices'!AP64/'Asset Prices'!AP65-1</f>
        <v>-8.6947456213511298E-2</v>
      </c>
      <c r="AQ64" s="1">
        <f>'Asset Prices'!AQ64/'Asset Prices'!AQ65-1</f>
        <v>-0.18476072479479622</v>
      </c>
      <c r="AR64" s="1">
        <f>'Asset Prices'!AR64/'Asset Prices'!AR65-1</f>
        <v>-1.0356255178128881E-3</v>
      </c>
      <c r="AS64" s="1">
        <f>'Asset Prices'!AS64/'Asset Prices'!AS65-1</f>
        <v>-0.10424710424710415</v>
      </c>
      <c r="AT64" s="1">
        <f>'Asset Prices'!AT64/'Asset Prices'!AT65-1</f>
        <v>-0.22793567688855643</v>
      </c>
      <c r="AU64" s="1">
        <f>'Asset Prices'!AU64/'Asset Prices'!AU65-1</f>
        <v>6.3505812628219749E-2</v>
      </c>
      <c r="AV64" s="1">
        <f>'Asset Prices'!AV64/'Asset Prices'!AV65-1</f>
        <v>-9.8285129255183068E-2</v>
      </c>
      <c r="AW64" s="1">
        <f>'Asset Prices'!AW64/'Asset Prices'!AW65-1</f>
        <v>-0.2091968064220584</v>
      </c>
      <c r="AX64" s="1">
        <f>'Asset Prices'!AX64/'Asset Prices'!AX65-1</f>
        <v>-0.16314454775993237</v>
      </c>
      <c r="AY64" s="1">
        <f>'Asset Prices'!AY64/'Asset Prices'!AY65-1</f>
        <v>-0.1301948051948052</v>
      </c>
      <c r="AZ64" s="1">
        <f>'Asset Prices'!AZ64/'Asset Prices'!AZ65-1</f>
        <v>-5.8414171235765422E-2</v>
      </c>
      <c r="BA64" s="1">
        <f>'Asset Prices'!BA64/'Asset Prices'!BA65-1</f>
        <v>-8.2206598161168154E-2</v>
      </c>
      <c r="BB64" s="1">
        <f>'Asset Prices'!BB64/'Asset Prices'!BB65-1</f>
        <v>1.4651073126847436E-2</v>
      </c>
      <c r="BC64" s="1">
        <f>'Asset Prices'!BC64/'Asset Prices'!BC65-1</f>
        <v>-0.28505297808867391</v>
      </c>
      <c r="BD64" s="1">
        <f>'Asset Prices'!BD64/'Asset Prices'!BD65-1</f>
        <v>-5.021357380161362E-2</v>
      </c>
    </row>
    <row r="65" spans="3:56" x14ac:dyDescent="0.25">
      <c r="C65" s="38">
        <f>'Asset Prices'!C65</f>
        <v>43916</v>
      </c>
      <c r="D65" s="1">
        <f>'Asset Prices'!D65/'Asset Prices'!D66-1</f>
        <v>0.10922824302134648</v>
      </c>
      <c r="E65" s="1">
        <f>'Asset Prices'!E65/'Asset Prices'!E66-1</f>
        <v>0.10987043084377945</v>
      </c>
      <c r="F65" s="1">
        <f>'Asset Prices'!F65/'Asset Prices'!F66-1</f>
        <v>0.19846460051179982</v>
      </c>
      <c r="G65" s="1">
        <f>'Asset Prices'!G65/'Asset Prices'!G66-1</f>
        <v>0.12003550033281551</v>
      </c>
      <c r="H65" s="1">
        <f>'Asset Prices'!H65/'Asset Prices'!H66-1</f>
        <v>7.2711387243956871E-2</v>
      </c>
      <c r="I65" s="1">
        <f>'Asset Prices'!I65/'Asset Prices'!I66-1</f>
        <v>6.6675373865343168E-2</v>
      </c>
      <c r="J65" s="1">
        <f>'Asset Prices'!J65/'Asset Prices'!J66-1</f>
        <v>5.5805212844186602E-2</v>
      </c>
      <c r="K65" s="1">
        <f>'Asset Prices'!K65/'Asset Prices'!K66-1</f>
        <v>3.9639965336296434E-2</v>
      </c>
      <c r="L65" s="1">
        <f>'Asset Prices'!L65/'Asset Prices'!L66-1</f>
        <v>9.3244586332560386E-2</v>
      </c>
      <c r="M65" s="1">
        <f>'Asset Prices'!M65/'Asset Prices'!M66-1</f>
        <v>9.3896713615023497E-2</v>
      </c>
      <c r="N65" s="1">
        <f>'Asset Prices'!N65/'Asset Prices'!N66-1</f>
        <v>4.6101810789173081E-2</v>
      </c>
      <c r="O65" s="1">
        <f>'Asset Prices'!O65/'Asset Prices'!O66-1</f>
        <v>8.7527711634781014E-2</v>
      </c>
      <c r="P65" s="1">
        <f>'Asset Prices'!P65/'Asset Prices'!P66-1</f>
        <v>0.14326344872419949</v>
      </c>
      <c r="Q65" s="1">
        <f>'Asset Prices'!Q65/'Asset Prices'!Q66-1</f>
        <v>0.34739506433241929</v>
      </c>
      <c r="R65" s="1">
        <f>'Asset Prices'!R65/'Asset Prices'!R66-1</f>
        <v>-1.3795481979652635E-3</v>
      </c>
      <c r="S65" s="1">
        <f>'Asset Prices'!S65/'Asset Prices'!S66-1</f>
        <v>0.14265863825845315</v>
      </c>
      <c r="T65" s="1">
        <f>'Asset Prices'!T65/'Asset Prices'!T66-1</f>
        <v>0.23967065868263471</v>
      </c>
      <c r="U65" s="1">
        <f>'Asset Prices'!U65/'Asset Prices'!U66-1</f>
        <v>0.19821605550049548</v>
      </c>
      <c r="V65" s="1">
        <f>'Asset Prices'!V65/'Asset Prices'!V66-1</f>
        <v>0.34198038595381219</v>
      </c>
      <c r="W65" s="1">
        <f>'Asset Prices'!W65/'Asset Prices'!W66-1</f>
        <v>0.14849315068493163</v>
      </c>
      <c r="X65" s="1">
        <f>'Asset Prices'!X65/'Asset Prices'!X66-1</f>
        <v>0.33603370058327919</v>
      </c>
      <c r="Y65" s="1">
        <f>'Asset Prices'!Y65/'Asset Prices'!Y66-1</f>
        <v>0.31546787709497215</v>
      </c>
      <c r="Z65" s="1">
        <f>'Asset Prices'!Z65/'Asset Prices'!Z66-1</f>
        <v>0.30367783028559692</v>
      </c>
      <c r="AA65" s="1">
        <f>'Asset Prices'!AA65/'Asset Prices'!AA66-1</f>
        <v>0.1321951956488896</v>
      </c>
      <c r="AB65" s="1">
        <f>'Asset Prices'!AB65/'Asset Prices'!AB66-1</f>
        <v>5.9748427672955851E-2</v>
      </c>
      <c r="AC65" s="1">
        <f>'Asset Prices'!AC65/'Asset Prices'!AC66-1</f>
        <v>0.16780821917808231</v>
      </c>
      <c r="AD65" s="1">
        <f>'Asset Prices'!AD65/'Asset Prices'!AD66-1</f>
        <v>0.40147724565165599</v>
      </c>
      <c r="AE65" s="1">
        <f>'Asset Prices'!AE65/'Asset Prices'!AE66-1</f>
        <v>0.28334534967555891</v>
      </c>
      <c r="AF65" s="1">
        <f>'Asset Prices'!AF65/'Asset Prices'!AF66-1</f>
        <v>0.30413625304136249</v>
      </c>
      <c r="AG65" s="1">
        <f>'Asset Prices'!AG65/'Asset Prices'!AG66-1</f>
        <v>0.11403047819232781</v>
      </c>
      <c r="AH65" s="1">
        <f>'Asset Prices'!AH65/'Asset Prices'!AH66-1</f>
        <v>0.18162278344975813</v>
      </c>
      <c r="AI65" s="1">
        <f>'Asset Prices'!AI65/'Asset Prices'!AI66-1</f>
        <v>0.43938940436994933</v>
      </c>
      <c r="AJ65" s="1">
        <f>'Asset Prices'!AJ65/'Asset Prices'!AJ66-1</f>
        <v>0.10009671179883939</v>
      </c>
      <c r="AK65" s="1">
        <f>'Asset Prices'!AK65/'Asset Prices'!AK66-1</f>
        <v>0.43815789473684208</v>
      </c>
      <c r="AL65" s="1">
        <f>'Asset Prices'!AL65/'Asset Prices'!AL66-1</f>
        <v>0.1839622641509433</v>
      </c>
      <c r="AM65" s="1">
        <f>'Asset Prices'!AM65/'Asset Prices'!AM66-1</f>
        <v>0.1250747458640622</v>
      </c>
      <c r="AN65" s="1">
        <f>'Asset Prices'!AN65/'Asset Prices'!AN66-1</f>
        <v>9.2508361204013401E-2</v>
      </c>
      <c r="AO65" s="1">
        <f>'Asset Prices'!AO65/'Asset Prices'!AO66-1</f>
        <v>-1.4919806042521522E-3</v>
      </c>
      <c r="AP65" s="1">
        <f>'Asset Prices'!AP65/'Asset Prices'!AP66-1</f>
        <v>0.15150060024009604</v>
      </c>
      <c r="AQ65" s="1">
        <f>'Asset Prices'!AQ65/'Asset Prices'!AQ66-1</f>
        <v>0.20107886904761907</v>
      </c>
      <c r="AR65" s="1">
        <f>'Asset Prices'!AR65/'Asset Prices'!AR66-1</f>
        <v>0.15668423574508861</v>
      </c>
      <c r="AS65" s="1">
        <f>'Asset Prices'!AS65/'Asset Prices'!AS66-1</f>
        <v>4.5057162071284518E-2</v>
      </c>
      <c r="AT65" s="1">
        <f>'Asset Prices'!AT65/'Asset Prices'!AT66-1</f>
        <v>0.44112099164645646</v>
      </c>
      <c r="AU65" s="1">
        <f>'Asset Prices'!AU65/'Asset Prices'!AU66-1</f>
        <v>-7.2863866763215324E-3</v>
      </c>
      <c r="AV65" s="1">
        <f>'Asset Prices'!AV65/'Asset Prices'!AV66-1</f>
        <v>0.10258219274728364</v>
      </c>
      <c r="AW65" s="1">
        <f>'Asset Prices'!AW65/'Asset Prices'!AW66-1</f>
        <v>0.16026322450012653</v>
      </c>
      <c r="AX65" s="1">
        <f>'Asset Prices'!AX65/'Asset Prices'!AX66-1</f>
        <v>0.25317796610169507</v>
      </c>
      <c r="AY65" s="1">
        <f>'Asset Prices'!AY65/'Asset Prices'!AY66-1</f>
        <v>9.8430813124108507E-2</v>
      </c>
      <c r="AZ65" s="1">
        <f>'Asset Prices'!AZ65/'Asset Prices'!AZ66-1</f>
        <v>6.8740139734054351E-2</v>
      </c>
      <c r="BA65" s="1">
        <f>'Asset Prices'!BA65/'Asset Prices'!BA66-1</f>
        <v>0.26948163405423964</v>
      </c>
      <c r="BB65" s="1">
        <f>'Asset Prices'!BB65/'Asset Prices'!BB66-1</f>
        <v>2.1396692045156041E-2</v>
      </c>
      <c r="BC65" s="1">
        <f>'Asset Prices'!BC65/'Asset Prices'!BC66-1</f>
        <v>0.34082758620689657</v>
      </c>
      <c r="BD65" s="1">
        <f>'Asset Prices'!BD65/'Asset Prices'!BD66-1</f>
        <v>0.26258389261744952</v>
      </c>
    </row>
    <row r="66" spans="3:56" x14ac:dyDescent="0.25">
      <c r="C66" s="38">
        <f>'Asset Prices'!C66</f>
        <v>43909</v>
      </c>
      <c r="D66" s="1">
        <f>'Asset Prices'!D66/'Asset Prices'!D67-1</f>
        <v>-4.8913043478260976E-2</v>
      </c>
      <c r="E66" s="1">
        <f>'Asset Prices'!E66/'Asset Prices'!E67-1</f>
        <v>3.3983226228079699E-2</v>
      </c>
      <c r="F66" s="1">
        <f>'Asset Prices'!F66/'Asset Prices'!F67-1</f>
        <v>-5.2021563342318E-2</v>
      </c>
      <c r="G66" s="1">
        <f>'Asset Prices'!G66/'Asset Prices'!G67-1</f>
        <v>0.13241206030150754</v>
      </c>
      <c r="H66" s="1">
        <f>'Asset Prices'!H66/'Asset Prices'!H67-1</f>
        <v>0.11651853457619765</v>
      </c>
      <c r="I66" s="1">
        <f>'Asset Prices'!I66/'Asset Prices'!I67-1</f>
        <v>-8.6748235903412185E-3</v>
      </c>
      <c r="J66" s="1">
        <f>'Asset Prices'!J66/'Asset Prices'!J67-1</f>
        <v>-1.38984006767916E-2</v>
      </c>
      <c r="K66" s="1">
        <f>'Asset Prices'!K66/'Asset Prices'!K67-1</f>
        <v>0.12186495368630768</v>
      </c>
      <c r="L66" s="1">
        <f>'Asset Prices'!L66/'Asset Prices'!L67-1</f>
        <v>5.3227597145122818E-2</v>
      </c>
      <c r="M66" s="1">
        <f>'Asset Prices'!M66/'Asset Prices'!M67-1</f>
        <v>2.6247662879332667E-2</v>
      </c>
      <c r="N66" s="1">
        <f>'Asset Prices'!N66/'Asset Prices'!N67-1</f>
        <v>1.0795735684410168E-4</v>
      </c>
      <c r="O66" s="1">
        <f>'Asset Prices'!O66/'Asset Prices'!O67-1</f>
        <v>-8.338977948370585E-2</v>
      </c>
      <c r="P66" s="1">
        <f>'Asset Prices'!P66/'Asset Prices'!P67-1</f>
        <v>-6.3684090390321857E-2</v>
      </c>
      <c r="Q66" s="1">
        <f>'Asset Prices'!Q66/'Asset Prices'!Q67-1</f>
        <v>-0.21035976015989344</v>
      </c>
      <c r="R66" s="1">
        <f>'Asset Prices'!R66/'Asset Prices'!R67-1</f>
        <v>-5.3842388644150696E-2</v>
      </c>
      <c r="S66" s="1">
        <f>'Asset Prices'!S66/'Asset Prices'!S67-1</f>
        <v>-0.18926023282012761</v>
      </c>
      <c r="T66" s="1">
        <f>'Asset Prices'!T66/'Asset Prices'!T67-1</f>
        <v>-0.2871625226763419</v>
      </c>
      <c r="U66" s="1">
        <f>'Asset Prices'!U66/'Asset Prices'!U67-1</f>
        <v>-8.5843714609286526E-2</v>
      </c>
      <c r="V66" s="1">
        <f>'Asset Prices'!V66/'Asset Prices'!V67-1</f>
        <v>-0.31904351572598022</v>
      </c>
      <c r="W66" s="1">
        <f>'Asset Prices'!W66/'Asset Prices'!W67-1</f>
        <v>-1.1732851985559511E-2</v>
      </c>
      <c r="X66" s="1">
        <f>'Asset Prices'!X66/'Asset Prices'!X67-1</f>
        <v>-0.14444136401441643</v>
      </c>
      <c r="Y66" s="1">
        <f>'Asset Prices'!Y66/'Asset Prices'!Y67-1</f>
        <v>-0.16085555230002946</v>
      </c>
      <c r="Z66" s="1">
        <f>'Asset Prices'!Z66/'Asset Prices'!Z67-1</f>
        <v>-7.295238095238088E-2</v>
      </c>
      <c r="AA66" s="1">
        <f>'Asset Prices'!AA66/'Asset Prices'!AA67-1</f>
        <v>-4.9130872001149295E-2</v>
      </c>
      <c r="AB66" s="1">
        <f>'Asset Prices'!AB66/'Asset Prices'!AB67-1</f>
        <v>5.2980132450331174E-2</v>
      </c>
      <c r="AC66" s="1">
        <f>'Asset Prices'!AC66/'Asset Prices'!AC67-1</f>
        <v>-0.14771837403004195</v>
      </c>
      <c r="AD66" s="1">
        <f>'Asset Prices'!AD66/'Asset Prices'!AD67-1</f>
        <v>-0.24405619596541794</v>
      </c>
      <c r="AE66" s="1">
        <f>'Asset Prices'!AE66/'Asset Prices'!AE67-1</f>
        <v>-0.12547288776796972</v>
      </c>
      <c r="AF66" s="1">
        <f>'Asset Prices'!AF66/'Asset Prices'!AF67-1</f>
        <v>-0.15170278637770884</v>
      </c>
      <c r="AG66" s="1">
        <f>'Asset Prices'!AG66/'Asset Prices'!AG67-1</f>
        <v>-3.3519553072625663E-2</v>
      </c>
      <c r="AH66" s="1">
        <f>'Asset Prices'!AH66/'Asset Prices'!AH67-1</f>
        <v>-0.31074074074074076</v>
      </c>
      <c r="AI66" s="1">
        <f>'Asset Prices'!AI66/'Asset Prices'!AI67-1</f>
        <v>-0.37045411720369326</v>
      </c>
      <c r="AJ66" s="1">
        <f>'Asset Prices'!AJ66/'Asset Prices'!AJ67-1</f>
        <v>-8.6975717439293554E-2</v>
      </c>
      <c r="AK66" s="1">
        <f>'Asset Prices'!AK66/'Asset Prices'!AK67-1</f>
        <v>-0.3385552654482159</v>
      </c>
      <c r="AL66" s="1">
        <f>'Asset Prices'!AL66/'Asset Prices'!AL67-1</f>
        <v>-6.9998092695021996E-2</v>
      </c>
      <c r="AM66" s="1">
        <f>'Asset Prices'!AM66/'Asset Prices'!AM67-1</f>
        <v>-2.4024900301527041E-2</v>
      </c>
      <c r="AN66" s="1">
        <f>'Asset Prices'!AN66/'Asset Prices'!AN67-1</f>
        <v>-3.0794165316045397E-2</v>
      </c>
      <c r="AO66" s="1">
        <f>'Asset Prices'!AO66/'Asset Prices'!AO67-1</f>
        <v>4.7265624999999867E-2</v>
      </c>
      <c r="AP66" s="1">
        <f>'Asset Prices'!AP66/'Asset Prices'!AP67-1</f>
        <v>-0.15619935170178278</v>
      </c>
      <c r="AQ66" s="1">
        <f>'Asset Prices'!AQ66/'Asset Prices'!AQ67-1</f>
        <v>2.3902485477573565E-2</v>
      </c>
      <c r="AR66" s="1">
        <f>'Asset Prices'!AR66/'Asset Prices'!AR67-1</f>
        <v>-6.0756075607560689E-2</v>
      </c>
      <c r="AS66" s="1">
        <f>'Asset Prices'!AS66/'Asset Prices'!AS67-1</f>
        <v>0.12141779788838614</v>
      </c>
      <c r="AT66" s="1">
        <f>'Asset Prices'!AT66/'Asset Prices'!AT67-1</f>
        <v>-0.14709262238565846</v>
      </c>
      <c r="AU66" s="1">
        <f>'Asset Prices'!AU66/'Asset Prices'!AU67-1</f>
        <v>1.7681461667498066E-3</v>
      </c>
      <c r="AV66" s="1">
        <f>'Asset Prices'!AV66/'Asset Prices'!AV67-1</f>
        <v>7.391613361762861E-3</v>
      </c>
      <c r="AW66" s="1">
        <f>'Asset Prices'!AW66/'Asset Prices'!AW67-1</f>
        <v>2.9013438899885502E-2</v>
      </c>
      <c r="AX66" s="1">
        <f>'Asset Prices'!AX66/'Asset Prices'!AX67-1</f>
        <v>-5.9760956175298752E-2</v>
      </c>
      <c r="AY66" s="1">
        <f>'Asset Prices'!AY66/'Asset Prices'!AY67-1</f>
        <v>-0.17698855297916061</v>
      </c>
      <c r="AZ66" s="1">
        <f>'Asset Prices'!AZ66/'Asset Prices'!AZ67-1</f>
        <v>-0.11789264413518885</v>
      </c>
      <c r="BA66" s="1">
        <f>'Asset Prices'!BA66/'Asset Prices'!BA67-1</f>
        <v>-0.11620145631067968</v>
      </c>
      <c r="BB66" s="1">
        <f>'Asset Prices'!BB66/'Asset Prices'!BB67-1</f>
        <v>7.250457553146572E-2</v>
      </c>
      <c r="BC66" s="1">
        <f>'Asset Prices'!BC66/'Asset Prices'!BC67-1</f>
        <v>-0.29302779132130663</v>
      </c>
      <c r="BD66" s="1">
        <f>'Asset Prices'!BD66/'Asset Prices'!BD67-1</f>
        <v>-0.13632129179174002</v>
      </c>
    </row>
    <row r="67" spans="3:56" x14ac:dyDescent="0.25">
      <c r="C67" s="38">
        <f>'Asset Prices'!C67</f>
        <v>43902</v>
      </c>
      <c r="D67" s="1">
        <f>'Asset Prices'!D67/'Asset Prices'!D68-1</f>
        <v>-0.14377406931964054</v>
      </c>
      <c r="E67" s="1">
        <f>'Asset Prices'!E67/'Asset Prices'!E68-1</f>
        <v>-0.19450780838743642</v>
      </c>
      <c r="F67" s="1">
        <f>'Asset Prices'!F67/'Asset Prices'!F68-1</f>
        <v>-0.18083462132921169</v>
      </c>
      <c r="G67" s="1">
        <f>'Asset Prices'!G67/'Asset Prices'!G68-1</f>
        <v>-0.17083333333333339</v>
      </c>
      <c r="H67" s="1">
        <f>'Asset Prices'!H67/'Asset Prices'!H68-1</f>
        <v>-0.24358448798884969</v>
      </c>
      <c r="I67" s="1">
        <f>'Asset Prices'!I67/'Asset Prices'!I68-1</f>
        <v>-0.16579359507479607</v>
      </c>
      <c r="J67" s="1">
        <f>'Asset Prices'!J67/'Asset Prices'!J68-1</f>
        <v>-0.15256725385770864</v>
      </c>
      <c r="K67" s="1">
        <f>'Asset Prices'!K67/'Asset Prices'!K68-1</f>
        <v>-0.12859466848230017</v>
      </c>
      <c r="L67" s="1">
        <f>'Asset Prices'!L67/'Asset Prices'!L68-1</f>
        <v>-0.15432694887064746</v>
      </c>
      <c r="M67" s="1">
        <f>'Asset Prices'!M67/'Asset Prices'!M68-1</f>
        <v>-0.16364948577614724</v>
      </c>
      <c r="N67" s="1">
        <f>'Asset Prices'!N67/'Asset Prices'!N68-1</f>
        <v>-0.1545605281572302</v>
      </c>
      <c r="O67" s="1">
        <f>'Asset Prices'!O67/'Asset Prices'!O68-1</f>
        <v>-0.16433962264150936</v>
      </c>
      <c r="P67" s="1">
        <f>'Asset Prices'!P67/'Asset Prices'!P68-1</f>
        <v>-0.28089949116375779</v>
      </c>
      <c r="Q67" s="1">
        <f>'Asset Prices'!Q67/'Asset Prices'!Q68-1</f>
        <v>-0.21921192942910395</v>
      </c>
      <c r="R67" s="1">
        <f>'Asset Prices'!R67/'Asset Prices'!R68-1</f>
        <v>-0.1149458483754513</v>
      </c>
      <c r="S67" s="1">
        <f>'Asset Prices'!S67/'Asset Prices'!S68-1</f>
        <v>-0.15940656565656564</v>
      </c>
      <c r="T67" s="1">
        <f>'Asset Prices'!T67/'Asset Prices'!T68-1</f>
        <v>-0.14979132643803306</v>
      </c>
      <c r="U67" s="1">
        <f>'Asset Prices'!U67/'Asset Prices'!U68-1</f>
        <v>-0.19639606843829627</v>
      </c>
      <c r="V67" s="1">
        <f>'Asset Prices'!V67/'Asset Prices'!V68-1</f>
        <v>-0.28253477588871712</v>
      </c>
      <c r="W67" s="1">
        <f>'Asset Prices'!W67/'Asset Prices'!W68-1</f>
        <v>-0.28855785283164259</v>
      </c>
      <c r="X67" s="1">
        <f>'Asset Prices'!X67/'Asset Prices'!X68-1</f>
        <v>-0.20287292817679559</v>
      </c>
      <c r="Y67" s="1">
        <f>'Asset Prices'!Y67/'Asset Prices'!Y68-1</f>
        <v>-0.14159959758551299</v>
      </c>
      <c r="Z67" s="1">
        <f>'Asset Prices'!Z67/'Asset Prices'!Z68-1</f>
        <v>-0.28736256277996475</v>
      </c>
      <c r="AA67" s="1">
        <f>'Asset Prices'!AA67/'Asset Prices'!AA68-1</f>
        <v>-0.20572797809219534</v>
      </c>
      <c r="AB67" s="1">
        <f>'Asset Prices'!AB67/'Asset Prices'!AB68-1</f>
        <v>-0.16459197786998625</v>
      </c>
      <c r="AC67" s="1">
        <f>'Asset Prices'!AC67/'Asset Prices'!AC68-1</f>
        <v>-0.12277524511334537</v>
      </c>
      <c r="AD67" s="1">
        <f>'Asset Prices'!AD67/'Asset Prices'!AD68-1</f>
        <v>-0.19314053189943325</v>
      </c>
      <c r="AE67" s="1">
        <f>'Asset Prices'!AE67/'Asset Prices'!AE68-1</f>
        <v>-0.26763945326930183</v>
      </c>
      <c r="AF67" s="1">
        <f>'Asset Prices'!AF67/'Asset Prices'!AF68-1</f>
        <v>-0.40148239654107487</v>
      </c>
      <c r="AG67" s="1">
        <f>'Asset Prices'!AG67/'Asset Prices'!AG68-1</f>
        <v>-0.14502822405557969</v>
      </c>
      <c r="AH67" s="1">
        <f>'Asset Prices'!AH67/'Asset Prices'!AH68-1</f>
        <v>-0.20960187353629967</v>
      </c>
      <c r="AI67" s="1">
        <f>'Asset Prices'!AI67/'Asset Prices'!AI68-1</f>
        <v>-0.28030919446704627</v>
      </c>
      <c r="AJ67" s="1">
        <f>'Asset Prices'!AJ67/'Asset Prices'!AJ68-1</f>
        <v>-3.0808729139923052E-2</v>
      </c>
      <c r="AK67" s="1">
        <f>'Asset Prices'!AK67/'Asset Prices'!AK68-1</f>
        <v>-0.17099567099567092</v>
      </c>
      <c r="AL67" s="1">
        <f>'Asset Prices'!AL67/'Asset Prices'!AL68-1</f>
        <v>-0.24025503550210126</v>
      </c>
      <c r="AM67" s="1">
        <f>'Asset Prices'!AM67/'Asset Prices'!AM68-1</f>
        <v>-0.20640679274411433</v>
      </c>
      <c r="AN67" s="1">
        <f>'Asset Prices'!AN67/'Asset Prices'!AN68-1</f>
        <v>-0.18644514767932485</v>
      </c>
      <c r="AO67" s="1">
        <f>'Asset Prices'!AO67/'Asset Prices'!AO68-1</f>
        <v>-0.10426871938418469</v>
      </c>
      <c r="AP67" s="1">
        <f>'Asset Prices'!AP67/'Asset Prices'!AP68-1</f>
        <v>-0.17139499748195397</v>
      </c>
      <c r="AQ67" s="1">
        <f>'Asset Prices'!AQ67/'Asset Prices'!AQ68-1</f>
        <v>-0.25656637168141594</v>
      </c>
      <c r="AR67" s="1">
        <f>'Asset Prices'!AR67/'Asset Prices'!AR68-1</f>
        <v>-0.14669738863287252</v>
      </c>
      <c r="AS67" s="1">
        <f>'Asset Prices'!AS67/'Asset Prices'!AS68-1</f>
        <v>-0.17280099812850913</v>
      </c>
      <c r="AT67" s="1">
        <f>'Asset Prices'!AT67/'Asset Prices'!AT68-1</f>
        <v>-0.35683665927568375</v>
      </c>
      <c r="AU67" s="1">
        <f>'Asset Prices'!AU67/'Asset Prices'!AU68-1</f>
        <v>-9.6542967149995884E-2</v>
      </c>
      <c r="AV67" s="1">
        <f>'Asset Prices'!AV67/'Asset Prices'!AV68-1</f>
        <v>-9.796127708680602E-2</v>
      </c>
      <c r="AW67" s="1">
        <f>'Asset Prices'!AW67/'Asset Prices'!AW68-1</f>
        <v>-0.31984694962091686</v>
      </c>
      <c r="AX67" s="1">
        <f>'Asset Prices'!AX67/'Asset Prices'!AX68-1</f>
        <v>-0.31185743660041132</v>
      </c>
      <c r="AY67" s="1">
        <f>'Asset Prices'!AY67/'Asset Prices'!AY68-1</f>
        <v>-0.23661214429755772</v>
      </c>
      <c r="AZ67" s="1">
        <f>'Asset Prices'!AZ67/'Asset Prices'!AZ68-1</f>
        <v>-0.17500410037723468</v>
      </c>
      <c r="BA67" s="1">
        <f>'Asset Prices'!BA67/'Asset Prices'!BA68-1</f>
        <v>-0.1699823721984387</v>
      </c>
      <c r="BB67" s="1">
        <f>'Asset Prices'!BB67/'Asset Prices'!BB68-1</f>
        <v>-0.18459419125243948</v>
      </c>
      <c r="BC67" s="1">
        <f>'Asset Prices'!BC67/'Asset Prices'!BC68-1</f>
        <v>-0.16963562753036443</v>
      </c>
      <c r="BD67" s="1">
        <f>'Asset Prices'!BD67/'Asset Prices'!BD68-1</f>
        <v>-0.20024834437086092</v>
      </c>
    </row>
    <row r="68" spans="3:56" x14ac:dyDescent="0.25">
      <c r="C68" s="38">
        <f>'Asset Prices'!C68</f>
        <v>43895</v>
      </c>
      <c r="D68" s="1">
        <f>'Asset Prices'!D68/'Asset Prices'!D69-1</f>
        <v>3.8608966168546255E-2</v>
      </c>
      <c r="E68" s="1">
        <f>'Asset Prices'!E68/'Asset Prices'!E69-1</f>
        <v>-3.4395120298204018E-2</v>
      </c>
      <c r="F68" s="1">
        <f>'Asset Prices'!F68/'Asset Prices'!F69-1</f>
        <v>2.2924901185770841E-2</v>
      </c>
      <c r="G68" s="1">
        <f>'Asset Prices'!G68/'Asset Prices'!G69-1</f>
        <v>-5.4745962977550189E-2</v>
      </c>
      <c r="H68" s="1">
        <f>'Asset Prices'!H68/'Asset Prices'!H69-1</f>
        <v>-1.0545956031475567E-2</v>
      </c>
      <c r="I68" s="1">
        <f>'Asset Prices'!I68/'Asset Prices'!I69-1</f>
        <v>-2.4137022397892061E-2</v>
      </c>
      <c r="J68" s="1">
        <f>'Asset Prices'!J68/'Asset Prices'!J69-1</f>
        <v>7.0927171687628077E-2</v>
      </c>
      <c r="K68" s="1">
        <f>'Asset Prices'!K68/'Asset Prices'!K69-1</f>
        <v>2.1084752958658415E-2</v>
      </c>
      <c r="L68" s="1">
        <f>'Asset Prices'!L68/'Asset Prices'!L69-1</f>
        <v>2.8785881466735219E-3</v>
      </c>
      <c r="M68" s="1">
        <f>'Asset Prices'!M68/'Asset Prices'!M69-1</f>
        <v>5.1144266026046381E-2</v>
      </c>
      <c r="N68" s="1">
        <f>'Asset Prices'!N68/'Asset Prices'!N69-1</f>
        <v>-1.4449218601475522E-4</v>
      </c>
      <c r="O68" s="1">
        <f>'Asset Prices'!O68/'Asset Prices'!O69-1</f>
        <v>4.6327981047644018E-2</v>
      </c>
      <c r="P68" s="1">
        <f>'Asset Prices'!P68/'Asset Prices'!P69-1</f>
        <v>4.0475919389730164E-2</v>
      </c>
      <c r="Q68" s="1">
        <f>'Asset Prices'!Q68/'Asset Prices'!Q69-1</f>
        <v>3.0004018395320742E-2</v>
      </c>
      <c r="R68" s="1">
        <f>'Asset Prices'!R68/'Asset Prices'!R69-1</f>
        <v>6.7848882035466573E-2</v>
      </c>
      <c r="S68" s="1">
        <f>'Asset Prices'!S68/'Asset Prices'!S69-1</f>
        <v>2.2265246853823806E-2</v>
      </c>
      <c r="T68" s="1">
        <f>'Asset Prices'!T68/'Asset Prices'!T69-1</f>
        <v>-7.8736208625877602E-2</v>
      </c>
      <c r="U68" s="1">
        <f>'Asset Prices'!U68/'Asset Prices'!U69-1</f>
        <v>-5.9729590963546131E-2</v>
      </c>
      <c r="V68" s="1">
        <f>'Asset Prices'!V68/'Asset Prices'!V69-1</f>
        <v>2.7147166216859864E-2</v>
      </c>
      <c r="W68" s="1">
        <f>'Asset Prices'!W68/'Asset Prices'!W69-1</f>
        <v>-5.6186949304047884E-3</v>
      </c>
      <c r="X68" s="1">
        <f>'Asset Prices'!X68/'Asset Prices'!X69-1</f>
        <v>-2.9594681535492273E-2</v>
      </c>
      <c r="Y68" s="1">
        <f>'Asset Prices'!Y68/'Asset Prices'!Y69-1</f>
        <v>-6.852524305962282E-2</v>
      </c>
      <c r="Z68" s="1">
        <f>'Asset Prices'!Z68/'Asset Prices'!Z69-1</f>
        <v>0.10932088540882412</v>
      </c>
      <c r="AA68" s="1">
        <f>'Asset Prices'!AA68/'Asset Prices'!AA69-1</f>
        <v>-2.5247469691914048E-2</v>
      </c>
      <c r="AB68" s="1">
        <f>'Asset Prices'!AB68/'Asset Prices'!AB69-1</f>
        <v>7.1111111111111125E-2</v>
      </c>
      <c r="AC68" s="1">
        <f>'Asset Prices'!AC68/'Asset Prices'!AC69-1</f>
        <v>7.3473218475564872E-2</v>
      </c>
      <c r="AD68" s="1">
        <f>'Asset Prices'!AD68/'Asset Prices'!AD69-1</f>
        <v>-9.4724378371267015E-2</v>
      </c>
      <c r="AE68" s="1">
        <f>'Asset Prices'!AE68/'Asset Prices'!AE69-1</f>
        <v>9.7951733928209217E-2</v>
      </c>
      <c r="AF68" s="1">
        <f>'Asset Prices'!AF68/'Asset Prices'!AF69-1</f>
        <v>-2.1752265861027187E-2</v>
      </c>
      <c r="AG68" s="1">
        <f>'Asset Prices'!AG68/'Asset Prices'!AG69-1</f>
        <v>-0.10056629564538178</v>
      </c>
      <c r="AH68" s="1">
        <f>'Asset Prices'!AH68/'Asset Prices'!AH69-1</f>
        <v>-9.0279627163781684E-2</v>
      </c>
      <c r="AI68" s="1">
        <f>'Asset Prices'!AI68/'Asset Prices'!AI69-1</f>
        <v>-4.8270521424883972E-2</v>
      </c>
      <c r="AJ68" s="1">
        <f>'Asset Prices'!AJ68/'Asset Prices'!AJ69-1</f>
        <v>0.25040128410914919</v>
      </c>
      <c r="AK68" s="1">
        <f>'Asset Prices'!AK68/'Asset Prices'!AK69-1</f>
        <v>-0.1481253841425938</v>
      </c>
      <c r="AL68" s="1">
        <f>'Asset Prices'!AL68/'Asset Prices'!AL69-1</f>
        <v>-1.7651245551601358E-2</v>
      </c>
      <c r="AM68" s="1">
        <f>'Asset Prices'!AM68/'Asset Prices'!AM69-1</f>
        <v>-2.6744797535872555E-2</v>
      </c>
      <c r="AN68" s="1">
        <f>'Asset Prices'!AN68/'Asset Prices'!AN69-1</f>
        <v>-2.6943802925327165E-2</v>
      </c>
      <c r="AO68" s="1">
        <f>'Asset Prices'!AO68/'Asset Prices'!AO69-1</f>
        <v>3.814021067925899E-2</v>
      </c>
      <c r="AP68" s="1">
        <f>'Asset Prices'!AP68/'Asset Prices'!AP69-1</f>
        <v>-9.1483699268130048E-3</v>
      </c>
      <c r="AQ68" s="1">
        <f>'Asset Prices'!AQ68/'Asset Prices'!AQ69-1</f>
        <v>-3.826513243004015E-2</v>
      </c>
      <c r="AR68" s="1">
        <f>'Asset Prices'!AR68/'Asset Prices'!AR69-1</f>
        <v>0.119277885235332</v>
      </c>
      <c r="AS68" s="1">
        <f>'Asset Prices'!AS68/'Asset Prices'!AS69-1</f>
        <v>-0.14186295503211988</v>
      </c>
      <c r="AT68" s="1">
        <f>'Asset Prices'!AT68/'Asset Prices'!AT69-1</f>
        <v>-2.9133180252583268E-2</v>
      </c>
      <c r="AU68" s="1">
        <f>'Asset Prices'!AU68/'Asset Prices'!AU69-1</f>
        <v>5.9747002348675693E-3</v>
      </c>
      <c r="AV68" s="1">
        <f>'Asset Prices'!AV68/'Asset Prices'!AV69-1</f>
        <v>-8.5697538100820703E-2</v>
      </c>
      <c r="AW68" s="1">
        <f>'Asset Prices'!AW68/'Asset Prices'!AW69-1</f>
        <v>3.1987489337503838E-3</v>
      </c>
      <c r="AX68" s="1">
        <f>'Asset Prices'!AX68/'Asset Prices'!AX69-1</f>
        <v>8.8399850801939683E-2</v>
      </c>
      <c r="AY68" s="1">
        <f>'Asset Prices'!AY68/'Asset Prices'!AY69-1</f>
        <v>3.2146160962072123E-2</v>
      </c>
      <c r="AZ68" s="1">
        <f>'Asset Prices'!AZ68/'Asset Prices'!AZ69-1</f>
        <v>-6.6797002280873929E-3</v>
      </c>
      <c r="BA68" s="1">
        <f>'Asset Prices'!BA68/'Asset Prices'!BA69-1</f>
        <v>3.2769830949284984E-2</v>
      </c>
      <c r="BB68" s="1">
        <f>'Asset Prices'!BB68/'Asset Prices'!BB69-1</f>
        <v>1.0908668910293517E-2</v>
      </c>
      <c r="BC68" s="1">
        <f>'Asset Prices'!BC68/'Asset Prices'!BC69-1</f>
        <v>-5.6963958460598763E-2</v>
      </c>
      <c r="BD68" s="1">
        <f>'Asset Prices'!BD68/'Asset Prices'!BD69-1</f>
        <v>-4.7994325793994874E-2</v>
      </c>
    </row>
    <row r="69" spans="3:56" x14ac:dyDescent="0.25">
      <c r="C69" s="38">
        <f>'Asset Prices'!C69</f>
        <v>43888</v>
      </c>
      <c r="D69" s="1">
        <f>'Asset Prices'!D69/'Asset Prices'!D70-1</f>
        <v>-0.14868763301016785</v>
      </c>
      <c r="E69" s="1">
        <f>'Asset Prices'!E69/'Asset Prices'!E70-1</f>
        <v>-0.15907957540785067</v>
      </c>
      <c r="F69" s="1">
        <f>'Asset Prices'!F69/'Asset Prices'!F70-1</f>
        <v>-0.13635033648688188</v>
      </c>
      <c r="G69" s="1">
        <f>'Asset Prices'!G69/'Asset Prices'!G70-1</f>
        <v>-8.5209872095117989E-2</v>
      </c>
      <c r="H69" s="1">
        <f>'Asset Prices'!H69/'Asset Prices'!H70-1</f>
        <v>-9.9759000949390275E-2</v>
      </c>
      <c r="I69" s="1">
        <f>'Asset Prices'!I69/'Asset Prices'!I70-1</f>
        <v>-0.11571441886475908</v>
      </c>
      <c r="J69" s="1">
        <f>'Asset Prices'!J69/'Asset Prices'!J70-1</f>
        <v>-0.14605057758351558</v>
      </c>
      <c r="K69" s="1">
        <f>'Asset Prices'!K69/'Asset Prices'!K70-1</f>
        <v>-0.12484324926849655</v>
      </c>
      <c r="L69" s="1">
        <f>'Asset Prices'!L69/'Asset Prices'!L70-1</f>
        <v>-3.7020725388601128E-2</v>
      </c>
      <c r="M69" s="1">
        <f>'Asset Prices'!M69/'Asset Prices'!M70-1</f>
        <v>-0.1422839171456457</v>
      </c>
      <c r="N69" s="1">
        <f>'Asset Prices'!N69/'Asset Prices'!N70-1</f>
        <v>-0.13318479357148039</v>
      </c>
      <c r="O69" s="1">
        <f>'Asset Prices'!O69/'Asset Prices'!O70-1</f>
        <v>-5.0902504528136938E-2</v>
      </c>
      <c r="P69" s="1">
        <f>'Asset Prices'!P69/'Asset Prices'!P70-1</f>
        <v>-0.15685898051262359</v>
      </c>
      <c r="Q69" s="1">
        <f>'Asset Prices'!Q69/'Asset Prices'!Q70-1</f>
        <v>-0.17806158024147678</v>
      </c>
      <c r="R69" s="1">
        <f>'Asset Prices'!R69/'Asset Prices'!R70-1</f>
        <v>-8.2354605914815471E-2</v>
      </c>
      <c r="S69" s="1">
        <f>'Asset Prices'!S69/'Asset Prices'!S70-1</f>
        <v>-0.12482349618751765</v>
      </c>
      <c r="T69" s="1">
        <f>'Asset Prices'!T69/'Asset Prices'!T70-1</f>
        <v>-0.18523563061836013</v>
      </c>
      <c r="U69" s="1">
        <f>'Asset Prices'!U69/'Asset Prices'!U70-1</f>
        <v>-0.13360023724792403</v>
      </c>
      <c r="V69" s="1">
        <f>'Asset Prices'!V69/'Asset Prices'!V70-1</f>
        <v>-0.11319160917922</v>
      </c>
      <c r="W69" s="1">
        <f>'Asset Prices'!W69/'Asset Prices'!W70-1</f>
        <v>-0.14815620580876754</v>
      </c>
      <c r="X69" s="1">
        <f>'Asset Prices'!X69/'Asset Prices'!X70-1</f>
        <v>-0.18106779065683165</v>
      </c>
      <c r="Y69" s="1">
        <f>'Asset Prices'!Y69/'Asset Prices'!Y70-1</f>
        <v>-0.15617277849164768</v>
      </c>
      <c r="Z69" s="1">
        <f>'Asset Prices'!Z69/'Asset Prices'!Z70-1</f>
        <v>-0.13110035326442504</v>
      </c>
      <c r="AA69" s="1">
        <f>'Asset Prices'!AA69/'Asset Prices'!AA70-1</f>
        <v>-0.11723122238586159</v>
      </c>
      <c r="AB69" s="1">
        <f>'Asset Prices'!AB69/'Asset Prices'!AB70-1</f>
        <v>-5.9888579387186613E-2</v>
      </c>
      <c r="AC69" s="1">
        <f>'Asset Prices'!AC69/'Asset Prices'!AC70-1</f>
        <v>-0.1655758796218606</v>
      </c>
      <c r="AD69" s="1">
        <f>'Asset Prices'!AD69/'Asset Prices'!AD70-1</f>
        <v>-0.23307436182019969</v>
      </c>
      <c r="AE69" s="1">
        <f>'Asset Prices'!AE69/'Asset Prices'!AE70-1</f>
        <v>-7.6851071796311787E-2</v>
      </c>
      <c r="AF69" s="1">
        <f>'Asset Prices'!AF69/'Asset Prices'!AF70-1</f>
        <v>-0.10395235517054668</v>
      </c>
      <c r="AG69" s="1">
        <f>'Asset Prices'!AG69/'Asset Prices'!AG70-1</f>
        <v>-0.1004742666432461</v>
      </c>
      <c r="AH69" s="1">
        <f>'Asset Prices'!AH69/'Asset Prices'!AH70-1</f>
        <v>-0.13539028321436797</v>
      </c>
      <c r="AI69" s="1">
        <f>'Asset Prices'!AI69/'Asset Prices'!AI70-1</f>
        <v>-0.17688303410177408</v>
      </c>
      <c r="AJ69" s="1">
        <f>'Asset Prices'!AJ69/'Asset Prices'!AJ70-1</f>
        <v>4.8821548821548877E-2</v>
      </c>
      <c r="AK69" s="1">
        <f>'Asset Prices'!AK69/'Asset Prices'!AK70-1</f>
        <v>-0.21891502640422467</v>
      </c>
      <c r="AL69" s="1">
        <f>'Asset Prices'!AL69/'Asset Prices'!AL70-1</f>
        <v>-9.1438178996378627E-2</v>
      </c>
      <c r="AM69" s="1">
        <f>'Asset Prices'!AM69/'Asset Prices'!AM70-1</f>
        <v>-0.11975929109906092</v>
      </c>
      <c r="AN69" s="1">
        <f>'Asset Prices'!AN69/'Asset Prices'!AN70-1</f>
        <v>-0.13195527241947702</v>
      </c>
      <c r="AO69" s="1">
        <f>'Asset Prices'!AO69/'Asset Prices'!AO70-1</f>
        <v>-5.2160440695472543E-2</v>
      </c>
      <c r="AP69" s="1">
        <f>'Asset Prices'!AP69/'Asset Prices'!AP70-1</f>
        <v>-5.8713010803194021E-2</v>
      </c>
      <c r="AQ69" s="1">
        <f>'Asset Prices'!AQ69/'Asset Prices'!AQ70-1</f>
        <v>-0.15304769044461097</v>
      </c>
      <c r="AR69" s="1">
        <f>'Asset Prices'!AR69/'Asset Prices'!AR70-1</f>
        <v>-3.2640332640332614E-2</v>
      </c>
      <c r="AS69" s="1">
        <f>'Asset Prices'!AS69/'Asset Prices'!AS70-1</f>
        <v>-0.10728793309438478</v>
      </c>
      <c r="AT69" s="1">
        <f>'Asset Prices'!AT69/'Asset Prices'!AT70-1</f>
        <v>-9.1643853474123183E-2</v>
      </c>
      <c r="AU69" s="1">
        <f>'Asset Prices'!AU69/'Asset Prices'!AU70-1</f>
        <v>-4.2491911938767446E-2</v>
      </c>
      <c r="AV69" s="1">
        <f>'Asset Prices'!AV69/'Asset Prices'!AV70-1</f>
        <v>-8.4960308946578023E-2</v>
      </c>
      <c r="AW69" s="1">
        <f>'Asset Prices'!AW69/'Asset Prices'!AW70-1</f>
        <v>-9.3352237940257043E-2</v>
      </c>
      <c r="AX69" s="1">
        <f>'Asset Prices'!AX69/'Asset Prices'!AX70-1</f>
        <v>-0.1450892857142857</v>
      </c>
      <c r="AY69" s="1">
        <f>'Asset Prices'!AY69/'Asset Prices'!AY70-1</f>
        <v>-0.14798029556650238</v>
      </c>
      <c r="AZ69" s="1">
        <f>'Asset Prices'!AZ69/'Asset Prices'!AZ70-1</f>
        <v>-9.0262338817251986E-2</v>
      </c>
      <c r="BA69" s="1">
        <f>'Asset Prices'!BA69/'Asset Prices'!BA70-1</f>
        <v>-0.14536563680817971</v>
      </c>
      <c r="BB69" s="1">
        <f>'Asset Prices'!BB69/'Asset Prices'!BB70-1</f>
        <v>-9.3519882179675995E-2</v>
      </c>
      <c r="BC69" s="1">
        <f>'Asset Prices'!BC69/'Asset Prices'!BC70-1</f>
        <v>-0.19965776446861816</v>
      </c>
      <c r="BD69" s="1">
        <f>'Asset Prices'!BD69/'Asset Prices'!BD70-1</f>
        <v>-0.10369428551246729</v>
      </c>
    </row>
    <row r="70" spans="3:56" x14ac:dyDescent="0.25">
      <c r="C70" s="38">
        <f>'Asset Prices'!C70</f>
        <v>43881</v>
      </c>
      <c r="D70" s="1">
        <f>'Asset Prices'!D70/'Asset Prices'!D71-1</f>
        <v>1.9527483124397227E-2</v>
      </c>
      <c r="E70" s="1">
        <f>'Asset Prices'!E70/'Asset Prices'!E71-1</f>
        <v>-3.7615330021292248E-3</v>
      </c>
      <c r="F70" s="1">
        <f>'Asset Prices'!F70/'Asset Prices'!F71-1</f>
        <v>-8.1261487859146664E-3</v>
      </c>
      <c r="G70" s="1">
        <f>'Asset Prices'!G70/'Asset Prices'!G71-1</f>
        <v>3.6159826432833331E-3</v>
      </c>
      <c r="H70" s="1">
        <f>'Asset Prices'!H70/'Asset Prices'!H71-1</f>
        <v>-1.9968508445462274E-2</v>
      </c>
      <c r="I70" s="1">
        <f>'Asset Prices'!I70/'Asset Prices'!I71-1</f>
        <v>6.7561227362298304E-3</v>
      </c>
      <c r="J70" s="1">
        <f>'Asset Prices'!J70/'Asset Prices'!J71-1</f>
        <v>-1.4067165327669495E-2</v>
      </c>
      <c r="K70" s="1">
        <f>'Asset Prices'!K70/'Asset Prices'!K71-1</f>
        <v>1.5024164251791206E-3</v>
      </c>
      <c r="L70" s="1">
        <f>'Asset Prices'!L70/'Asset Prices'!L71-1</f>
        <v>1.2060828526481382E-2</v>
      </c>
      <c r="M70" s="1">
        <f>'Asset Prices'!M70/'Asset Prices'!M71-1</f>
        <v>3.8647868923846751E-3</v>
      </c>
      <c r="N70" s="1">
        <f>'Asset Prices'!N70/'Asset Prices'!N71-1</f>
        <v>2.3787655528315632E-3</v>
      </c>
      <c r="O70" s="1">
        <f>'Asset Prices'!O70/'Asset Prices'!O71-1</f>
        <v>4.8954999058556936E-3</v>
      </c>
      <c r="P70" s="1">
        <f>'Asset Prices'!P70/'Asset Prices'!P71-1</f>
        <v>3.5538545653362563E-2</v>
      </c>
      <c r="Q70" s="1">
        <f>'Asset Prices'!Q70/'Asset Prices'!Q71-1</f>
        <v>-1.7584349928564391E-3</v>
      </c>
      <c r="R70" s="1">
        <f>'Asset Prices'!R70/'Asset Prices'!R71-1</f>
        <v>1.2174162131194599E-2</v>
      </c>
      <c r="S70" s="1">
        <f>'Asset Prices'!S70/'Asset Prices'!S71-1</f>
        <v>-2.3980154355016658E-2</v>
      </c>
      <c r="T70" s="1">
        <f>'Asset Prices'!T70/'Asset Prices'!T71-1</f>
        <v>8.178844056707657E-4</v>
      </c>
      <c r="U70" s="1">
        <f>'Asset Prices'!U70/'Asset Prices'!U71-1</f>
        <v>-2.6980233732506242E-2</v>
      </c>
      <c r="V70" s="1">
        <f>'Asset Prices'!V70/'Asset Prices'!V71-1</f>
        <v>1.8205275229357776E-2</v>
      </c>
      <c r="W70" s="1">
        <f>'Asset Prices'!W70/'Asset Prices'!W71-1</f>
        <v>1.692477876106202E-2</v>
      </c>
      <c r="X70" s="1">
        <f>'Asset Prices'!X70/'Asset Prices'!X71-1</f>
        <v>-2.7331738981892784E-2</v>
      </c>
      <c r="Y70" s="1">
        <f>'Asset Prices'!Y70/'Asset Prices'!Y71-1</f>
        <v>9.2777334397446953E-3</v>
      </c>
      <c r="Z70" s="1">
        <f>'Asset Prices'!Z70/'Asset Prices'!Z71-1</f>
        <v>0.10880603510808062</v>
      </c>
      <c r="AA70" s="1">
        <f>'Asset Prices'!AA70/'Asset Prices'!AA71-1</f>
        <v>4.2797174157878537E-2</v>
      </c>
      <c r="AB70" s="1">
        <f>'Asset Prices'!AB70/'Asset Prices'!AB71-1</f>
        <v>3.7572254335260125E-2</v>
      </c>
      <c r="AC70" s="1">
        <f>'Asset Prices'!AC70/'Asset Prices'!AC71-1</f>
        <v>-1.4715608465608376E-2</v>
      </c>
      <c r="AD70" s="1">
        <f>'Asset Prices'!AD70/'Asset Prices'!AD71-1</f>
        <v>4.8672098190667645E-2</v>
      </c>
      <c r="AE70" s="1">
        <f>'Asset Prices'!AE70/'Asset Prices'!AE71-1</f>
        <v>5.3654206529243575E-2</v>
      </c>
      <c r="AF70" s="1">
        <f>'Asset Prices'!AF70/'Asset Prices'!AF71-1</f>
        <v>-5.1848049281314257E-2</v>
      </c>
      <c r="AG70" s="1">
        <f>'Asset Prices'!AG70/'Asset Prices'!AG71-1</f>
        <v>4.7470101195952186E-2</v>
      </c>
      <c r="AH70" s="1">
        <f>'Asset Prices'!AH70/'Asset Prices'!AH71-1</f>
        <v>-2.9930757203484593E-2</v>
      </c>
      <c r="AI70" s="1">
        <f>'Asset Prices'!AI70/'Asset Prices'!AI71-1</f>
        <v>-3.9153439153439829E-3</v>
      </c>
      <c r="AJ70" s="1">
        <f>'Asset Prices'!AJ70/'Asset Prices'!AJ71-1</f>
        <v>2.2497187851517886E-3</v>
      </c>
      <c r="AK70" s="1">
        <f>'Asset Prices'!AK70/'Asset Prices'!AK71-1</f>
        <v>-3.3858998144712493E-2</v>
      </c>
      <c r="AL70" s="1">
        <f>'Asset Prices'!AL70/'Asset Prices'!AL71-1</f>
        <v>-6.4624531472157187E-4</v>
      </c>
      <c r="AM70" s="1">
        <f>'Asset Prices'!AM70/'Asset Prices'!AM71-1</f>
        <v>-2.002462575335362E-2</v>
      </c>
      <c r="AN70" s="1">
        <f>'Asset Prices'!AN70/'Asset Prices'!AN71-1</f>
        <v>3.2473207304171803E-2</v>
      </c>
      <c r="AO70" s="1">
        <f>'Asset Prices'!AO70/'Asset Prices'!AO71-1</f>
        <v>-9.5481670929240536E-3</v>
      </c>
      <c r="AP70" s="1">
        <f>'Asset Prices'!AP70/'Asset Prices'!AP71-1</f>
        <v>8.049242424242431E-3</v>
      </c>
      <c r="AQ70" s="1">
        <f>'Asset Prices'!AQ70/'Asset Prices'!AQ71-1</f>
        <v>1.4508863277364892E-2</v>
      </c>
      <c r="AR70" s="1">
        <f>'Asset Prices'!AR70/'Asset Prices'!AR71-1</f>
        <v>9.2933424221767869E-2</v>
      </c>
      <c r="AS70" s="1">
        <f>'Asset Prices'!AS70/'Asset Prices'!AS71-1</f>
        <v>-3.3040665434380778E-2</v>
      </c>
      <c r="AT70" s="1">
        <f>'Asset Prices'!AT70/'Asset Prices'!AT71-1</f>
        <v>-1.5781370284834506E-2</v>
      </c>
      <c r="AU70" s="1">
        <f>'Asset Prices'!AU70/'Asset Prices'!AU71-1</f>
        <v>-3.4991153921760665E-3</v>
      </c>
      <c r="AV70" s="1">
        <f>'Asset Prices'!AV70/'Asset Prices'!AV71-1</f>
        <v>4.4247787610619538E-2</v>
      </c>
      <c r="AW70" s="1">
        <f>'Asset Prices'!AW70/'Asset Prices'!AW71-1</f>
        <v>2.3212107224108713E-2</v>
      </c>
      <c r="AX70" s="1">
        <f>'Asset Prices'!AX70/'Asset Prices'!AX71-1</f>
        <v>-4.7387606318347597E-2</v>
      </c>
      <c r="AY70" s="1">
        <f>'Asset Prices'!AY70/'Asset Prices'!AY71-1</f>
        <v>5.3779069767441845E-2</v>
      </c>
      <c r="AZ70" s="1">
        <f>'Asset Prices'!AZ70/'Asset Prices'!AZ71-1</f>
        <v>1.0786516853932282E-2</v>
      </c>
      <c r="BA70" s="1">
        <f>'Asset Prices'!BA70/'Asset Prices'!BA71-1</f>
        <v>2.928391672386188E-2</v>
      </c>
      <c r="BB70" s="1">
        <f>'Asset Prices'!BB70/'Asset Prices'!BB71-1</f>
        <v>2.1043771043771642E-4</v>
      </c>
      <c r="BC70" s="1">
        <f>'Asset Prices'!BC70/'Asset Prices'!BC71-1</f>
        <v>-2.0766008378216627E-2</v>
      </c>
      <c r="BD70" s="1">
        <f>'Asset Prices'!BD70/'Asset Prices'!BD71-1</f>
        <v>8.7644292432662585E-3</v>
      </c>
    </row>
    <row r="71" spans="3:56" x14ac:dyDescent="0.25">
      <c r="C71" s="38">
        <f>'Asset Prices'!C71</f>
        <v>43874</v>
      </c>
      <c r="D71" s="1">
        <f>'Asset Prices'!D71/'Asset Prices'!D72-1</f>
        <v>2.1473601260835418E-2</v>
      </c>
      <c r="E71" s="1">
        <f>'Asset Prices'!E71/'Asset Prices'!E72-1</f>
        <v>-1.2613875262788898E-2</v>
      </c>
      <c r="F71" s="1">
        <f>'Asset Prices'!F71/'Asset Prices'!F72-1</f>
        <v>3.091652538147005E-2</v>
      </c>
      <c r="G71" s="1">
        <f>'Asset Prices'!G71/'Asset Prices'!G72-1</f>
        <v>1.0966916468652999E-2</v>
      </c>
      <c r="H71" s="1">
        <f>'Asset Prices'!H71/'Asset Prices'!H72-1</f>
        <v>1.7996357012750375E-2</v>
      </c>
      <c r="I71" s="1">
        <f>'Asset Prices'!I71/'Asset Prices'!I72-1</f>
        <v>1.0860801517666552E-2</v>
      </c>
      <c r="J71" s="1">
        <f>'Asset Prices'!J71/'Asset Prices'!J72-1</f>
        <v>-1.045478306325065E-3</v>
      </c>
      <c r="K71" s="1">
        <f>'Asset Prices'!K71/'Asset Prices'!K72-1</f>
        <v>4.8599425430317478E-2</v>
      </c>
      <c r="L71" s="1">
        <f>'Asset Prices'!L71/'Asset Prices'!L72-1</f>
        <v>3.9378661943044069E-2</v>
      </c>
      <c r="M71" s="1">
        <f>'Asset Prices'!M71/'Asset Prices'!M72-1</f>
        <v>4.3565866143890908E-4</v>
      </c>
      <c r="N71" s="1">
        <f>'Asset Prices'!N71/'Asset Prices'!N72-1</f>
        <v>2.5352818824230905E-2</v>
      </c>
      <c r="O71" s="1">
        <f>'Asset Prices'!O71/'Asset Prices'!O72-1</f>
        <v>3.2331216794091011E-2</v>
      </c>
      <c r="P71" s="1">
        <f>'Asset Prices'!P71/'Asset Prices'!P72-1</f>
        <v>6.9569569569569722E-3</v>
      </c>
      <c r="Q71" s="1">
        <f>'Asset Prices'!Q71/'Asset Prices'!Q72-1</f>
        <v>2.3279352226720729E-2</v>
      </c>
      <c r="R71" s="1">
        <f>'Asset Prices'!R71/'Asset Prices'!R72-1</f>
        <v>7.5036075036074568E-3</v>
      </c>
      <c r="S71" s="1">
        <f>'Asset Prices'!S71/'Asset Prices'!S72-1</f>
        <v>5.5432372505543892E-3</v>
      </c>
      <c r="T71" s="1">
        <f>'Asset Prices'!T71/'Asset Prices'!T72-1</f>
        <v>3.4195048556968644E-3</v>
      </c>
      <c r="U71" s="1">
        <f>'Asset Prices'!U71/'Asset Prices'!U72-1</f>
        <v>-2.3031524399020897E-3</v>
      </c>
      <c r="V71" s="1">
        <f>'Asset Prices'!V71/'Asset Prices'!V72-1</f>
        <v>2.3624358033749182E-2</v>
      </c>
      <c r="W71" s="1">
        <f>'Asset Prices'!W71/'Asset Prices'!W72-1</f>
        <v>1.9855595667870096E-2</v>
      </c>
      <c r="X71" s="1">
        <f>'Asset Prices'!X71/'Asset Prices'!X72-1</f>
        <v>1.4206514206514198E-2</v>
      </c>
      <c r="Y71" s="1">
        <f>'Asset Prices'!Y71/'Asset Prices'!Y72-1</f>
        <v>7.4268567141785535E-2</v>
      </c>
      <c r="Z71" s="1">
        <f>'Asset Prices'!Z71/'Asset Prices'!Z72-1</f>
        <v>3.420855213803442E-2</v>
      </c>
      <c r="AA71" s="1">
        <f>'Asset Prices'!AA71/'Asset Prices'!AA72-1</f>
        <v>9.5938061041292544E-2</v>
      </c>
      <c r="AB71" s="1">
        <f>'Asset Prices'!AB71/'Asset Prices'!AB72-1</f>
        <v>3.1296572280178792E-2</v>
      </c>
      <c r="AC71" s="1">
        <f>'Asset Prices'!AC71/'Asset Prices'!AC72-1</f>
        <v>-5.6992547128451587E-3</v>
      </c>
      <c r="AD71" s="1">
        <f>'Asset Prices'!AD71/'Asset Prices'!AD72-1</f>
        <v>1.3838232139026019E-2</v>
      </c>
      <c r="AE71" s="1">
        <f>'Asset Prices'!AE71/'Asset Prices'!AE72-1</f>
        <v>-5.8829296989900692E-3</v>
      </c>
      <c r="AF71" s="1">
        <f>'Asset Prices'!AF71/'Asset Prices'!AF72-1</f>
        <v>-6.6602779108768551E-2</v>
      </c>
      <c r="AG71" s="1">
        <f>'Asset Prices'!AG71/'Asset Prices'!AG72-1</f>
        <v>4.1986196319018454E-2</v>
      </c>
      <c r="AH71" s="1">
        <f>'Asset Prices'!AH71/'Asset Prices'!AH72-1</f>
        <v>-2.504355400696856E-2</v>
      </c>
      <c r="AI71" s="1">
        <f>'Asset Prices'!AI71/'Asset Prices'!AI72-1</f>
        <v>1.9967620075553194E-2</v>
      </c>
      <c r="AJ71" s="1">
        <f>'Asset Prices'!AJ71/'Asset Prices'!AJ72-1</f>
        <v>6.4670658682634885E-2</v>
      </c>
      <c r="AK71" s="1">
        <f>'Asset Prices'!AK71/'Asset Prices'!AK72-1</f>
        <v>7.370517928286846E-2</v>
      </c>
      <c r="AL71" s="1">
        <f>'Asset Prices'!AL71/'Asset Prices'!AL72-1</f>
        <v>1.415650806134483E-2</v>
      </c>
      <c r="AM71" s="1">
        <f>'Asset Prices'!AM71/'Asset Prices'!AM72-1</f>
        <v>-1.5628986986476079E-2</v>
      </c>
      <c r="AN71" s="1">
        <f>'Asset Prices'!AN71/'Asset Prices'!AN72-1</f>
        <v>-3.8031524926687155E-3</v>
      </c>
      <c r="AO71" s="1">
        <f>'Asset Prices'!AO71/'Asset Prices'!AO72-1</f>
        <v>-1.3290713324360715E-2</v>
      </c>
      <c r="AP71" s="1">
        <f>'Asset Prices'!AP71/'Asset Prices'!AP72-1</f>
        <v>2.4911032028469782E-2</v>
      </c>
      <c r="AQ71" s="1">
        <f>'Asset Prices'!AQ71/'Asset Prices'!AQ72-1</f>
        <v>5.0777647999016517E-2</v>
      </c>
      <c r="AR71" s="1">
        <f>'Asset Prices'!AR71/'Asset Prices'!AR72-1</f>
        <v>-8.560486596080219E-3</v>
      </c>
      <c r="AS71" s="1">
        <f>'Asset Prices'!AS71/'Asset Prices'!AS72-1</f>
        <v>-5.2954048140043786E-2</v>
      </c>
      <c r="AT71" s="1">
        <f>'Asset Prices'!AT71/'Asset Prices'!AT72-1</f>
        <v>1.7227877838684291E-2</v>
      </c>
      <c r="AU71" s="1">
        <f>'Asset Prices'!AU71/'Asset Prices'!AU72-1</f>
        <v>8.3250743310208097E-3</v>
      </c>
      <c r="AV71" s="1">
        <f>'Asset Prices'!AV71/'Asset Prices'!AV72-1</f>
        <v>1.5123948146463562E-2</v>
      </c>
      <c r="AW71" s="1">
        <f>'Asset Prices'!AW71/'Asset Prices'!AW72-1</f>
        <v>4.3273365209315351E-2</v>
      </c>
      <c r="AX71" s="1">
        <f>'Asset Prices'!AX71/'Asset Prices'!AX72-1</f>
        <v>4.8073861827443443E-2</v>
      </c>
      <c r="AY71" s="1">
        <f>'Asset Prices'!AY71/'Asset Prices'!AY72-1</f>
        <v>3.7037037037036979E-2</v>
      </c>
      <c r="AZ71" s="1">
        <f>'Asset Prices'!AZ71/'Asset Prices'!AZ72-1</f>
        <v>-3.3868866695614286E-2</v>
      </c>
      <c r="BA71" s="1">
        <f>'Asset Prices'!BA71/'Asset Prices'!BA72-1</f>
        <v>5.605218651848265E-2</v>
      </c>
      <c r="BB71" s="1">
        <f>'Asset Prices'!BB71/'Asset Prices'!BB72-1</f>
        <v>-2.7282266526756915E-3</v>
      </c>
      <c r="BC71" s="1">
        <f>'Asset Prices'!BC71/'Asset Prices'!BC72-1</f>
        <v>-4.0529264513052832E-3</v>
      </c>
      <c r="BD71" s="1">
        <f>'Asset Prices'!BD71/'Asset Prices'!BD72-1</f>
        <v>2.9716046665199336E-2</v>
      </c>
    </row>
    <row r="72" spans="3:56" x14ac:dyDescent="0.25">
      <c r="C72" s="38">
        <f>'Asset Prices'!C72</f>
        <v>43867</v>
      </c>
      <c r="D72" s="1">
        <f>'Asset Prices'!D72/'Asset Prices'!D73-1</f>
        <v>-2.483069977426644E-2</v>
      </c>
      <c r="E72" s="1">
        <f>'Asset Prices'!E72/'Asset Prices'!E73-1</f>
        <v>3.5483636891372017E-2</v>
      </c>
      <c r="F72" s="1">
        <f>'Asset Prices'!F72/'Asset Prices'!F73-1</f>
        <v>2.1183419900193456E-2</v>
      </c>
      <c r="G72" s="1">
        <f>'Asset Prices'!G72/'Asset Prices'!G73-1</f>
        <v>2.6261489401613103E-2</v>
      </c>
      <c r="H72" s="1">
        <f>'Asset Prices'!H72/'Asset Prices'!H73-1</f>
        <v>1.3887862894289782E-2</v>
      </c>
      <c r="I72" s="1">
        <f>'Asset Prices'!I72/'Asset Prices'!I73-1</f>
        <v>6.2998138691356953E-3</v>
      </c>
      <c r="J72" s="1">
        <f>'Asset Prices'!J72/'Asset Prices'!J73-1</f>
        <v>4.1374625621390937E-3</v>
      </c>
      <c r="K72" s="1">
        <f>'Asset Prices'!K72/'Asset Prices'!K73-1</f>
        <v>9.5981140547822141E-2</v>
      </c>
      <c r="L72" s="1">
        <f>'Asset Prices'!L72/'Asset Prices'!L73-1</f>
        <v>5.5242422499568677E-2</v>
      </c>
      <c r="M72" s="1">
        <f>'Asset Prices'!M72/'Asset Prices'!M73-1</f>
        <v>6.2796619979164303E-2</v>
      </c>
      <c r="N72" s="1">
        <f>'Asset Prices'!N72/'Asset Prices'!N73-1</f>
        <v>1.4935533780299215E-2</v>
      </c>
      <c r="O72" s="1">
        <f>'Asset Prices'!O72/'Asset Prices'!O73-1</f>
        <v>-2.4029341090173184E-2</v>
      </c>
      <c r="P72" s="1">
        <f>'Asset Prices'!P72/'Asset Prices'!P73-1</f>
        <v>4.7224697311179842E-2</v>
      </c>
      <c r="Q72" s="1">
        <f>'Asset Prices'!Q72/'Asset Prices'!Q73-1</f>
        <v>1.4720985963711186E-2</v>
      </c>
      <c r="R72" s="1">
        <f>'Asset Prices'!R72/'Asset Prices'!R73-1</f>
        <v>7.8534031413610705E-3</v>
      </c>
      <c r="S72" s="1">
        <f>'Asset Prices'!S72/'Asset Prices'!S73-1</f>
        <v>-1.0693720866465584E-2</v>
      </c>
      <c r="T72" s="1">
        <f>'Asset Prices'!T72/'Asset Prices'!T73-1</f>
        <v>2.0305631149256875E-2</v>
      </c>
      <c r="U72" s="1">
        <f>'Asset Prices'!U72/'Asset Prices'!U73-1</f>
        <v>4.9395770392749228E-2</v>
      </c>
      <c r="V72" s="1">
        <f>'Asset Prices'!V72/'Asset Prices'!V73-1</f>
        <v>1.3232233125185955E-2</v>
      </c>
      <c r="W72" s="1">
        <f>'Asset Prices'!W72/'Asset Prices'!W73-1</f>
        <v>1.7680826636050639E-2</v>
      </c>
      <c r="X72" s="1">
        <f>'Asset Prices'!X72/'Asset Prices'!X73-1</f>
        <v>3.3852767329392908E-2</v>
      </c>
      <c r="Y72" s="1">
        <f>'Asset Prices'!Y72/'Asset Prices'!Y73-1</f>
        <v>-2.1189552082240715E-2</v>
      </c>
      <c r="Z72" s="1">
        <f>'Asset Prices'!Z72/'Asset Prices'!Z73-1</f>
        <v>1.2764017626500479E-2</v>
      </c>
      <c r="AA72" s="1">
        <f>'Asset Prices'!AA72/'Asset Prices'!AA73-1</f>
        <v>1.4571948998178597E-2</v>
      </c>
      <c r="AB72" s="1">
        <f>'Asset Prices'!AB72/'Asset Prices'!AB73-1</f>
        <v>0.10361842105263164</v>
      </c>
      <c r="AC72" s="1">
        <f>'Asset Prices'!AC72/'Asset Prices'!AC73-1</f>
        <v>-5.1248500708755973E-3</v>
      </c>
      <c r="AD72" s="1">
        <f>'Asset Prices'!AD72/'Asset Prices'!AD73-1</f>
        <v>3.6699288256227813E-2</v>
      </c>
      <c r="AE72" s="1">
        <f>'Asset Prices'!AE72/'Asset Prices'!AE73-1</f>
        <v>3.4906139015728144E-2</v>
      </c>
      <c r="AF72" s="1">
        <f>'Asset Prices'!AF72/'Asset Prices'!AF73-1</f>
        <v>3.4705007436787172E-2</v>
      </c>
      <c r="AG72" s="1">
        <f>'Asset Prices'!AG72/'Asset Prices'!AG73-1</f>
        <v>-5.7973631930648417E-2</v>
      </c>
      <c r="AH72" s="1">
        <f>'Asset Prices'!AH72/'Asset Prices'!AH73-1</f>
        <v>1.0785824345146411E-2</v>
      </c>
      <c r="AI72" s="1">
        <f>'Asset Prices'!AI72/'Asset Prices'!AI73-1</f>
        <v>-7.2859744990891873E-3</v>
      </c>
      <c r="AJ72" s="1">
        <f>'Asset Prices'!AJ72/'Asset Prices'!AJ73-1</f>
        <v>3.7267080745341463E-2</v>
      </c>
      <c r="AK72" s="1">
        <f>'Asset Prices'!AK72/'Asset Prices'!AK73-1</f>
        <v>-5.9405940594059459E-3</v>
      </c>
      <c r="AL72" s="1">
        <f>'Asset Prices'!AL72/'Asset Prices'!AL73-1</f>
        <v>-4.9563062475543873E-3</v>
      </c>
      <c r="AM72" s="1">
        <f>'Asset Prices'!AM72/'Asset Prices'!AM73-1</f>
        <v>0.14615778313957728</v>
      </c>
      <c r="AN72" s="1">
        <f>'Asset Prices'!AN72/'Asset Prices'!AN73-1</f>
        <v>2.0623860075761113E-2</v>
      </c>
      <c r="AO72" s="1">
        <f>'Asset Prices'!AO72/'Asset Prices'!AO73-1</f>
        <v>1.3477088948787852E-3</v>
      </c>
      <c r="AP72" s="1">
        <f>'Asset Prices'!AP72/'Asset Prices'!AP73-1</f>
        <v>2.1818181818181737E-2</v>
      </c>
      <c r="AQ72" s="1">
        <f>'Asset Prices'!AQ72/'Asset Prices'!AQ73-1</f>
        <v>2.5080345327367803E-2</v>
      </c>
      <c r="AR72" s="1">
        <f>'Asset Prices'!AR72/'Asset Prices'!AR73-1</f>
        <v>-1.2897487213697989E-2</v>
      </c>
      <c r="AS72" s="1">
        <f>'Asset Prices'!AS72/'Asset Prices'!AS73-1</f>
        <v>4.242700729927007E-2</v>
      </c>
      <c r="AT72" s="1">
        <f>'Asset Prices'!AT72/'Asset Prices'!AT73-1</f>
        <v>-7.5084500241429208E-2</v>
      </c>
      <c r="AU72" s="1">
        <f>'Asset Prices'!AU72/'Asset Prices'!AU73-1</f>
        <v>-0.10279210385914983</v>
      </c>
      <c r="AV72" s="1">
        <f>'Asset Prices'!AV72/'Asset Prices'!AV73-1</f>
        <v>3.7666932998516867E-3</v>
      </c>
      <c r="AW72" s="1">
        <f>'Asset Prices'!AW72/'Asset Prices'!AW73-1</f>
        <v>-0.1072108592838279</v>
      </c>
      <c r="AX72" s="1">
        <f>'Asset Prices'!AX72/'Asset Prices'!AX73-1</f>
        <v>-4.2378048780487676E-2</v>
      </c>
      <c r="AY72" s="1">
        <f>'Asset Prices'!AY72/'Asset Prices'!AY73-1</f>
        <v>8.5553997194950826E-2</v>
      </c>
      <c r="AZ72" s="1">
        <f>'Asset Prices'!AZ72/'Asset Prices'!AZ73-1</f>
        <v>-2.8133352088901331E-2</v>
      </c>
      <c r="BA72" s="1">
        <f>'Asset Prices'!BA72/'Asset Prices'!BA73-1</f>
        <v>1.5456329735034302E-2</v>
      </c>
      <c r="BB72" s="1">
        <f>'Asset Prices'!BB72/'Asset Prices'!BB73-1</f>
        <v>-1.3048881524440836E-2</v>
      </c>
      <c r="BC72" s="1">
        <f>'Asset Prices'!BC72/'Asset Prices'!BC73-1</f>
        <v>-1.1488835208861015E-2</v>
      </c>
      <c r="BD72" s="1">
        <f>'Asset Prices'!BD72/'Asset Prices'!BD73-1</f>
        <v>3.6347045852026527E-2</v>
      </c>
    </row>
    <row r="73" spans="3:56" x14ac:dyDescent="0.25">
      <c r="C73" s="38">
        <f>'Asset Prices'!C73</f>
        <v>43860</v>
      </c>
      <c r="D73" s="1">
        <f>'Asset Prices'!D73/'Asset Prices'!D74-1</f>
        <v>8.1832268061203806E-3</v>
      </c>
      <c r="E73" s="1">
        <f>'Asset Prices'!E73/'Asset Prices'!E74-1</f>
        <v>-3.087201125175798E-2</v>
      </c>
      <c r="F73" s="1">
        <f>'Asset Prices'!F73/'Asset Prices'!F74-1</f>
        <v>-4.6884100174723331E-2</v>
      </c>
      <c r="G73" s="1">
        <f>'Asset Prices'!G73/'Asset Prices'!G74-1</f>
        <v>-3.0374681702437178E-2</v>
      </c>
      <c r="H73" s="1">
        <f>'Asset Prices'!H73/'Asset Prices'!H74-1</f>
        <v>-5.1698774080560339E-2</v>
      </c>
      <c r="I73" s="1">
        <f>'Asset Prices'!I73/'Asset Prices'!I74-1</f>
        <v>-4.6550782672005742E-2</v>
      </c>
      <c r="J73" s="1">
        <f>'Asset Prices'!J73/'Asset Prices'!J74-1</f>
        <v>1.4534974783071641E-2</v>
      </c>
      <c r="K73" s="1">
        <f>'Asset Prices'!K73/'Asset Prices'!K74-1</f>
        <v>-7.3756486856487724E-3</v>
      </c>
      <c r="L73" s="1">
        <f>'Asset Prices'!L73/'Asset Prices'!L74-1</f>
        <v>-5.3203661327231311E-3</v>
      </c>
      <c r="M73" s="1">
        <f>'Asset Prices'!M73/'Asset Prices'!M74-1</f>
        <v>3.6348368522072905E-2</v>
      </c>
      <c r="N73" s="1">
        <f>'Asset Prices'!N73/'Asset Prices'!N74-1</f>
        <v>-2.0502596501626669E-2</v>
      </c>
      <c r="O73" s="1">
        <f>'Asset Prices'!O73/'Asset Prices'!O74-1</f>
        <v>2.8017941883897723E-2</v>
      </c>
      <c r="P73" s="1">
        <f>'Asset Prices'!P73/'Asset Prices'!P74-1</f>
        <v>-1.6394287776460348E-2</v>
      </c>
      <c r="Q73" s="1">
        <f>'Asset Prices'!Q73/'Asset Prices'!Q74-1</f>
        <v>-2.9138045645911714E-2</v>
      </c>
      <c r="R73" s="1">
        <f>'Asset Prices'!R73/'Asset Prices'!R74-1</f>
        <v>2.7802690582959588E-2</v>
      </c>
      <c r="S73" s="1">
        <f>'Asset Prices'!S73/'Asset Prices'!S74-1</f>
        <v>-6.5377281394716213E-3</v>
      </c>
      <c r="T73" s="1">
        <f>'Asset Prices'!T73/'Asset Prices'!T74-1</f>
        <v>-1.1382450331125837E-2</v>
      </c>
      <c r="U73" s="1">
        <f>'Asset Prices'!U73/'Asset Prices'!U74-1</f>
        <v>-4.679625629949602E-2</v>
      </c>
      <c r="V73" s="1">
        <f>'Asset Prices'!V73/'Asset Prices'!V74-1</f>
        <v>-1.4865467518943021E-4</v>
      </c>
      <c r="W73" s="1">
        <f>'Asset Prices'!W73/'Asset Prices'!W74-1</f>
        <v>-3.0282787797817901E-2</v>
      </c>
      <c r="X73" s="1">
        <f>'Asset Prices'!X73/'Asset Prices'!X74-1</f>
        <v>7.7617328519854478E-3</v>
      </c>
      <c r="Y73" s="1">
        <f>'Asset Prices'!Y73/'Asset Prices'!Y74-1</f>
        <v>2.1757770632368612E-2</v>
      </c>
      <c r="Z73" s="1">
        <f>'Asset Prices'!Z73/'Asset Prices'!Z74-1</f>
        <v>-1.3657056145676139E-3</v>
      </c>
      <c r="AA73" s="1">
        <f>'Asset Prices'!AA73/'Asset Prices'!AA74-1</f>
        <v>-1.0235414534288667E-3</v>
      </c>
      <c r="AB73" s="1">
        <f>'Asset Prices'!AB73/'Asset Prices'!AB74-1</f>
        <v>-4.8513302034428718E-2</v>
      </c>
      <c r="AC73" s="1">
        <f>'Asset Prices'!AC73/'Asset Prices'!AC74-1</f>
        <v>-0.1308344785101645</v>
      </c>
      <c r="AD73" s="1">
        <f>'Asset Prices'!AD73/'Asset Prices'!AD74-1</f>
        <v>-3.5400128727740787E-2</v>
      </c>
      <c r="AE73" s="1">
        <f>'Asset Prices'!AE73/'Asset Prices'!AE74-1</f>
        <v>-2.1263669501823124E-3</v>
      </c>
      <c r="AF73" s="1">
        <f>'Asset Prices'!AF73/'Asset Prices'!AF74-1</f>
        <v>1.102756892230583E-2</v>
      </c>
      <c r="AG73" s="1">
        <f>'Asset Prices'!AG73/'Asset Prices'!AG74-1</f>
        <v>-2.0346779900920153E-2</v>
      </c>
      <c r="AH73" s="1">
        <f>'Asset Prices'!AH73/'Asset Prices'!AH74-1</f>
        <v>-3.2580919931856966E-2</v>
      </c>
      <c r="AI73" s="1">
        <f>'Asset Prices'!AI73/'Asset Prices'!AI74-1</f>
        <v>5.9244126659856899E-2</v>
      </c>
      <c r="AJ73" s="1">
        <f>'Asset Prices'!AJ73/'Asset Prices'!AJ74-1</f>
        <v>5.9907834101382562E-2</v>
      </c>
      <c r="AK73" s="1">
        <f>'Asset Prices'!AK73/'Asset Prices'!AK74-1</f>
        <v>-4.1290934978642668E-2</v>
      </c>
      <c r="AL73" s="1">
        <f>'Asset Prices'!AL73/'Asset Prices'!AL74-1</f>
        <v>-1.3129102844638862E-2</v>
      </c>
      <c r="AM73" s="1">
        <f>'Asset Prices'!AM73/'Asset Prices'!AM74-1</f>
        <v>-4.269615734583887E-2</v>
      </c>
      <c r="AN73" s="1">
        <f>'Asset Prices'!AN73/'Asset Prices'!AN74-1</f>
        <v>-1.1053556562760081E-2</v>
      </c>
      <c r="AO73" s="1">
        <f>'Asset Prices'!AO73/'Asset Prices'!AO74-1</f>
        <v>-1.9005123120145462E-2</v>
      </c>
      <c r="AP73" s="1">
        <f>'Asset Prices'!AP73/'Asset Prices'!AP74-1</f>
        <v>-3.1224979983987211E-2</v>
      </c>
      <c r="AQ73" s="1">
        <f>'Asset Prices'!AQ73/'Asset Prices'!AQ74-1</f>
        <v>5.3852002027368062E-3</v>
      </c>
      <c r="AR73" s="1">
        <f>'Asset Prices'!AR73/'Asset Prices'!AR74-1</f>
        <v>2.9061784897025156E-2</v>
      </c>
      <c r="AS73" s="1">
        <f>'Asset Prices'!AS73/'Asset Prices'!AS74-1</f>
        <v>-9.936766034326916E-3</v>
      </c>
      <c r="AT73" s="1">
        <f>'Asset Prices'!AT73/'Asset Prices'!AT74-1</f>
        <v>-8.972365115444414E-3</v>
      </c>
      <c r="AU73" s="1">
        <f>'Asset Prices'!AU73/'Asset Prices'!AU74-1</f>
        <v>8.6822372905677181E-3</v>
      </c>
      <c r="AV73" s="1">
        <f>'Asset Prices'!AV73/'Asset Prices'!AV74-1</f>
        <v>-3.7525585626563274E-3</v>
      </c>
      <c r="AW73" s="1">
        <f>'Asset Prices'!AW73/'Asset Prices'!AW74-1</f>
        <v>3.4206765126250538E-2</v>
      </c>
      <c r="AX73" s="1">
        <f>'Asset Prices'!AX73/'Asset Prices'!AX74-1</f>
        <v>-3.0395136778116338E-3</v>
      </c>
      <c r="AY73" s="1">
        <f>'Asset Prices'!AY73/'Asset Prices'!AY74-1</f>
        <v>-2.0993701889432392E-3</v>
      </c>
      <c r="AZ73" s="1">
        <f>'Asset Prices'!AZ73/'Asset Prices'!AZ74-1</f>
        <v>-2.0124052377670565E-2</v>
      </c>
      <c r="BA73" s="1">
        <f>'Asset Prices'!BA73/'Asset Prices'!BA74-1</f>
        <v>6.6683131637441662E-3</v>
      </c>
      <c r="BB73" s="1">
        <f>'Asset Prices'!BB73/'Asset Prices'!BB74-1</f>
        <v>8.3542188805345585E-3</v>
      </c>
      <c r="BC73" s="1">
        <f>'Asset Prices'!BC73/'Asset Prices'!BC74-1</f>
        <v>-2.9004576659038994E-2</v>
      </c>
      <c r="BD73" s="1">
        <f>'Asset Prices'!BD73/'Asset Prices'!BD74-1</f>
        <v>9.0539399984652658E-3</v>
      </c>
    </row>
    <row r="74" spans="3:56" x14ac:dyDescent="0.25">
      <c r="C74" s="38">
        <f>'Asset Prices'!C74</f>
        <v>43853</v>
      </c>
      <c r="D74" s="1">
        <f>'Asset Prices'!D74/'Asset Prices'!D75-1</f>
        <v>2.7718337894998779E-2</v>
      </c>
      <c r="E74" s="1">
        <f>'Asset Prices'!E74/'Asset Prices'!E75-1</f>
        <v>-2.0121278941565679E-2</v>
      </c>
      <c r="F74" s="1">
        <f>'Asset Prices'!F74/'Asset Prices'!F75-1</f>
        <v>-3.3858953274645831E-3</v>
      </c>
      <c r="G74" s="1">
        <f>'Asset Prices'!G74/'Asset Prices'!G75-1</f>
        <v>-8.1183474652715137E-3</v>
      </c>
      <c r="H74" s="1">
        <f>'Asset Prices'!H74/'Asset Prices'!H75-1</f>
        <v>-3.4625008453371242E-2</v>
      </c>
      <c r="I74" s="1">
        <f>'Asset Prices'!I74/'Asset Prices'!I75-1</f>
        <v>-9.0634441087613649E-3</v>
      </c>
      <c r="J74" s="1">
        <f>'Asset Prices'!J74/'Asset Prices'!J75-1</f>
        <v>1.2657023220403518E-2</v>
      </c>
      <c r="K74" s="1">
        <f>'Asset Prices'!K74/'Asset Prices'!K75-1</f>
        <v>3.535789215842744E-3</v>
      </c>
      <c r="L74" s="1">
        <f>'Asset Prices'!L74/'Asset Prices'!L75-1</f>
        <v>3.2425727954639383E-2</v>
      </c>
      <c r="M74" s="1">
        <f>'Asset Prices'!M74/'Asset Prices'!M75-1</f>
        <v>3.30986339291095E-3</v>
      </c>
      <c r="N74" s="1">
        <f>'Asset Prices'!N74/'Asset Prices'!N75-1</f>
        <v>2.3811165664478384E-2</v>
      </c>
      <c r="O74" s="1">
        <f>'Asset Prices'!O74/'Asset Prices'!O75-1</f>
        <v>3.2624018258709864E-2</v>
      </c>
      <c r="P74" s="1">
        <f>'Asset Prices'!P74/'Asset Prices'!P75-1</f>
        <v>1.6294666247511191E-2</v>
      </c>
      <c r="Q74" s="1">
        <f>'Asset Prices'!Q74/'Asset Prices'!Q75-1</f>
        <v>-4.9994737396063527E-2</v>
      </c>
      <c r="R74" s="1">
        <f>'Asset Prices'!R74/'Asset Prices'!R75-1</f>
        <v>2.8755958788251545E-2</v>
      </c>
      <c r="S74" s="1">
        <f>'Asset Prices'!S74/'Asset Prices'!S75-1</f>
        <v>2.0856507230255783E-2</v>
      </c>
      <c r="T74" s="1">
        <f>'Asset Prices'!T74/'Asset Prices'!T75-1</f>
        <v>-2.7244665145618074E-2</v>
      </c>
      <c r="U74" s="1">
        <f>'Asset Prices'!U74/'Asset Prices'!U75-1</f>
        <v>-5.3814713896457755E-2</v>
      </c>
      <c r="V74" s="1">
        <f>'Asset Prices'!V74/'Asset Prices'!V75-1</f>
        <v>6.4567178351004895E-2</v>
      </c>
      <c r="W74" s="1">
        <f>'Asset Prices'!W74/'Asset Prices'!W75-1</f>
        <v>9.7807757166945564E-3</v>
      </c>
      <c r="X74" s="1">
        <f>'Asset Prices'!X74/'Asset Prices'!X75-1</f>
        <v>1.8083182640145079E-3</v>
      </c>
      <c r="Y74" s="1">
        <f>'Asset Prices'!Y74/'Asset Prices'!Y75-1</f>
        <v>6.4460924130062658E-2</v>
      </c>
      <c r="Z74" s="1">
        <f>'Asset Prices'!Z74/'Asset Prices'!Z75-1</f>
        <v>2.0439764633013446E-2</v>
      </c>
      <c r="AA74" s="1">
        <f>'Asset Prices'!AA74/'Asset Prices'!AA75-1</f>
        <v>2.3036649214659644E-2</v>
      </c>
      <c r="AB74" s="1">
        <f>'Asset Prices'!AB74/'Asset Prices'!AB75-1</f>
        <v>-6.1674008810572722E-2</v>
      </c>
      <c r="AC74" s="1">
        <f>'Asset Prices'!AC74/'Asset Prices'!AC75-1</f>
        <v>-9.3418458360717826E-3</v>
      </c>
      <c r="AD74" s="1">
        <f>'Asset Prices'!AD74/'Asset Prices'!AD75-1</f>
        <v>-2.2338751966439419E-2</v>
      </c>
      <c r="AE74" s="1">
        <f>'Asset Prices'!AE74/'Asset Prices'!AE75-1</f>
        <v>-8.5332797911855662E-3</v>
      </c>
      <c r="AF74" s="1">
        <f>'Asset Prices'!AF74/'Asset Prices'!AF75-1</f>
        <v>-9.4005449591280654E-2</v>
      </c>
      <c r="AG74" s="1">
        <f>'Asset Prices'!AG74/'Asset Prices'!AG75-1</f>
        <v>3.4407027818448066E-2</v>
      </c>
      <c r="AH74" s="1">
        <f>'Asset Prices'!AH74/'Asset Prices'!AH75-1</f>
        <v>-3.6520311858842858E-2</v>
      </c>
      <c r="AI74" s="1">
        <f>'Asset Prices'!AI74/'Asset Prices'!AI75-1</f>
        <v>6.7413162705667329E-3</v>
      </c>
      <c r="AJ74" s="1">
        <f>'Asset Prices'!AJ74/'Asset Prices'!AJ75-1</f>
        <v>-2.5032092426187424E-2</v>
      </c>
      <c r="AK74" s="1">
        <f>'Asset Prices'!AK74/'Asset Prices'!AK75-1</f>
        <v>0.10894736842105268</v>
      </c>
      <c r="AL74" s="1">
        <f>'Asset Prices'!AL74/'Asset Prices'!AL75-1</f>
        <v>1.4759665621734586E-2</v>
      </c>
      <c r="AM74" s="1">
        <f>'Asset Prices'!AM74/'Asset Prices'!AM75-1</f>
        <v>3.5439918828815919E-2</v>
      </c>
      <c r="AN74" s="1">
        <f>'Asset Prices'!AN74/'Asset Prices'!AN75-1</f>
        <v>3.2273465100735255E-2</v>
      </c>
      <c r="AO74" s="1">
        <f>'Asset Prices'!AO74/'Asset Prices'!AO75-1</f>
        <v>1.4077425842131674E-2</v>
      </c>
      <c r="AP74" s="1">
        <f>'Asset Prices'!AP74/'Asset Prices'!AP75-1</f>
        <v>-5.7315714058271405E-3</v>
      </c>
      <c r="AQ74" s="1">
        <f>'Asset Prices'!AQ74/'Asset Prices'!AQ75-1</f>
        <v>-1.5469061876247414E-2</v>
      </c>
      <c r="AR74" s="1">
        <f>'Asset Prices'!AR74/'Asset Prices'!AR75-1</f>
        <v>-2.7384755819259698E-3</v>
      </c>
      <c r="AS74" s="1">
        <f>'Asset Prices'!AS74/'Asset Prices'!AS75-1</f>
        <v>7.7378243058716656E-3</v>
      </c>
      <c r="AT74" s="1">
        <f>'Asset Prices'!AT74/'Asset Prices'!AT75-1</f>
        <v>1.125090733123657E-2</v>
      </c>
      <c r="AU74" s="1">
        <f>'Asset Prices'!AU74/'Asset Prices'!AU75-1</f>
        <v>6.7179542745694487E-3</v>
      </c>
      <c r="AV74" s="1">
        <f>'Asset Prices'!AV74/'Asset Prices'!AV75-1</f>
        <v>-3.4475186649099654E-2</v>
      </c>
      <c r="AW74" s="1">
        <f>'Asset Prices'!AW74/'Asset Prices'!AW75-1</f>
        <v>6.9790357106452428E-2</v>
      </c>
      <c r="AX74" s="1">
        <f>'Asset Prices'!AX74/'Asset Prices'!AX75-1</f>
        <v>-5.2964881980426148E-2</v>
      </c>
      <c r="AY74" s="1">
        <f>'Asset Prices'!AY74/'Asset Prices'!AY75-1</f>
        <v>3.9020843431895269E-2</v>
      </c>
      <c r="AZ74" s="1">
        <f>'Asset Prices'!AZ74/'Asset Prices'!AZ75-1</f>
        <v>-3.1375166889185513E-2</v>
      </c>
      <c r="BA74" s="1">
        <f>'Asset Prices'!BA74/'Asset Prices'!BA75-1</f>
        <v>-4.5047169811320842E-2</v>
      </c>
      <c r="BB74" s="1">
        <f>'Asset Prices'!BB74/'Asset Prices'!BB75-1</f>
        <v>1.1406844106463865E-2</v>
      </c>
      <c r="BC74" s="1">
        <f>'Asset Prices'!BC74/'Asset Prices'!BC75-1</f>
        <v>-1.5765765765765716E-2</v>
      </c>
      <c r="BD74" s="1">
        <f>'Asset Prices'!BD74/'Asset Prices'!BD75-1</f>
        <v>-9.4246408755793709E-3</v>
      </c>
    </row>
    <row r="75" spans="3:56" x14ac:dyDescent="0.25">
      <c r="C75" s="38">
        <f>'Asset Prices'!C75</f>
        <v>43846</v>
      </c>
      <c r="D75" s="1">
        <f>'Asset Prices'!D75/'Asset Prices'!D76-1</f>
        <v>3.9844760672703705E-2</v>
      </c>
      <c r="E75" s="1">
        <f>'Asset Prices'!E75/'Asset Prices'!E76-1</f>
        <v>2.0023475799211266E-3</v>
      </c>
      <c r="F75" s="1">
        <f>'Asset Prices'!F75/'Asset Prices'!F76-1</f>
        <v>1.8624359479700425E-2</v>
      </c>
      <c r="G75" s="1">
        <f>'Asset Prices'!G75/'Asset Prices'!G76-1</f>
        <v>1.9308569326958347E-2</v>
      </c>
      <c r="H75" s="1">
        <f>'Asset Prices'!H75/'Asset Prices'!H76-1</f>
        <v>3.8015070259995731E-3</v>
      </c>
      <c r="I75" s="1">
        <f>'Asset Prices'!I75/'Asset Prices'!I76-1</f>
        <v>1.5895556573522596E-2</v>
      </c>
      <c r="J75" s="1">
        <f>'Asset Prices'!J75/'Asset Prices'!J76-1</f>
        <v>1.8118399379905004E-2</v>
      </c>
      <c r="K75" s="1">
        <f>'Asset Prices'!K75/'Asset Prices'!K76-1</f>
        <v>-1.2156439862181401E-2</v>
      </c>
      <c r="L75" s="1">
        <f>'Asset Prices'!L75/'Asset Prices'!L76-1</f>
        <v>8.8184472382768497E-3</v>
      </c>
      <c r="M75" s="1">
        <f>'Asset Prices'!M75/'Asset Prices'!M76-1</f>
        <v>2.5171201184527092E-2</v>
      </c>
      <c r="N75" s="1">
        <f>'Asset Prices'!N75/'Asset Prices'!N76-1</f>
        <v>2.1390487325590568E-2</v>
      </c>
      <c r="O75" s="1">
        <f>'Asset Prices'!O75/'Asset Prices'!O76-1</f>
        <v>1.6374428600668622E-2</v>
      </c>
      <c r="P75" s="1">
        <f>'Asset Prices'!P75/'Asset Prices'!P76-1</f>
        <v>-1.4101968076863369E-2</v>
      </c>
      <c r="Q75" s="1">
        <f>'Asset Prices'!Q75/'Asset Prices'!Q76-1</f>
        <v>-3.8814325217508716E-2</v>
      </c>
      <c r="R75" s="1">
        <f>'Asset Prices'!R75/'Asset Prices'!R76-1</f>
        <v>3.9814518708026991E-2</v>
      </c>
      <c r="S75" s="1">
        <f>'Asset Prices'!S75/'Asset Prices'!S76-1</f>
        <v>1.2672486623486412E-2</v>
      </c>
      <c r="T75" s="1">
        <f>'Asset Prices'!T75/'Asset Prices'!T76-1</f>
        <v>1.7548651416865901E-2</v>
      </c>
      <c r="U75" s="1">
        <f>'Asset Prices'!U75/'Asset Prices'!U76-1</f>
        <v>2.6286353467561696E-2</v>
      </c>
      <c r="V75" s="1">
        <f>'Asset Prices'!V75/'Asset Prices'!V76-1</f>
        <v>9.5337146819206131E-2</v>
      </c>
      <c r="W75" s="1">
        <f>'Asset Prices'!W75/'Asset Prices'!W76-1</f>
        <v>-4.6995636119503414E-3</v>
      </c>
      <c r="X75" s="1">
        <f>'Asset Prices'!X75/'Asset Prices'!X76-1</f>
        <v>1.8416206261510082E-2</v>
      </c>
      <c r="Y75" s="1">
        <f>'Asset Prices'!Y75/'Asset Prices'!Y76-1</f>
        <v>-3.9978094194961677E-2</v>
      </c>
      <c r="Z75" s="1">
        <f>'Asset Prices'!Z75/'Asset Prices'!Z76-1</f>
        <v>5.7042311154758885E-2</v>
      </c>
      <c r="AA75" s="1">
        <f>'Asset Prices'!AA75/'Asset Prices'!AA76-1</f>
        <v>4.91943359375E-2</v>
      </c>
      <c r="AB75" s="1">
        <f>'Asset Prices'!AB75/'Asset Prices'!AB76-1</f>
        <v>1.6417910447761086E-2</v>
      </c>
      <c r="AC75" s="1">
        <f>'Asset Prices'!AC75/'Asset Prices'!AC76-1</f>
        <v>-2.3068103645952798E-2</v>
      </c>
      <c r="AD75" s="1">
        <f>'Asset Prices'!AD75/'Asset Prices'!AD76-1</f>
        <v>0.21125508130081294</v>
      </c>
      <c r="AE75" s="1">
        <f>'Asset Prices'!AE75/'Asset Prices'!AE76-1</f>
        <v>2.775484936029704E-2</v>
      </c>
      <c r="AF75" s="1">
        <f>'Asset Prices'!AF75/'Asset Prices'!AF76-1</f>
        <v>4.3601895734597163E-2</v>
      </c>
      <c r="AG75" s="1">
        <f>'Asset Prices'!AG75/'Asset Prices'!AG76-1</f>
        <v>-7.1064263855831311E-2</v>
      </c>
      <c r="AH75" s="1">
        <f>'Asset Prices'!AH75/'Asset Prices'!AH76-1</f>
        <v>1.1203319502074649E-2</v>
      </c>
      <c r="AI75" s="1">
        <f>'Asset Prices'!AI75/'Asset Prices'!AI76-1</f>
        <v>2.6025791324736147E-2</v>
      </c>
      <c r="AJ75" s="1">
        <f>'Asset Prices'!AJ75/'Asset Prices'!AJ76-1</f>
        <v>-1.6414141414141437E-2</v>
      </c>
      <c r="AK75" s="1">
        <f>'Asset Prices'!AK75/'Asset Prices'!AK76-1</f>
        <v>1.5499732763228247E-2</v>
      </c>
      <c r="AL75" s="1">
        <f>'Asset Prices'!AL75/'Asset Prices'!AL76-1</f>
        <v>5.5161544523247841E-3</v>
      </c>
      <c r="AM75" s="1">
        <f>'Asset Prices'!AM75/'Asset Prices'!AM76-1</f>
        <v>9.0683048120518972E-3</v>
      </c>
      <c r="AN75" s="1">
        <f>'Asset Prices'!AN75/'Asset Prices'!AN76-1</f>
        <v>-1.0253744743183746E-2</v>
      </c>
      <c r="AO75" s="1">
        <f>'Asset Prices'!AO75/'Asset Prices'!AO76-1</f>
        <v>1.3933729821580254E-2</v>
      </c>
      <c r="AP75" s="1">
        <f>'Asset Prices'!AP75/'Asset Prices'!AP76-1</f>
        <v>2.7139208173692086E-3</v>
      </c>
      <c r="AQ75" s="1">
        <f>'Asset Prices'!AQ75/'Asset Prices'!AQ76-1</f>
        <v>3.7535594097851233E-2</v>
      </c>
      <c r="AR75" s="1">
        <f>'Asset Prices'!AR75/'Asset Prices'!AR76-1</f>
        <v>5.1848295727316529E-2</v>
      </c>
      <c r="AS75" s="1">
        <f>'Asset Prices'!AS75/'Asset Prices'!AS76-1</f>
        <v>4.9689440993788692E-2</v>
      </c>
      <c r="AT75" s="1">
        <f>'Asset Prices'!AT75/'Asset Prices'!AT76-1</f>
        <v>-2.327779747134584E-2</v>
      </c>
      <c r="AU75" s="1">
        <f>'Asset Prices'!AU75/'Asset Prices'!AU76-1</f>
        <v>1.217372230752356E-2</v>
      </c>
      <c r="AV75" s="1">
        <f>'Asset Prices'!AV75/'Asset Prices'!AV76-1</f>
        <v>2.1963540522729197E-4</v>
      </c>
      <c r="AW75" s="1">
        <f>'Asset Prices'!AW75/'Asset Prices'!AW76-1</f>
        <v>3.1616951172491081E-2</v>
      </c>
      <c r="AX75" s="1">
        <f>'Asset Prices'!AX75/'Asset Prices'!AX76-1</f>
        <v>2.5989367985824074E-2</v>
      </c>
      <c r="AY75" s="1">
        <f>'Asset Prices'!AY75/'Asset Prices'!AY76-1</f>
        <v>2.5093167701863317E-2</v>
      </c>
      <c r="AZ75" s="1">
        <f>'Asset Prices'!AZ75/'Asset Prices'!AZ76-1</f>
        <v>-1.2003693444136765E-2</v>
      </c>
      <c r="BA75" s="1">
        <f>'Asset Prices'!BA75/'Asset Prices'!BA76-1</f>
        <v>3.9980377728722205E-2</v>
      </c>
      <c r="BB75" s="1">
        <f>'Asset Prices'!BB75/'Asset Prices'!BB76-1</f>
        <v>4.3650793650793718E-2</v>
      </c>
      <c r="BC75" s="1">
        <f>'Asset Prices'!BC75/'Asset Prices'!BC76-1</f>
        <v>1.4045906132237107E-2</v>
      </c>
      <c r="BD75" s="1">
        <f>'Asset Prices'!BD75/'Asset Prices'!BD76-1</f>
        <v>-2.2801544860368339E-2</v>
      </c>
    </row>
    <row r="76" spans="3:56" x14ac:dyDescent="0.25">
      <c r="C76" s="38">
        <f>'Asset Prices'!C76</f>
        <v>43839</v>
      </c>
      <c r="D76" s="1">
        <f>'Asset Prices'!D76/'Asset Prices'!D77-1</f>
        <v>1.1144830473001299E-2</v>
      </c>
      <c r="E76" s="1">
        <f>'Asset Prices'!E76/'Asset Prices'!E77-1</f>
        <v>-2.2739541160593624E-2</v>
      </c>
      <c r="F76" s="1">
        <f>'Asset Prices'!F76/'Asset Prices'!F77-1</f>
        <v>-7.0450097847357673E-3</v>
      </c>
      <c r="G76" s="1">
        <f>'Asset Prices'!G76/'Asset Prices'!G77-1</f>
        <v>7.9703429101019019E-3</v>
      </c>
      <c r="H76" s="1">
        <f>'Asset Prices'!H76/'Asset Prices'!H77-1</f>
        <v>-2.1391084833587981E-2</v>
      </c>
      <c r="I76" s="1">
        <f>'Asset Prices'!I76/'Asset Prices'!I77-1</f>
        <v>4.0613976546858721E-2</v>
      </c>
      <c r="J76" s="1">
        <f>'Asset Prices'!J76/'Asset Prices'!J77-1</f>
        <v>3.0897286499084409E-2</v>
      </c>
      <c r="K76" s="1">
        <f>'Asset Prices'!K76/'Asset Prices'!K77-1</f>
        <v>1.6016775464828825E-3</v>
      </c>
      <c r="L76" s="1">
        <f>'Asset Prices'!L76/'Asset Prices'!L77-1</f>
        <v>1.7737485218762394E-2</v>
      </c>
      <c r="M76" s="1">
        <f>'Asset Prices'!M76/'Asset Prices'!M77-1</f>
        <v>9.15203586103841E-3</v>
      </c>
      <c r="N76" s="1">
        <f>'Asset Prices'!N76/'Asset Prices'!N77-1</f>
        <v>3.734254902533829E-2</v>
      </c>
      <c r="O76" s="1">
        <f>'Asset Prices'!O76/'Asset Prices'!O77-1</f>
        <v>1.8130036121144721E-2</v>
      </c>
      <c r="P76" s="1">
        <f>'Asset Prices'!P76/'Asset Prices'!P77-1</f>
        <v>2.8093467870419442E-2</v>
      </c>
      <c r="Q76" s="1">
        <f>'Asset Prices'!Q76/'Asset Prices'!Q77-1</f>
        <v>4.5332769317540933E-2</v>
      </c>
      <c r="R76" s="1">
        <f>'Asset Prices'!R76/'Asset Prices'!R77-1</f>
        <v>2.5649246553380856E-3</v>
      </c>
      <c r="S76" s="1">
        <f>'Asset Prices'!S76/'Asset Prices'!S77-1</f>
        <v>2.5409373235458776E-3</v>
      </c>
      <c r="T76" s="1">
        <f>'Asset Prices'!T76/'Asset Prices'!T77-1</f>
        <v>-3.3269522740775104E-2</v>
      </c>
      <c r="U76" s="1">
        <f>'Asset Prices'!U76/'Asset Prices'!U77-1</f>
        <v>1.0169491525423791E-2</v>
      </c>
      <c r="V76" s="1">
        <f>'Asset Prices'!V76/'Asset Prices'!V77-1</f>
        <v>3.3685719405124548E-2</v>
      </c>
      <c r="W76" s="1">
        <f>'Asset Prices'!W76/'Asset Prices'!W77-1</f>
        <v>2.3594090024052328E-2</v>
      </c>
      <c r="X76" s="1">
        <f>'Asset Prices'!X76/'Asset Prices'!X77-1</f>
        <v>-9.8468271334792856E-3</v>
      </c>
      <c r="Y76" s="1">
        <f>'Asset Prices'!Y76/'Asset Prices'!Y77-1</f>
        <v>7.7413264101958923E-2</v>
      </c>
      <c r="Z76" s="1">
        <f>'Asset Prices'!Z76/'Asset Prices'!Z77-1</f>
        <v>2.697932425617755E-2</v>
      </c>
      <c r="AA76" s="1">
        <f>'Asset Prices'!AA76/'Asset Prices'!AA77-1</f>
        <v>4.1676881588625925E-3</v>
      </c>
      <c r="AB76" s="1">
        <f>'Asset Prices'!AB76/'Asset Prices'!AB77-1</f>
        <v>8.9430894308943021E-2</v>
      </c>
      <c r="AC76" s="1">
        <f>'Asset Prices'!AC76/'Asset Prices'!AC77-1</f>
        <v>2.423786932218519E-2</v>
      </c>
      <c r="AD76" s="1">
        <f>'Asset Prices'!AD76/'Asset Prices'!AD77-1</f>
        <v>-2.1625652498135639E-2</v>
      </c>
      <c r="AE76" s="1">
        <f>'Asset Prices'!AE76/'Asset Prices'!AE77-1</f>
        <v>7.2598494909251965E-2</v>
      </c>
      <c r="AF76" s="1">
        <f>'Asset Prices'!AF76/'Asset Prices'!AF77-1</f>
        <v>-1.5398973401773097E-2</v>
      </c>
      <c r="AG76" s="1">
        <f>'Asset Prices'!AG76/'Asset Prices'!AG77-1</f>
        <v>-5.9030555111182159E-2</v>
      </c>
      <c r="AH76" s="1">
        <f>'Asset Prices'!AH76/'Asset Prices'!AH77-1</f>
        <v>-4.1476565740350413E-4</v>
      </c>
      <c r="AI76" s="1">
        <f>'Asset Prices'!AI76/'Asset Prices'!AI77-1</f>
        <v>-1.6601337329951504E-2</v>
      </c>
      <c r="AJ76" s="1">
        <f>'Asset Prices'!AJ76/'Asset Prices'!AJ77-1</f>
        <v>-2.7027027027027084E-2</v>
      </c>
      <c r="AK76" s="1">
        <f>'Asset Prices'!AK76/'Asset Prices'!AK77-1</f>
        <v>-9.5288512440444562E-3</v>
      </c>
      <c r="AL76" s="1">
        <f>'Asset Prices'!AL76/'Asset Prices'!AL77-1</f>
        <v>2.3662274805055228E-2</v>
      </c>
      <c r="AM76" s="1">
        <f>'Asset Prices'!AM76/'Asset Prices'!AM77-1</f>
        <v>9.7474523704033089E-3</v>
      </c>
      <c r="AN76" s="1">
        <f>'Asset Prices'!AN76/'Asset Prices'!AN77-1</f>
        <v>5.6070325492991735E-3</v>
      </c>
      <c r="AO76" s="1">
        <f>'Asset Prices'!AO76/'Asset Prices'!AO77-1</f>
        <v>-3.6036036036036001E-2</v>
      </c>
      <c r="AP76" s="1">
        <f>'Asset Prices'!AP76/'Asset Prices'!AP77-1</f>
        <v>1.5235008103727576E-2</v>
      </c>
      <c r="AQ76" s="1">
        <f>'Asset Prices'!AQ76/'Asset Prices'!AQ77-1</f>
        <v>1.6712725358599911E-2</v>
      </c>
      <c r="AR76" s="1">
        <f>'Asset Prices'!AR76/'Asset Prices'!AR77-1</f>
        <v>-3.6094400740398047E-2</v>
      </c>
      <c r="AS76" s="1">
        <f>'Asset Prices'!AS76/'Asset Prices'!AS77-1</f>
        <v>1.3559322033898313E-2</v>
      </c>
      <c r="AT76" s="1">
        <f>'Asset Prices'!AT76/'Asset Prices'!AT77-1</f>
        <v>-3.5435861091426268E-4</v>
      </c>
      <c r="AU76" s="1">
        <f>'Asset Prices'!AU76/'Asset Prices'!AU77-1</f>
        <v>3.6691861745064003E-3</v>
      </c>
      <c r="AV76" s="1">
        <f>'Asset Prices'!AV76/'Asset Prices'!AV77-1</f>
        <v>-2.9004052036681549E-2</v>
      </c>
      <c r="AW76" s="1">
        <f>'Asset Prices'!AW76/'Asset Prices'!AW77-1</f>
        <v>4.9632082413539447E-2</v>
      </c>
      <c r="AX76" s="1">
        <f>'Asset Prices'!AX76/'Asset Prices'!AX77-1</f>
        <v>8.9392133492252057E-3</v>
      </c>
      <c r="AY76" s="1">
        <f>'Asset Prices'!AY76/'Asset Prices'!AY77-1</f>
        <v>2.4173027989822016E-2</v>
      </c>
      <c r="AZ76" s="1">
        <f>'Asset Prices'!AZ76/'Asset Prices'!AZ77-1</f>
        <v>-3.0810534390181443E-2</v>
      </c>
      <c r="BA76" s="1">
        <f>'Asset Prices'!BA76/'Asset Prices'!BA77-1</f>
        <v>3.1629554655870473E-2</v>
      </c>
      <c r="BB76" s="1">
        <f>'Asset Prices'!BB76/'Asset Prices'!BB77-1</f>
        <v>-1.8500486854917342E-2</v>
      </c>
      <c r="BC76" s="1">
        <f>'Asset Prices'!BC76/'Asset Prices'!BC77-1</f>
        <v>-5.1689860834991386E-3</v>
      </c>
      <c r="BD76" s="1">
        <f>'Asset Prices'!BD76/'Asset Prices'!BD77-1</f>
        <v>1.7225747960108562E-2</v>
      </c>
    </row>
    <row r="77" spans="3:56" x14ac:dyDescent="0.25">
      <c r="C77" s="38">
        <f>'Asset Prices'!C77</f>
        <v>43832</v>
      </c>
      <c r="D77" s="1">
        <f>'Asset Prices'!D77/'Asset Prices'!D78-1</f>
        <v>1.0361598646648318E-2</v>
      </c>
      <c r="E77" s="1">
        <f>'Asset Prices'!E77/'Asset Prices'!E78-1</f>
        <v>1.7158544955387711E-2</v>
      </c>
      <c r="F77" s="1">
        <f>'Asset Prices'!F77/'Asset Prices'!F78-1</f>
        <v>1.4794955813722588E-2</v>
      </c>
      <c r="G77" s="1">
        <f>'Asset Prices'!G77/'Asset Prices'!G78-1</f>
        <v>7.0935224939332464E-3</v>
      </c>
      <c r="H77" s="1">
        <f>'Asset Prices'!H77/'Asset Prices'!H78-1</f>
        <v>1.5584941303467881E-2</v>
      </c>
      <c r="I77" s="1">
        <f>'Asset Prices'!I77/'Asset Prices'!I78-1</f>
        <v>9.5769767553781637E-3</v>
      </c>
      <c r="J77" s="1">
        <f>'Asset Prices'!J77/'Asset Prices'!J78-1</f>
        <v>3.6011175882170399E-2</v>
      </c>
      <c r="K77" s="1">
        <f>'Asset Prices'!K77/'Asset Prices'!K78-1</f>
        <v>1.5646655286632338E-2</v>
      </c>
      <c r="L77" s="1">
        <f>'Asset Prices'!L77/'Asset Prices'!L78-1</f>
        <v>-8.4778883444066588E-3</v>
      </c>
      <c r="M77" s="1">
        <f>'Asset Prices'!M77/'Asset Prices'!M78-1</f>
        <v>1.228965778029889E-2</v>
      </c>
      <c r="N77" s="1">
        <f>'Asset Prices'!N77/'Asset Prices'!N78-1</f>
        <v>4.5578985225362967E-3</v>
      </c>
      <c r="O77" s="1">
        <f>'Asset Prices'!O77/'Asset Prices'!O78-1</f>
        <v>-1.5927267755827312E-2</v>
      </c>
      <c r="P77" s="1">
        <f>'Asset Prices'!P77/'Asset Prices'!P78-1</f>
        <v>-7.1707265633237371E-3</v>
      </c>
      <c r="Q77" s="1">
        <f>'Asset Prices'!Q77/'Asset Prices'!Q78-1</f>
        <v>1.9478185869330922E-2</v>
      </c>
      <c r="R77" s="1">
        <f>'Asset Prices'!R77/'Asset Prices'!R78-1</f>
        <v>-6.5297021818760959E-3</v>
      </c>
      <c r="S77" s="1">
        <f>'Asset Prices'!S77/'Asset Prices'!S78-1</f>
        <v>-3.0959752321981782E-3</v>
      </c>
      <c r="T77" s="1">
        <f>'Asset Prices'!T77/'Asset Prices'!T78-1</f>
        <v>-1.0709854372102035E-2</v>
      </c>
      <c r="U77" s="1">
        <f>'Asset Prices'!U77/'Asset Prices'!U78-1</f>
        <v>1.2296253931941559E-2</v>
      </c>
      <c r="V77" s="1">
        <f>'Asset Prices'!V77/'Asset Prices'!V78-1</f>
        <v>-3.7486611924313351E-3</v>
      </c>
      <c r="W77" s="1">
        <f>'Asset Prices'!W77/'Asset Prices'!W78-1</f>
        <v>-6.1468412066020273E-3</v>
      </c>
      <c r="X77" s="1">
        <f>'Asset Prices'!X77/'Asset Prices'!X78-1</f>
        <v>-1.0928961748633004E-3</v>
      </c>
      <c r="Y77" s="1">
        <f>'Asset Prices'!Y77/'Asset Prices'!Y78-1</f>
        <v>-1.7735017966848288E-2</v>
      </c>
      <c r="Z77" s="1">
        <f>'Asset Prices'!Z77/'Asset Prices'!Z78-1</f>
        <v>6.7693349128448155E-3</v>
      </c>
      <c r="AA77" s="1">
        <f>'Asset Prices'!AA77/'Asset Prices'!AA78-1</f>
        <v>3.1222348628491936E-2</v>
      </c>
      <c r="AB77" s="1">
        <f>'Asset Prices'!AB77/'Asset Prices'!AB78-1</f>
        <v>-2.3034154090547987E-2</v>
      </c>
      <c r="AC77" s="1">
        <f>'Asset Prices'!AC77/'Asset Prices'!AC78-1</f>
        <v>-1.512768319763147E-2</v>
      </c>
      <c r="AD77" s="1">
        <f>'Asset Prices'!AD77/'Asset Prices'!AD78-1</f>
        <v>8.5234394585107509E-3</v>
      </c>
      <c r="AE77" s="1">
        <f>'Asset Prices'!AE77/'Asset Prices'!AE78-1</f>
        <v>-1.1378555798687184E-2</v>
      </c>
      <c r="AF77" s="1">
        <f>'Asset Prices'!AF77/'Asset Prices'!AF78-1</f>
        <v>-1.061865189289013E-2</v>
      </c>
      <c r="AG77" s="1">
        <f>'Asset Prices'!AG77/'Asset Prices'!AG78-1</f>
        <v>-5.8158806689769582E-2</v>
      </c>
      <c r="AH77" s="1">
        <f>'Asset Prices'!AH77/'Asset Prices'!AH78-1</f>
        <v>1.1113440972950306E-2</v>
      </c>
      <c r="AI77" s="1">
        <f>'Asset Prices'!AI77/'Asset Prices'!AI78-1</f>
        <v>-1.8111840615802621E-2</v>
      </c>
      <c r="AJ77" s="1">
        <f>'Asset Prices'!AJ77/'Asset Prices'!AJ78-1</f>
        <v>1.2437810945273853E-2</v>
      </c>
      <c r="AK77" s="1">
        <f>'Asset Prices'!AK77/'Asset Prices'!AK78-1</f>
        <v>-1.099476439790581E-2</v>
      </c>
      <c r="AL77" s="1">
        <f>'Asset Prices'!AL77/'Asset Prices'!AL78-1</f>
        <v>-1.2873258128732523E-2</v>
      </c>
      <c r="AM77" s="1">
        <f>'Asset Prices'!AM77/'Asset Prices'!AM78-1</f>
        <v>3.7802979764287592E-3</v>
      </c>
      <c r="AN77" s="1">
        <f>'Asset Prices'!AN77/'Asset Prices'!AN78-1</f>
        <v>3.3373063170440975E-3</v>
      </c>
      <c r="AO77" s="1">
        <f>'Asset Prices'!AO77/'Asset Prices'!AO78-1</f>
        <v>-3.9158100832109577E-3</v>
      </c>
      <c r="AP77" s="1">
        <f>'Asset Prices'!AP77/'Asset Prices'!AP78-1</f>
        <v>1.4468924695823837E-2</v>
      </c>
      <c r="AQ77" s="1">
        <f>'Asset Prices'!AQ77/'Asset Prices'!AQ78-1</f>
        <v>3.949447077409296E-4</v>
      </c>
      <c r="AR77" s="1">
        <f>'Asset Prices'!AR77/'Asset Prices'!AR78-1</f>
        <v>1.2415085500117051E-2</v>
      </c>
      <c r="AS77" s="1">
        <f>'Asset Prices'!AS77/'Asset Prices'!AS78-1</f>
        <v>5.4647599591419738E-2</v>
      </c>
      <c r="AT77" s="1">
        <f>'Asset Prices'!AT77/'Asset Prices'!AT78-1</f>
        <v>-1.0287584755669932E-2</v>
      </c>
      <c r="AU77" s="1">
        <f>'Asset Prices'!AU77/'Asset Prices'!AU78-1</f>
        <v>5.4600457463291896E-3</v>
      </c>
      <c r="AV77" s="1">
        <f>'Asset Prices'!AV77/'Asset Prices'!AV78-1</f>
        <v>1.846220677671595E-2</v>
      </c>
      <c r="AW77" s="1">
        <f>'Asset Prices'!AW77/'Asset Prices'!AW78-1</f>
        <v>1.1461744566835241E-2</v>
      </c>
      <c r="AX77" s="1">
        <f>'Asset Prices'!AX77/'Asset Prices'!AX78-1</f>
        <v>6.5986802639472764E-3</v>
      </c>
      <c r="AY77" s="1">
        <f>'Asset Prices'!AY77/'Asset Prices'!AY78-1</f>
        <v>-7.5757575757576801E-3</v>
      </c>
      <c r="AZ77" s="1">
        <f>'Asset Prices'!AZ77/'Asset Prices'!AZ78-1</f>
        <v>4.8818088386433089E-3</v>
      </c>
      <c r="BA77" s="1">
        <f>'Asset Prices'!BA77/'Asset Prices'!BA78-1</f>
        <v>4.4121532364597149E-2</v>
      </c>
      <c r="BB77" s="1">
        <f>'Asset Prices'!BB77/'Asset Prices'!BB78-1</f>
        <v>-1.1886751674951013E-3</v>
      </c>
      <c r="BC77" s="1">
        <f>'Asset Prices'!BC77/'Asset Prices'!BC78-1</f>
        <v>-1.6095679874811308E-2</v>
      </c>
      <c r="BD77" s="1">
        <f>'Asset Prices'!BD77/'Asset Prices'!BD78-1</f>
        <v>2.549004416208267E-2</v>
      </c>
    </row>
    <row r="78" spans="3:56" x14ac:dyDescent="0.25">
      <c r="C78" s="38">
        <f>'Asset Prices'!C78</f>
        <v>43825</v>
      </c>
      <c r="D78" s="1">
        <f>'Asset Prices'!D78/'Asset Prices'!D79-1</f>
        <v>1.4045244987670236E-2</v>
      </c>
      <c r="E78" s="1">
        <f>'Asset Prices'!E78/'Asset Prices'!E79-1</f>
        <v>-3.0790283954842401E-3</v>
      </c>
      <c r="F78" s="1">
        <f>'Asset Prices'!F78/'Asset Prices'!F79-1</f>
        <v>-4.3499752842314221E-3</v>
      </c>
      <c r="G78" s="1">
        <f>'Asset Prices'!G78/'Asset Prices'!G79-1</f>
        <v>6.1983471074380514E-3</v>
      </c>
      <c r="H78" s="1">
        <f>'Asset Prices'!H78/'Asset Prices'!H79-1</f>
        <v>2.2065921941801125E-2</v>
      </c>
      <c r="I78" s="1">
        <f>'Asset Prices'!I78/'Asset Prices'!I79-1</f>
        <v>8.3956129282731773E-3</v>
      </c>
      <c r="J78" s="1">
        <f>'Asset Prices'!J78/'Asset Prices'!J79-1</f>
        <v>3.5318905792443456E-2</v>
      </c>
      <c r="K78" s="1">
        <f>'Asset Prices'!K78/'Asset Prices'!K79-1</f>
        <v>4.267748342892852E-2</v>
      </c>
      <c r="L78" s="1">
        <f>'Asset Prices'!L78/'Asset Prices'!L79-1</f>
        <v>1.234121967370827E-3</v>
      </c>
      <c r="M78" s="1">
        <f>'Asset Prices'!M78/'Asset Prices'!M79-1</f>
        <v>1.9009697514610346E-2</v>
      </c>
      <c r="N78" s="1">
        <f>'Asset Prices'!N78/'Asset Prices'!N79-1</f>
        <v>4.4454601751644507E-3</v>
      </c>
      <c r="O78" s="1">
        <f>'Asset Prices'!O78/'Asset Prices'!O79-1</f>
        <v>-2.5908502079498019E-3</v>
      </c>
      <c r="P78" s="1">
        <f>'Asset Prices'!P78/'Asset Prices'!P79-1</f>
        <v>2.0665159832095492E-2</v>
      </c>
      <c r="Q78" s="1">
        <f>'Asset Prices'!Q78/'Asset Prices'!Q79-1</f>
        <v>1.6474885844748766E-2</v>
      </c>
      <c r="R78" s="1">
        <f>'Asset Prices'!R78/'Asset Prices'!R79-1</f>
        <v>-1.6601409553641422E-2</v>
      </c>
      <c r="S78" s="1">
        <f>'Asset Prices'!S78/'Asset Prices'!S79-1</f>
        <v>-5.3191489361701372E-3</v>
      </c>
      <c r="T78" s="1">
        <f>'Asset Prices'!T78/'Asset Prices'!T79-1</f>
        <v>2.0594508131165146E-2</v>
      </c>
      <c r="U78" s="1">
        <f>'Asset Prices'!U78/'Asset Prices'!U79-1</f>
        <v>1.0985834056085331E-2</v>
      </c>
      <c r="V78" s="1">
        <f>'Asset Prices'!V78/'Asset Prices'!V79-1</f>
        <v>1.4120202751629174E-2</v>
      </c>
      <c r="W78" s="1">
        <f>'Asset Prices'!W78/'Asset Prices'!W79-1</f>
        <v>-8.912454873646225E-3</v>
      </c>
      <c r="X78" s="1">
        <f>'Asset Prices'!X78/'Asset Prices'!X79-1</f>
        <v>1.5162721893491105E-2</v>
      </c>
      <c r="Y78" s="1">
        <f>'Asset Prices'!Y78/'Asset Prices'!Y79-1</f>
        <v>1.4821785672273879E-2</v>
      </c>
      <c r="Z78" s="1">
        <f>'Asset Prices'!Z78/'Asset Prices'!Z79-1</f>
        <v>2.1523035698850501E-2</v>
      </c>
      <c r="AA78" s="1">
        <f>'Asset Prices'!AA78/'Asset Prices'!AA79-1</f>
        <v>3.4388075313807498E-2</v>
      </c>
      <c r="AB78" s="1">
        <f>'Asset Prices'!AB78/'Asset Prices'!AB79-1</f>
        <v>2.3885350318471055E-3</v>
      </c>
      <c r="AC78" s="1">
        <f>'Asset Prices'!AC78/'Asset Prices'!AC79-1</f>
        <v>8.2965931863727471E-2</v>
      </c>
      <c r="AD78" s="1">
        <f>'Asset Prices'!AD78/'Asset Prices'!AD79-1</f>
        <v>2.0074159314665829E-2</v>
      </c>
      <c r="AE78" s="1">
        <f>'Asset Prices'!AE78/'Asset Prices'!AE79-1</f>
        <v>3.6281179138321962E-2</v>
      </c>
      <c r="AF78" s="1">
        <f>'Asset Prices'!AF78/'Asset Prices'!AF79-1</f>
        <v>5.1456310679611539E-2</v>
      </c>
      <c r="AG78" s="1">
        <f>'Asset Prices'!AG78/'Asset Prices'!AG79-1</f>
        <v>-3.3352752694436272E-2</v>
      </c>
      <c r="AH78" s="1">
        <f>'Asset Prices'!AH78/'Asset Prices'!AH79-1</f>
        <v>7.8191039729500478E-3</v>
      </c>
      <c r="AI78" s="1">
        <f>'Asset Prices'!AI78/'Asset Prices'!AI79-1</f>
        <v>-9.1969493046207829E-3</v>
      </c>
      <c r="AJ78" s="1">
        <f>'Asset Prices'!AJ78/'Asset Prices'!AJ79-1</f>
        <v>-2.3679417122040136E-2</v>
      </c>
      <c r="AK78" s="1">
        <f>'Asset Prices'!AK78/'Asset Prices'!AK79-1</f>
        <v>1.1116993118051921E-2</v>
      </c>
      <c r="AL78" s="1">
        <f>'Asset Prices'!AL78/'Asset Prices'!AL79-1</f>
        <v>2.6287115227458413E-2</v>
      </c>
      <c r="AM78" s="1">
        <f>'Asset Prices'!AM78/'Asset Prices'!AM79-1</f>
        <v>2.6010701545777781E-3</v>
      </c>
      <c r="AN78" s="1">
        <f>'Asset Prices'!AN78/'Asset Prices'!AN79-1</f>
        <v>8.025759323337045E-3</v>
      </c>
      <c r="AO78" s="1">
        <f>'Asset Prices'!AO78/'Asset Prices'!AO79-1</f>
        <v>8.0592105263157521E-3</v>
      </c>
      <c r="AP78" s="1">
        <f>'Asset Prices'!AP78/'Asset Prices'!AP79-1</f>
        <v>9.4605809128631702E-3</v>
      </c>
      <c r="AQ78" s="1">
        <f>'Asset Prices'!AQ78/'Asset Prices'!AQ79-1</f>
        <v>1.1855601438657271E-2</v>
      </c>
      <c r="AR78" s="1">
        <f>'Asset Prices'!AR78/'Asset Prices'!AR79-1</f>
        <v>4.4275929549902004E-2</v>
      </c>
      <c r="AS78" s="1">
        <f>'Asset Prices'!AS78/'Asset Prices'!AS79-1</f>
        <v>1.031991744066052E-2</v>
      </c>
      <c r="AT78" s="1">
        <f>'Asset Prices'!AT78/'Asset Prices'!AT79-1</f>
        <v>1.2427506213753325E-2</v>
      </c>
      <c r="AU78" s="1">
        <f>'Asset Prices'!AU78/'Asset Prices'!AU79-1</f>
        <v>1.190876171277111E-2</v>
      </c>
      <c r="AV78" s="1">
        <f>'Asset Prices'!AV78/'Asset Prices'!AV79-1</f>
        <v>-2.1715526601517876E-4</v>
      </c>
      <c r="AW78" s="1">
        <f>'Asset Prices'!AW78/'Asset Prices'!AW79-1</f>
        <v>2.6589242053789874E-2</v>
      </c>
      <c r="AX78" s="1">
        <f>'Asset Prices'!AX78/'Asset Prices'!AX79-1</f>
        <v>1.3373860182370967E-2</v>
      </c>
      <c r="AY78" s="1">
        <f>'Asset Prices'!AY78/'Asset Prices'!AY79-1</f>
        <v>-3.2720865844448888E-3</v>
      </c>
      <c r="AZ78" s="1">
        <f>'Asset Prices'!AZ78/'Asset Prices'!AZ79-1</f>
        <v>1.2863390789812357E-3</v>
      </c>
      <c r="BA78" s="1">
        <f>'Asset Prices'!BA78/'Asset Prices'!BA79-1</f>
        <v>1.0680907877169465E-2</v>
      </c>
      <c r="BB78" s="1">
        <f>'Asset Prices'!BB78/'Asset Prices'!BB79-1</f>
        <v>-2.4457094665823242E-2</v>
      </c>
      <c r="BC78" s="1">
        <f>'Asset Prices'!BC78/'Asset Prices'!BC79-1</f>
        <v>3.4770904604342068E-3</v>
      </c>
      <c r="BD78" s="1">
        <f>'Asset Prices'!BD78/'Asset Prices'!BD79-1</f>
        <v>-1.9224924012158029E-2</v>
      </c>
    </row>
    <row r="79" spans="3:56" x14ac:dyDescent="0.25">
      <c r="C79" s="38">
        <f>'Asset Prices'!C79</f>
        <v>43818</v>
      </c>
      <c r="D79" s="1">
        <f>'Asset Prices'!D79/'Asset Prices'!D80-1</f>
        <v>2.1353482260183965E-2</v>
      </c>
      <c r="E79" s="1">
        <f>'Asset Prices'!E79/'Asset Prices'!E80-1</f>
        <v>-1.0896047644829321E-2</v>
      </c>
      <c r="F79" s="1">
        <f>'Asset Prices'!F79/'Asset Prices'!F80-1</f>
        <v>3.5100286532951275E-2</v>
      </c>
      <c r="G79" s="1">
        <f>'Asset Prices'!G79/'Asset Prices'!G80-1</f>
        <v>-5.7198512484505026E-2</v>
      </c>
      <c r="H79" s="1">
        <f>'Asset Prices'!H79/'Asset Prices'!H80-1</f>
        <v>-1.1990734432483885E-2</v>
      </c>
      <c r="I79" s="1">
        <f>'Asset Prices'!I79/'Asset Prices'!I80-1</f>
        <v>4.7318932655654455E-2</v>
      </c>
      <c r="J79" s="1">
        <f>'Asset Prices'!J79/'Asset Prices'!J80-1</f>
        <v>3.1533190893686003E-2</v>
      </c>
      <c r="K79" s="1">
        <f>'Asset Prices'!K79/'Asset Prices'!K80-1</f>
        <v>1.8150005964790772E-2</v>
      </c>
      <c r="L79" s="1">
        <f>'Asset Prices'!L79/'Asset Prices'!L80-1</f>
        <v>0.1131885806192201</v>
      </c>
      <c r="M79" s="1">
        <f>'Asset Prices'!M79/'Asset Prices'!M80-1</f>
        <v>1.6118506917254027E-2</v>
      </c>
      <c r="N79" s="1">
        <f>'Asset Prices'!N79/'Asset Prices'!N80-1</f>
        <v>5.8954830959072613E-3</v>
      </c>
      <c r="O79" s="1">
        <f>'Asset Prices'!O79/'Asset Prices'!O80-1</f>
        <v>-1.0216591744994785E-3</v>
      </c>
      <c r="P79" s="1">
        <f>'Asset Prices'!P79/'Asset Prices'!P80-1</f>
        <v>3.3539128983814503E-2</v>
      </c>
      <c r="Q79" s="1">
        <f>'Asset Prices'!Q79/'Asset Prices'!Q80-1</f>
        <v>1.9970937814374645E-2</v>
      </c>
      <c r="R79" s="1">
        <f>'Asset Prices'!R79/'Asset Prices'!R80-1</f>
        <v>4.058018252933504E-2</v>
      </c>
      <c r="S79" s="1">
        <f>'Asset Prices'!S79/'Asset Prices'!S80-1</f>
        <v>6.3095238095238093E-2</v>
      </c>
      <c r="T79" s="1">
        <f>'Asset Prices'!T79/'Asset Prices'!T80-1</f>
        <v>3.4045485871812442E-2</v>
      </c>
      <c r="U79" s="1">
        <f>'Asset Prices'!U79/'Asset Prices'!U80-1</f>
        <v>6.9868995633188824E-3</v>
      </c>
      <c r="V79" s="1">
        <f>'Asset Prices'!V79/'Asset Prices'!V80-1</f>
        <v>-4.857044436789526E-2</v>
      </c>
      <c r="W79" s="1">
        <f>'Asset Prices'!W79/'Asset Prices'!W80-1</f>
        <v>3.8547158758055033E-2</v>
      </c>
      <c r="X79" s="1">
        <f>'Asset Prices'!X79/'Asset Prices'!X80-1</f>
        <v>-7.5243163883281783E-3</v>
      </c>
      <c r="Y79" s="1">
        <f>'Asset Prices'!Y79/'Asset Prices'!Y80-1</f>
        <v>-2.4779167144659886E-2</v>
      </c>
      <c r="Z79" s="1">
        <f>'Asset Prices'!Z79/'Asset Prices'!Z80-1</f>
        <v>1.6608084358523678E-2</v>
      </c>
      <c r="AA79" s="1">
        <f>'Asset Prices'!AA79/'Asset Prices'!AA80-1</f>
        <v>1.5535785420262904E-2</v>
      </c>
      <c r="AB79" s="1">
        <f>'Asset Prices'!AB79/'Asset Prices'!AB80-1</f>
        <v>1.2903225806451646E-2</v>
      </c>
      <c r="AC79" s="1">
        <f>'Asset Prices'!AC79/'Asset Prices'!AC80-1</f>
        <v>2.1965081153038746E-2</v>
      </c>
      <c r="AD79" s="1">
        <f>'Asset Prices'!AD79/'Asset Prices'!AD80-1</f>
        <v>-6.3128893148059584E-2</v>
      </c>
      <c r="AE79" s="1">
        <f>'Asset Prices'!AE79/'Asset Prices'!AE80-1</f>
        <v>-4.7393364928910442E-3</v>
      </c>
      <c r="AF79" s="1">
        <f>'Asset Prices'!AF79/'Asset Prices'!AF80-1</f>
        <v>8.6497890295358593E-2</v>
      </c>
      <c r="AG79" s="1">
        <f>'Asset Prices'!AG79/'Asset Prices'!AG80-1</f>
        <v>-1.8862532152043587E-2</v>
      </c>
      <c r="AH79" s="1">
        <f>'Asset Prices'!AH79/'Asset Prices'!AH80-1</f>
        <v>-2.4128686327077764E-2</v>
      </c>
      <c r="AI79" s="1">
        <f>'Asset Prices'!AI79/'Asset Prices'!AI80-1</f>
        <v>4.3905865823673951E-2</v>
      </c>
      <c r="AJ79" s="1">
        <f>'Asset Prices'!AJ79/'Asset Prices'!AJ80-1</f>
        <v>-2.0808561236623113E-2</v>
      </c>
      <c r="AK79" s="1">
        <f>'Asset Prices'!AK79/'Asset Prices'!AK80-1</f>
        <v>-1.5856236786470079E-3</v>
      </c>
      <c r="AL79" s="1">
        <f>'Asset Prices'!AL79/'Asset Prices'!AL80-1</f>
        <v>2.7571728481455615E-2</v>
      </c>
      <c r="AM79" s="1">
        <f>'Asset Prices'!AM79/'Asset Prices'!AM80-1</f>
        <v>-5.6163168785101636E-3</v>
      </c>
      <c r="AN79" s="1">
        <f>'Asset Prices'!AN79/'Asset Prices'!AN80-1</f>
        <v>4.1597837513140057E-2</v>
      </c>
      <c r="AO79" s="1">
        <f>'Asset Prices'!AO79/'Asset Prices'!AO80-1</f>
        <v>-6.0487166911885604E-3</v>
      </c>
      <c r="AP79" s="1">
        <f>'Asset Prices'!AP79/'Asset Prices'!AP80-1</f>
        <v>-1.0023003614853754E-2</v>
      </c>
      <c r="AQ79" s="1">
        <f>'Asset Prices'!AQ79/'Asset Prices'!AQ80-1</f>
        <v>4.5179255134006224E-2</v>
      </c>
      <c r="AR79" s="1">
        <f>'Asset Prices'!AR79/'Asset Prices'!AR80-1</f>
        <v>-5.8365758754862496E-3</v>
      </c>
      <c r="AS79" s="1">
        <f>'Asset Prices'!AS79/'Asset Prices'!AS80-1</f>
        <v>-1.5243902439024404E-2</v>
      </c>
      <c r="AT79" s="1">
        <f>'Asset Prices'!AT79/'Asset Prices'!AT80-1</f>
        <v>1.4651134862495585E-2</v>
      </c>
      <c r="AU79" s="1">
        <f>'Asset Prices'!AU79/'Asset Prices'!AU80-1</f>
        <v>9.1546112115732381E-3</v>
      </c>
      <c r="AV79" s="1">
        <f>'Asset Prices'!AV79/'Asset Prices'!AV80-1</f>
        <v>-4.8622366288493257E-3</v>
      </c>
      <c r="AW79" s="1">
        <f>'Asset Prices'!AW79/'Asset Prices'!AW80-1</f>
        <v>2.8607356177302812E-2</v>
      </c>
      <c r="AX79" s="1">
        <f>'Asset Prices'!AX79/'Asset Prices'!AX80-1</f>
        <v>6.7319461444308448E-3</v>
      </c>
      <c r="AY79" s="1">
        <f>'Asset Prices'!AY79/'Asset Prices'!AY80-1</f>
        <v>5.9466666666666557E-2</v>
      </c>
      <c r="AZ79" s="1">
        <f>'Asset Prices'!AZ79/'Asset Prices'!AZ80-1</f>
        <v>-4.4820079395569978E-3</v>
      </c>
      <c r="BA79" s="1">
        <f>'Asset Prices'!BA79/'Asset Prices'!BA80-1</f>
        <v>-1.4214266912345397E-2</v>
      </c>
      <c r="BB79" s="1">
        <f>'Asset Prices'!BB79/'Asset Prices'!BB80-1</f>
        <v>5.4000000000000048E-2</v>
      </c>
      <c r="BC79" s="1">
        <f>'Asset Prices'!BC79/'Asset Prices'!BC80-1</f>
        <v>3.8436899423446524E-2</v>
      </c>
      <c r="BD79" s="1">
        <f>'Asset Prices'!BD79/'Asset Prices'!BD80-1</f>
        <v>8.8929776142288031E-3</v>
      </c>
    </row>
    <row r="80" spans="3:56" x14ac:dyDescent="0.25">
      <c r="C80" s="38">
        <f>'Asset Prices'!C80</f>
        <v>43811</v>
      </c>
      <c r="D80" s="1">
        <f>'Asset Prices'!D80/'Asset Prices'!D81-1</f>
        <v>4.123371268349052E-3</v>
      </c>
      <c r="E80" s="1">
        <f>'Asset Prices'!E80/'Asset Prices'!E81-1</f>
        <v>2.1703743895822303E-3</v>
      </c>
      <c r="F80" s="1">
        <f>'Asset Prices'!F80/'Asset Prices'!F81-1</f>
        <v>2.0148240943731022E-2</v>
      </c>
      <c r="G80" s="1">
        <f>'Asset Prices'!G80/'Asset Prices'!G81-1</f>
        <v>3.2735918068763636E-2</v>
      </c>
      <c r="H80" s="1">
        <f>'Asset Prices'!H80/'Asset Prices'!H81-1</f>
        <v>4.0623892236795411E-2</v>
      </c>
      <c r="I80" s="1">
        <f>'Asset Prices'!I80/'Asset Prices'!I81-1</f>
        <v>-1.3091894060995202E-2</v>
      </c>
      <c r="J80" s="1">
        <f>'Asset Prices'!J80/'Asset Prices'!J81-1</f>
        <v>2.2140221402213944E-2</v>
      </c>
      <c r="K80" s="1">
        <f>'Asset Prices'!K80/'Asset Prices'!K81-1</f>
        <v>1.140489979775694E-2</v>
      </c>
      <c r="L80" s="1">
        <f>'Asset Prices'!L80/'Asset Prices'!L81-1</f>
        <v>-1.4594201941491192E-2</v>
      </c>
      <c r="M80" s="1">
        <f>'Asset Prices'!M80/'Asset Prices'!M81-1</f>
        <v>2.2076969252317724E-2</v>
      </c>
      <c r="N80" s="1">
        <f>'Asset Prices'!N80/'Asset Prices'!N81-1</f>
        <v>1.6225055766564189E-2</v>
      </c>
      <c r="O80" s="1">
        <f>'Asset Prices'!O80/'Asset Prices'!O81-1</f>
        <v>-2.1004200840168075E-2</v>
      </c>
      <c r="P80" s="1">
        <f>'Asset Prices'!P80/'Asset Prices'!P81-1</f>
        <v>-1.4633344294640027E-2</v>
      </c>
      <c r="Q80" s="1">
        <f>'Asset Prices'!Q80/'Asset Prices'!Q81-1</f>
        <v>-2.2365497395548717E-2</v>
      </c>
      <c r="R80" s="1">
        <f>'Asset Prices'!R80/'Asset Prices'!R81-1</f>
        <v>-1.2552301255230103E-2</v>
      </c>
      <c r="S80" s="1">
        <f>'Asset Prices'!S80/'Asset Prices'!S81-1</f>
        <v>-2.0979020979020935E-2</v>
      </c>
      <c r="T80" s="1">
        <f>'Asset Prices'!T80/'Asset Prices'!T81-1</f>
        <v>3.4212401995723285E-2</v>
      </c>
      <c r="U80" s="1">
        <f>'Asset Prices'!U80/'Asset Prices'!U81-1</f>
        <v>8.5822664770033086E-2</v>
      </c>
      <c r="V80" s="1">
        <f>'Asset Prices'!V80/'Asset Prices'!V81-1</f>
        <v>-2.9096989966555076E-2</v>
      </c>
      <c r="W80" s="1">
        <f>'Asset Prices'!W80/'Asset Prices'!W81-1</f>
        <v>6.2624501992031956E-2</v>
      </c>
      <c r="X80" s="1">
        <f>'Asset Prices'!X80/'Asset Prices'!X81-1</f>
        <v>-1.8728615162974971E-2</v>
      </c>
      <c r="Y80" s="1">
        <f>'Asset Prices'!Y80/'Asset Prices'!Y81-1</f>
        <v>8.7043272228457536E-2</v>
      </c>
      <c r="Z80" s="1">
        <f>'Asset Prices'!Z80/'Asset Prices'!Z81-1</f>
        <v>-8.1924350705944171E-3</v>
      </c>
      <c r="AA80" s="1">
        <f>'Asset Prices'!AA80/'Asset Prices'!AA81-1</f>
        <v>-2.5239451203727725E-2</v>
      </c>
      <c r="AB80" s="1">
        <f>'Asset Prices'!AB80/'Asset Prices'!AB81-1</f>
        <v>-6.4102564102563875E-3</v>
      </c>
      <c r="AC80" s="1">
        <f>'Asset Prices'!AC80/'Asset Prices'!AC81-1</f>
        <v>2.385196057873773E-2</v>
      </c>
      <c r="AD80" s="1">
        <f>'Asset Prices'!AD80/'Asset Prices'!AD81-1</f>
        <v>2.7193306263073813E-2</v>
      </c>
      <c r="AE80" s="1">
        <f>'Asset Prices'!AE80/'Asset Prices'!AE81-1</f>
        <v>3.358992302309316E-2</v>
      </c>
      <c r="AF80" s="1">
        <f>'Asset Prices'!AF80/'Asset Prices'!AF81-1</f>
        <v>2.2102425876010745E-2</v>
      </c>
      <c r="AG80" s="1">
        <f>'Asset Prices'!AG80/'Asset Prices'!AG81-1</f>
        <v>0.17643103303353791</v>
      </c>
      <c r="AH80" s="1">
        <f>'Asset Prices'!AH80/'Asset Prices'!AH81-1</f>
        <v>5.6196906991940798E-2</v>
      </c>
      <c r="AI80" s="1">
        <f>'Asset Prices'!AI80/'Asset Prices'!AI81-1</f>
        <v>7.4309978768576368E-3</v>
      </c>
      <c r="AJ80" s="1">
        <f>'Asset Prices'!AJ80/'Asset Prices'!AJ81-1</f>
        <v>5.9488399762064326E-4</v>
      </c>
      <c r="AK80" s="1">
        <f>'Asset Prices'!AK80/'Asset Prices'!AK81-1</f>
        <v>-1.1494252873563204E-2</v>
      </c>
      <c r="AL80" s="1">
        <f>'Asset Prices'!AL80/'Asset Prices'!AL81-1</f>
        <v>1.5419119708437456E-3</v>
      </c>
      <c r="AM80" s="1">
        <f>'Asset Prices'!AM80/'Asset Prices'!AM81-1</f>
        <v>2.5850958987188255E-2</v>
      </c>
      <c r="AN80" s="1">
        <f>'Asset Prices'!AN80/'Asset Prices'!AN81-1</f>
        <v>-1.6928300772599769E-2</v>
      </c>
      <c r="AO80" s="1">
        <f>'Asset Prices'!AO80/'Asset Prices'!AO81-1</f>
        <v>5.754685958566208E-3</v>
      </c>
      <c r="AP80" s="1">
        <f>'Asset Prices'!AP80/'Asset Prices'!AP81-1</f>
        <v>2.1655195568239138E-2</v>
      </c>
      <c r="AQ80" s="1">
        <f>'Asset Prices'!AQ80/'Asset Prices'!AQ81-1</f>
        <v>-1.7038456274804825E-2</v>
      </c>
      <c r="AR80" s="1">
        <f>'Asset Prices'!AR80/'Asset Prices'!AR81-1</f>
        <v>2.8000000000000025E-2</v>
      </c>
      <c r="AS80" s="1">
        <f>'Asset Prices'!AS80/'Asset Prices'!AS81-1</f>
        <v>4.1269841269841345E-2</v>
      </c>
      <c r="AT80" s="1">
        <f>'Asset Prices'!AT80/'Asset Prices'!AT81-1</f>
        <v>3.6157647342411892E-3</v>
      </c>
      <c r="AU80" s="1">
        <f>'Asset Prices'!AU80/'Asset Prices'!AU81-1</f>
        <v>2.5221119307867523E-2</v>
      </c>
      <c r="AV80" s="1">
        <f>'Asset Prices'!AV80/'Asset Prices'!AV81-1</f>
        <v>1.9273127753304031E-2</v>
      </c>
      <c r="AW80" s="1">
        <f>'Asset Prices'!AW80/'Asset Prices'!AW81-1</f>
        <v>-5.2321900718727776E-2</v>
      </c>
      <c r="AX80" s="1">
        <f>'Asset Prices'!AX80/'Asset Prices'!AX81-1</f>
        <v>-1.8326206475259843E-3</v>
      </c>
      <c r="AY80" s="1">
        <f>'Asset Prices'!AY80/'Asset Prices'!AY81-1</f>
        <v>-2.2928608650338744E-2</v>
      </c>
      <c r="AZ80" s="1">
        <f>'Asset Prices'!AZ80/'Asset Prices'!AZ81-1</f>
        <v>2.6014978320851423E-2</v>
      </c>
      <c r="BA80" s="1">
        <f>'Asset Prices'!BA80/'Asset Prices'!BA81-1</f>
        <v>-3.1487798478089246E-3</v>
      </c>
      <c r="BB80" s="1">
        <f>'Asset Prices'!BB80/'Asset Prices'!BB81-1</f>
        <v>1.1235955056179803E-2</v>
      </c>
      <c r="BC80" s="1">
        <f>'Asset Prices'!BC80/'Asset Prices'!BC81-1</f>
        <v>1.279933938893496E-2</v>
      </c>
      <c r="BD80" s="1">
        <f>'Asset Prices'!BD80/'Asset Prices'!BD81-1</f>
        <v>2.3004370830448373E-4</v>
      </c>
    </row>
    <row r="81" spans="3:56" x14ac:dyDescent="0.25">
      <c r="C81" s="38">
        <f>'Asset Prices'!C81</f>
        <v>43804</v>
      </c>
      <c r="D81" s="1">
        <f>'Asset Prices'!D81/'Asset Prices'!D82-1</f>
        <v>-1.345121223626411E-2</v>
      </c>
      <c r="E81" s="1">
        <f>'Asset Prices'!E81/'Asset Prices'!E82-1</f>
        <v>-2.6670187483496144E-2</v>
      </c>
      <c r="F81" s="1">
        <f>'Asset Prices'!F81/'Asset Prices'!F82-1</f>
        <v>1.7527087316762335E-2</v>
      </c>
      <c r="G81" s="1">
        <f>'Asset Prices'!G81/'Asset Prices'!G82-1</f>
        <v>-3.4092916445857657E-2</v>
      </c>
      <c r="H81" s="1">
        <f>'Asset Prices'!H81/'Asset Prices'!H82-1</f>
        <v>-3.1848445329123343E-2</v>
      </c>
      <c r="I81" s="1">
        <f>'Asset Prices'!I81/'Asset Prices'!I82-1</f>
        <v>-1.306930693069297E-2</v>
      </c>
      <c r="J81" s="1">
        <f>'Asset Prices'!J81/'Asset Prices'!J82-1</f>
        <v>-8.4378733572281206E-3</v>
      </c>
      <c r="K81" s="1">
        <f>'Asset Prices'!K81/'Asset Prices'!K82-1</f>
        <v>-4.2908754969727902E-2</v>
      </c>
      <c r="L81" s="1">
        <f>'Asset Prices'!L81/'Asset Prices'!L82-1</f>
        <v>-4.13699237172791E-2</v>
      </c>
      <c r="M81" s="1">
        <f>'Asset Prices'!M81/'Asset Prices'!M82-1</f>
        <v>-1.5690651260504063E-2</v>
      </c>
      <c r="N81" s="1">
        <f>'Asset Prices'!N81/'Asset Prices'!N82-1</f>
        <v>1.1302233772568115E-2</v>
      </c>
      <c r="O81" s="1">
        <f>'Asset Prices'!O81/'Asset Prices'!O82-1</f>
        <v>9.4911147011307317E-3</v>
      </c>
      <c r="P81" s="1">
        <f>'Asset Prices'!P81/'Asset Prices'!P82-1</f>
        <v>-1.7711978465679623E-2</v>
      </c>
      <c r="Q81" s="1">
        <f>'Asset Prices'!Q81/'Asset Prices'!Q82-1</f>
        <v>-1.820327587440107E-2</v>
      </c>
      <c r="R81" s="1">
        <f>'Asset Prices'!R81/'Asset Prices'!R82-1</f>
        <v>9.4217024041585162E-3</v>
      </c>
      <c r="S81" s="1">
        <f>'Asset Prices'!S81/'Asset Prices'!S82-1</f>
        <v>5.8309037900894367E-4</v>
      </c>
      <c r="T81" s="1">
        <f>'Asset Prices'!T81/'Asset Prices'!T82-1</f>
        <v>-7.3581434837979298E-3</v>
      </c>
      <c r="U81" s="1">
        <f>'Asset Prices'!U81/'Asset Prices'!U82-1</f>
        <v>-2.3651844843897152E-3</v>
      </c>
      <c r="V81" s="1">
        <f>'Asset Prices'!V81/'Asset Prices'!V82-1</f>
        <v>8.3682008368191063E-4</v>
      </c>
      <c r="W81" s="1">
        <f>'Asset Prices'!W81/'Asset Prices'!W82-1</f>
        <v>-5.2018825860787876E-3</v>
      </c>
      <c r="X81" s="1">
        <f>'Asset Prices'!X81/'Asset Prices'!X82-1</f>
        <v>-3.8441558441558388E-2</v>
      </c>
      <c r="Y81" s="1">
        <f>'Asset Prices'!Y81/'Asset Prices'!Y82-1</f>
        <v>-1.0122207134921624E-2</v>
      </c>
      <c r="Z81" s="1">
        <f>'Asset Prices'!Z81/'Asset Prices'!Z82-1</f>
        <v>5.1888522185551844E-2</v>
      </c>
      <c r="AA81" s="1">
        <f>'Asset Prices'!AA81/'Asset Prices'!AA82-1</f>
        <v>-1.5294417537598637E-2</v>
      </c>
      <c r="AB81" s="1">
        <f>'Asset Prices'!AB81/'Asset Prices'!AB82-1</f>
        <v>1.6051364365969878E-3</v>
      </c>
      <c r="AC81" s="1">
        <f>'Asset Prices'!AC81/'Asset Prices'!AC82-1</f>
        <v>-3.5201294760267121E-2</v>
      </c>
      <c r="AD81" s="1">
        <f>'Asset Prices'!AD81/'Asset Prices'!AD82-1</f>
        <v>-3.5599857600569607E-2</v>
      </c>
      <c r="AE81" s="1">
        <f>'Asset Prices'!AE81/'Asset Prices'!AE82-1</f>
        <v>-2.1121132549377863E-2</v>
      </c>
      <c r="AF81" s="1">
        <f>'Asset Prices'!AF81/'Asset Prices'!AF82-1</f>
        <v>-2.3684210526315752E-2</v>
      </c>
      <c r="AG81" s="1">
        <f>'Asset Prices'!AG81/'Asset Prices'!AG82-1</f>
        <v>-9.7207466990438585E-2</v>
      </c>
      <c r="AH81" s="1">
        <f>'Asset Prices'!AH81/'Asset Prices'!AH82-1</f>
        <v>4.3582479843085054E-4</v>
      </c>
      <c r="AI81" s="1">
        <f>'Asset Prices'!AI81/'Asset Prices'!AI82-1</f>
        <v>-4.3452730475631585E-3</v>
      </c>
      <c r="AJ81" s="1">
        <f>'Asset Prices'!AJ81/'Asset Prices'!AJ82-1</f>
        <v>3.1288343558282028E-2</v>
      </c>
      <c r="AK81" s="1">
        <f>'Asset Prices'!AK81/'Asset Prices'!AK82-1</f>
        <v>-6.230529595015577E-3</v>
      </c>
      <c r="AL81" s="1">
        <f>'Asset Prices'!AL81/'Asset Prices'!AL82-1</f>
        <v>2.1623943863668948E-2</v>
      </c>
      <c r="AM81" s="1">
        <f>'Asset Prices'!AM81/'Asset Prices'!AM82-1</f>
        <v>-1.390446288405478E-2</v>
      </c>
      <c r="AN81" s="1">
        <f>'Asset Prices'!AN81/'Asset Prices'!AN82-1</f>
        <v>-8.441495071728311E-3</v>
      </c>
      <c r="AO81" s="1">
        <f>'Asset Prices'!AO81/'Asset Prices'!AO82-1</f>
        <v>1.1980033277870117E-2</v>
      </c>
      <c r="AP81" s="1">
        <f>'Asset Prices'!AP81/'Asset Prices'!AP82-1</f>
        <v>-2.2962112514351318E-2</v>
      </c>
      <c r="AQ81" s="1">
        <f>'Asset Prices'!AQ81/'Asset Prices'!AQ82-1</f>
        <v>-3.2185430463576248E-2</v>
      </c>
      <c r="AR81" s="1">
        <f>'Asset Prices'!AR81/'Asset Prices'!AR82-1</f>
        <v>4.7668936616029445E-2</v>
      </c>
      <c r="AS81" s="1">
        <f>'Asset Prices'!AS81/'Asset Prices'!AS82-1</f>
        <v>6.389776357827337E-3</v>
      </c>
      <c r="AT81" s="1">
        <f>'Asset Prices'!AT81/'Asset Prices'!AT82-1</f>
        <v>2.3562792992844805E-2</v>
      </c>
      <c r="AU81" s="1">
        <f>'Asset Prices'!AU81/'Asset Prices'!AU82-1</f>
        <v>-5.7219662058369813E-3</v>
      </c>
      <c r="AV81" s="1">
        <f>'Asset Prices'!AV81/'Asset Prices'!AV82-1</f>
        <v>-2.3970762119746358E-2</v>
      </c>
      <c r="AW81" s="1">
        <f>'Asset Prices'!AW81/'Asset Prices'!AW82-1</f>
        <v>-3.9798326539369433E-2</v>
      </c>
      <c r="AX81" s="1">
        <f>'Asset Prices'!AX81/'Asset Prices'!AX82-1</f>
        <v>-3.0213270142180004E-2</v>
      </c>
      <c r="AY81" s="1">
        <f>'Asset Prices'!AY81/'Asset Prices'!AY82-1</f>
        <v>6.5565171780750386E-3</v>
      </c>
      <c r="AZ81" s="1">
        <f>'Asset Prices'!AZ81/'Asset Prices'!AZ82-1</f>
        <v>-3.6338313497087826E-2</v>
      </c>
      <c r="BA81" s="1">
        <f>'Asset Prices'!BA81/'Asset Prices'!BA82-1</f>
        <v>-0.18183769858308285</v>
      </c>
      <c r="BB81" s="1">
        <f>'Asset Prices'!BB81/'Asset Prices'!BB82-1</f>
        <v>-9.2396749415563084E-3</v>
      </c>
      <c r="BC81" s="1">
        <f>'Asset Prices'!BC81/'Asset Prices'!BC82-1</f>
        <v>-1.5161196630845253E-2</v>
      </c>
      <c r="BD81" s="1">
        <f>'Asset Prices'!BD81/'Asset Prices'!BD82-1</f>
        <v>-2.1680420105026355E-2</v>
      </c>
    </row>
    <row r="82" spans="3:56" x14ac:dyDescent="0.25">
      <c r="C82" s="38">
        <f>'Asset Prices'!C82</f>
        <v>43796</v>
      </c>
      <c r="D82" s="1">
        <f>'Asset Prices'!D82/'Asset Prices'!D83-1</f>
        <v>2.4904108066040376E-2</v>
      </c>
      <c r="E82" s="1">
        <f>'Asset Prices'!E82/'Asset Prices'!E83-1</f>
        <v>3.1177671885636471E-2</v>
      </c>
      <c r="F82" s="1">
        <f>'Asset Prices'!F82/'Asset Prices'!F83-1</f>
        <v>2.1484375E-2</v>
      </c>
      <c r="G82" s="1">
        <f>'Asset Prices'!G82/'Asset Prices'!G83-1</f>
        <v>6.7579583852037661E-3</v>
      </c>
      <c r="H82" s="1">
        <f>'Asset Prices'!H82/'Asset Prices'!H83-1</f>
        <v>1.6252790178571397E-2</v>
      </c>
      <c r="I82" s="1">
        <f>'Asset Prices'!I82/'Asset Prices'!I83-1</f>
        <v>2.0562825241246863E-2</v>
      </c>
      <c r="J82" s="1">
        <f>'Asset Prices'!J82/'Asset Prices'!J83-1</f>
        <v>2.2251059119880789E-2</v>
      </c>
      <c r="K82" s="1">
        <f>'Asset Prices'!K82/'Asset Prices'!K83-1</f>
        <v>4.8307786315868295E-2</v>
      </c>
      <c r="L82" s="1">
        <f>'Asset Prices'!L82/'Asset Prices'!L83-1</f>
        <v>1.3603259649010324E-2</v>
      </c>
      <c r="M82" s="1">
        <f>'Asset Prices'!M82/'Asset Prices'!M83-1</f>
        <v>1.8999197217018926E-2</v>
      </c>
      <c r="N82" s="1">
        <f>'Asset Prices'!N82/'Asset Prices'!N83-1</f>
        <v>9.2220837755934149E-3</v>
      </c>
      <c r="O82" s="1">
        <f>'Asset Prices'!O82/'Asset Prices'!O83-1</f>
        <v>1.3715455475946658E-2</v>
      </c>
      <c r="P82" s="1">
        <f>'Asset Prices'!P82/'Asset Prices'!P83-1</f>
        <v>-4.7152119166264939E-3</v>
      </c>
      <c r="Q82" s="1">
        <f>'Asset Prices'!Q82/'Asset Prices'!Q83-1</f>
        <v>2.7485852869846505E-2</v>
      </c>
      <c r="R82" s="1">
        <f>'Asset Prices'!R82/'Asset Prices'!R83-1</f>
        <v>-2.2690437601297075E-3</v>
      </c>
      <c r="S82" s="1">
        <f>'Asset Prices'!S82/'Asset Prices'!S83-1</f>
        <v>1.8711018711018657E-2</v>
      </c>
      <c r="T82" s="1">
        <f>'Asset Prices'!T82/'Asset Prices'!T83-1</f>
        <v>6.2866596480673831E-2</v>
      </c>
      <c r="U82" s="1">
        <f>'Asset Prices'!U82/'Asset Prices'!U83-1</f>
        <v>5.0869925434962715E-2</v>
      </c>
      <c r="V82" s="1">
        <f>'Asset Prices'!V82/'Asset Prices'!V83-1</f>
        <v>1.0998307952622577E-2</v>
      </c>
      <c r="W82" s="1">
        <f>'Asset Prices'!W82/'Asset Prices'!W83-1</f>
        <v>0.11812768314637867</v>
      </c>
      <c r="X82" s="1">
        <f>'Asset Prices'!X82/'Asset Prices'!X83-1</f>
        <v>2.0498321258172858E-2</v>
      </c>
      <c r="Y82" s="1">
        <f>'Asset Prices'!Y82/'Asset Prices'!Y83-1</f>
        <v>0.10187704026115352</v>
      </c>
      <c r="Z82" s="1">
        <f>'Asset Prices'!Z82/'Asset Prices'!Z83-1</f>
        <v>1.0936051899907318E-2</v>
      </c>
      <c r="AA82" s="1">
        <f>'Asset Prices'!AA82/'Asset Prices'!AA83-1</f>
        <v>1.1343129672595875E-2</v>
      </c>
      <c r="AB82" s="1">
        <f>'Asset Prices'!AB82/'Asset Prices'!AB83-1</f>
        <v>2.2988505747126631E-2</v>
      </c>
      <c r="AC82" s="1">
        <f>'Asset Prices'!AC82/'Asset Prices'!AC83-1</f>
        <v>3.5416139640775945E-4</v>
      </c>
      <c r="AD82" s="1">
        <f>'Asset Prices'!AD82/'Asset Prices'!AD83-1</f>
        <v>2.7432333577176227E-2</v>
      </c>
      <c r="AE82" s="1">
        <f>'Asset Prices'!AE82/'Asset Prices'!AE83-1</f>
        <v>5.0869826034793064E-2</v>
      </c>
      <c r="AF82" s="1">
        <f>'Asset Prices'!AF82/'Asset Prices'!AF83-1</f>
        <v>5.4384017758046577E-2</v>
      </c>
      <c r="AG82" s="1">
        <f>'Asset Prices'!AG82/'Asset Prices'!AG83-1</f>
        <v>4.2728279791106161E-2</v>
      </c>
      <c r="AH82" s="1">
        <f>'Asset Prices'!AH82/'Asset Prices'!AH83-1</f>
        <v>0.17969151670951167</v>
      </c>
      <c r="AI82" s="1">
        <f>'Asset Prices'!AI82/'Asset Prices'!AI83-1</f>
        <v>1.9272204931769288E-2</v>
      </c>
      <c r="AJ82" s="1">
        <f>'Asset Prices'!AJ82/'Asset Prices'!AJ83-1</f>
        <v>-2.6865671641790989E-2</v>
      </c>
      <c r="AK82" s="1">
        <f>'Asset Prices'!AK82/'Asset Prices'!AK83-1</f>
        <v>3.3816425120773097E-2</v>
      </c>
      <c r="AL82" s="1">
        <f>'Asset Prices'!AL82/'Asset Prices'!AL83-1</f>
        <v>-1.6617377834107994E-2</v>
      </c>
      <c r="AM82" s="1">
        <f>'Asset Prices'!AM82/'Asset Prices'!AM83-1</f>
        <v>-5.2301255230124966E-4</v>
      </c>
      <c r="AN82" s="1">
        <f>'Asset Prices'!AN82/'Asset Prices'!AN83-1</f>
        <v>1.8183624801271892E-2</v>
      </c>
      <c r="AO82" s="1">
        <f>'Asset Prices'!AO82/'Asset Prices'!AO83-1</f>
        <v>8.2200972991108845E-3</v>
      </c>
      <c r="AP82" s="1">
        <f>'Asset Prices'!AP82/'Asset Prices'!AP83-1</f>
        <v>3.1292286874154307E-2</v>
      </c>
      <c r="AQ82" s="1">
        <f>'Asset Prices'!AQ82/'Asset Prices'!AQ83-1</f>
        <v>0.19047619047619047</v>
      </c>
      <c r="AR82" s="1">
        <f>'Asset Prices'!AR82/'Asset Prices'!AR83-1</f>
        <v>-7.8513478147079763E-4</v>
      </c>
      <c r="AS82" s="1">
        <f>'Asset Prices'!AS82/'Asset Prices'!AS83-1</f>
        <v>8.1174438687392048E-2</v>
      </c>
      <c r="AT82" s="1">
        <f>'Asset Prices'!AT82/'Asset Prices'!AT83-1</f>
        <v>2.322645796516043E-2</v>
      </c>
      <c r="AU82" s="1">
        <f>'Asset Prices'!AU82/'Asset Prices'!AU83-1</f>
        <v>4.5951156812339189E-2</v>
      </c>
      <c r="AV82" s="1">
        <f>'Asset Prices'!AV82/'Asset Prices'!AV83-1</f>
        <v>-0.13857123014954398</v>
      </c>
      <c r="AW82" s="1">
        <f>'Asset Prices'!AW82/'Asset Prices'!AW83-1</f>
        <v>6.9609118029526629E-2</v>
      </c>
      <c r="AX82" s="1">
        <f>'Asset Prices'!AX82/'Asset Prices'!AX83-1</f>
        <v>-6.4743967039434525E-3</v>
      </c>
      <c r="AY82" s="1">
        <f>'Asset Prices'!AY82/'Asset Prices'!AY83-1</f>
        <v>4.0381991814461227E-2</v>
      </c>
      <c r="AZ82" s="1">
        <f>'Asset Prices'!AZ82/'Asset Prices'!AZ83-1</f>
        <v>-3.2811711256940379E-3</v>
      </c>
      <c r="BA82" s="1">
        <f>'Asset Prices'!BA82/'Asset Prices'!BA83-1</f>
        <v>3.144375553587242E-2</v>
      </c>
      <c r="BB82" s="1">
        <f>'Asset Prices'!BB82/'Asset Prices'!BB83-1</f>
        <v>2.6393967093235826E-2</v>
      </c>
      <c r="BC82" s="1">
        <f>'Asset Prices'!BC82/'Asset Prices'!BC83-1</f>
        <v>2.9051347958634732E-2</v>
      </c>
      <c r="BD82" s="1">
        <f>'Asset Prices'!BD82/'Asset Prices'!BD83-1</f>
        <v>7.6347418550155588E-3</v>
      </c>
    </row>
    <row r="83" spans="3:56" x14ac:dyDescent="0.25">
      <c r="C83" s="38">
        <f>'Asset Prices'!C83</f>
        <v>43790</v>
      </c>
      <c r="D83" s="1">
        <f>'Asset Prices'!D83/'Asset Prices'!D84-1</f>
        <v>7.7885952712097861E-4</v>
      </c>
      <c r="E83" s="1">
        <f>'Asset Prices'!E83/'Asset Prices'!E84-1</f>
        <v>-1.6989466530751285E-3</v>
      </c>
      <c r="F83" s="1">
        <f>'Asset Prices'!F83/'Asset Prices'!F84-1</f>
        <v>9.7512873890654994E-3</v>
      </c>
      <c r="G83" s="1">
        <f>'Asset Prices'!G83/'Asset Prices'!G84-1</f>
        <v>2.4959885897664069E-3</v>
      </c>
      <c r="H83" s="1">
        <f>'Asset Prices'!H83/'Asset Prices'!H84-1</f>
        <v>-5.5772448410473796E-4</v>
      </c>
      <c r="I83" s="1">
        <f>'Asset Prices'!I83/'Asset Prices'!I84-1</f>
        <v>2.4747605487962732E-2</v>
      </c>
      <c r="J83" s="1">
        <f>'Asset Prices'!J83/'Asset Prices'!J84-1</f>
        <v>-2.3987206823027352E-3</v>
      </c>
      <c r="K83" s="1">
        <f>'Asset Prices'!K83/'Asset Prices'!K84-1</f>
        <v>-1.1335917018123753E-2</v>
      </c>
      <c r="L83" s="1">
        <f>'Asset Prices'!L83/'Asset Prices'!L84-1</f>
        <v>7.6203300877011326E-2</v>
      </c>
      <c r="M83" s="1">
        <f>'Asset Prices'!M83/'Asset Prices'!M84-1</f>
        <v>9.5907064703497635E-3</v>
      </c>
      <c r="N83" s="1">
        <f>'Asset Prices'!N83/'Asset Prices'!N84-1</f>
        <v>-6.8823282282396425E-3</v>
      </c>
      <c r="O83" s="1">
        <f>'Asset Prices'!O83/'Asset Prices'!O84-1</f>
        <v>1.6403526758252962E-3</v>
      </c>
      <c r="P83" s="1">
        <f>'Asset Prices'!P83/'Asset Prices'!P84-1</f>
        <v>2.0616865361478665E-2</v>
      </c>
      <c r="Q83" s="1">
        <f>'Asset Prices'!Q83/'Asset Prices'!Q84-1</f>
        <v>4.4923974811856837E-2</v>
      </c>
      <c r="R83" s="1">
        <f>'Asset Prices'!R83/'Asset Prices'!R84-1</f>
        <v>6.5252854812398731E-3</v>
      </c>
      <c r="S83" s="1">
        <f>'Asset Prices'!S83/'Asset Prices'!S84-1</f>
        <v>1.4872099940512751E-3</v>
      </c>
      <c r="T83" s="1">
        <f>'Asset Prices'!T83/'Asset Prices'!T84-1</f>
        <v>-1.1668524712003081E-2</v>
      </c>
      <c r="U83" s="1">
        <f>'Asset Prices'!U83/'Asset Prices'!U84-1</f>
        <v>-3.2697547683923744E-2</v>
      </c>
      <c r="V83" s="1">
        <f>'Asset Prices'!V83/'Asset Prices'!V84-1</f>
        <v>-1.0713090056913344E-2</v>
      </c>
      <c r="W83" s="1">
        <f>'Asset Prices'!W83/'Asset Prices'!W84-1</f>
        <v>-4.4841269841269904E-2</v>
      </c>
      <c r="X83" s="1">
        <f>'Asset Prices'!X83/'Asset Prices'!X84-1</f>
        <v>-1.8046156515703626E-2</v>
      </c>
      <c r="Y83" s="1">
        <f>'Asset Prices'!Y83/'Asset Prices'!Y84-1</f>
        <v>-2.5838081356830522E-2</v>
      </c>
      <c r="Z83" s="1">
        <f>'Asset Prices'!Z83/'Asset Prices'!Z84-1</f>
        <v>-1.8377001455604058E-2</v>
      </c>
      <c r="AA83" s="1">
        <f>'Asset Prices'!AA83/'Asset Prices'!AA84-1</f>
        <v>5.7380400708736401E-2</v>
      </c>
      <c r="AB83" s="1">
        <f>'Asset Prices'!AB83/'Asset Prices'!AB84-1</f>
        <v>-3.791469194312802E-2</v>
      </c>
      <c r="AC83" s="1">
        <f>'Asset Prices'!AC83/'Asset Prices'!AC84-1</f>
        <v>-8.975130365022066E-3</v>
      </c>
      <c r="AD83" s="1">
        <f>'Asset Prices'!AD83/'Asset Prices'!AD84-1</f>
        <v>-2.7507706900640305E-2</v>
      </c>
      <c r="AE83" s="1">
        <f>'Asset Prices'!AE83/'Asset Prices'!AE84-1</f>
        <v>-6.4219153474795121E-2</v>
      </c>
      <c r="AF83" s="1">
        <f>'Asset Prices'!AF83/'Asset Prices'!AF84-1</f>
        <v>-0.11187777230162643</v>
      </c>
      <c r="AG83" s="1">
        <f>'Asset Prices'!AG83/'Asset Prices'!AG84-1</f>
        <v>-2.0158164056442773E-2</v>
      </c>
      <c r="AH83" s="1">
        <f>'Asset Prices'!AH83/'Asset Prices'!AH84-1</f>
        <v>-3.5457475824448248E-2</v>
      </c>
      <c r="AI83" s="1">
        <f>'Asset Prices'!AI83/'Asset Prices'!AI84-1</f>
        <v>-2.6453793264188286E-2</v>
      </c>
      <c r="AJ83" s="1">
        <f>'Asset Prices'!AJ83/'Asset Prices'!AJ84-1</f>
        <v>1.761846901579589E-2</v>
      </c>
      <c r="AK83" s="1">
        <f>'Asset Prices'!AK83/'Asset Prices'!AK84-1</f>
        <v>-4.8032703117015907E-2</v>
      </c>
      <c r="AL83" s="1">
        <f>'Asset Prices'!AL83/'Asset Prices'!AL84-1</f>
        <v>1.9087256027554567E-2</v>
      </c>
      <c r="AM83" s="1">
        <f>'Asset Prices'!AM83/'Asset Prices'!AM84-1</f>
        <v>-1.1940298507462366E-3</v>
      </c>
      <c r="AN83" s="1">
        <f>'Asset Prices'!AN83/'Asset Prices'!AN84-1</f>
        <v>-9.2537901161645619E-3</v>
      </c>
      <c r="AO83" s="1">
        <f>'Asset Prices'!AO83/'Asset Prices'!AO84-1</f>
        <v>4.5500505561171245E-3</v>
      </c>
      <c r="AP83" s="1">
        <f>'Asset Prices'!AP83/'Asset Prices'!AP84-1</f>
        <v>-1.0138560324434165E-3</v>
      </c>
      <c r="AQ83" s="1">
        <f>'Asset Prices'!AQ83/'Asset Prices'!AQ84-1</f>
        <v>8.4195230361569395E-2</v>
      </c>
      <c r="AR83" s="1">
        <f>'Asset Prices'!AR83/'Asset Prices'!AR84-1</f>
        <v>1.7847629195524739E-2</v>
      </c>
      <c r="AS83" s="1">
        <f>'Asset Prices'!AS83/'Asset Prices'!AS84-1</f>
        <v>6.3731170336036591E-3</v>
      </c>
      <c r="AT83" s="1">
        <f>'Asset Prices'!AT83/'Asset Prices'!AT84-1</f>
        <v>-2.7975460122699358E-2</v>
      </c>
      <c r="AU83" s="1">
        <f>'Asset Prices'!AU83/'Asset Prices'!AU84-1</f>
        <v>6.430868167202064E-4</v>
      </c>
      <c r="AV83" s="1">
        <f>'Asset Prices'!AV83/'Asset Prices'!AV84-1</f>
        <v>-6.9425287356321697E-3</v>
      </c>
      <c r="AW83" s="1">
        <f>'Asset Prices'!AW83/'Asset Prices'!AW84-1</f>
        <v>0.13284228769497375</v>
      </c>
      <c r="AX83" s="1">
        <f>'Asset Prices'!AX83/'Asset Prices'!AX84-1</f>
        <v>-5.882352941177782E-4</v>
      </c>
      <c r="AY83" s="1">
        <f>'Asset Prices'!AY83/'Asset Prices'!AY84-1</f>
        <v>-2.0053475935828846E-2</v>
      </c>
      <c r="AZ83" s="1">
        <f>'Asset Prices'!AZ83/'Asset Prices'!AZ84-1</f>
        <v>-1.1230346892937448E-2</v>
      </c>
      <c r="BA83" s="1">
        <f>'Asset Prices'!BA83/'Asset Prices'!BA84-1</f>
        <v>3.4593356242840656E-2</v>
      </c>
      <c r="BB83" s="1">
        <f>'Asset Prices'!BB83/'Asset Prices'!BB84-1</f>
        <v>-1.6076447442383457E-2</v>
      </c>
      <c r="BC83" s="1">
        <f>'Asset Prices'!BC83/'Asset Prices'!BC84-1</f>
        <v>-1.6404045155221203E-2</v>
      </c>
      <c r="BD83" s="1">
        <f>'Asset Prices'!BD83/'Asset Prices'!BD84-1</f>
        <v>2.0451446750491264E-3</v>
      </c>
    </row>
    <row r="84" spans="3:56" x14ac:dyDescent="0.25">
      <c r="C84" s="38">
        <f>'Asset Prices'!C84</f>
        <v>43783</v>
      </c>
      <c r="D84" s="1">
        <f>'Asset Prices'!D84/'Asset Prices'!D85-1</f>
        <v>7.3978591044105979E-3</v>
      </c>
      <c r="E84" s="1">
        <f>'Asset Prices'!E84/'Asset Prices'!E85-1</f>
        <v>0.10672382671480141</v>
      </c>
      <c r="F84" s="1">
        <f>'Asset Prices'!F84/'Asset Prices'!F85-1</f>
        <v>9.6238938053097023E-3</v>
      </c>
      <c r="G84" s="1">
        <f>'Asset Prices'!G84/'Asset Prices'!G85-1</f>
        <v>1.9649874955343094E-3</v>
      </c>
      <c r="H84" s="1">
        <f>'Asset Prices'!H84/'Asset Prices'!H85-1</f>
        <v>-2.4284062308686405E-2</v>
      </c>
      <c r="I84" s="1">
        <f>'Asset Prices'!I84/'Asset Prices'!I85-1</f>
        <v>1.4336729335153953E-2</v>
      </c>
      <c r="J84" s="1">
        <f>'Asset Prices'!J84/'Asset Prices'!J85-1</f>
        <v>1.2373279882819999E-2</v>
      </c>
      <c r="K84" s="1">
        <f>'Asset Prices'!K84/'Asset Prices'!K85-1</f>
        <v>-1.878984453640542E-2</v>
      </c>
      <c r="L84" s="1">
        <f>'Asset Prices'!L84/'Asset Prices'!L85-1</f>
        <v>1.7266982076868942E-4</v>
      </c>
      <c r="M84" s="1">
        <f>'Asset Prices'!M84/'Asset Prices'!M85-1</f>
        <v>2.6341328157493571E-2</v>
      </c>
      <c r="N84" s="1">
        <f>'Asset Prices'!N84/'Asset Prices'!N85-1</f>
        <v>1.6909728067089347E-3</v>
      </c>
      <c r="O84" s="1">
        <f>'Asset Prices'!O84/'Asset Prices'!O85-1</f>
        <v>3.5309934899518947E-2</v>
      </c>
      <c r="P84" s="1">
        <f>'Asset Prices'!P84/'Asset Prices'!P85-1</f>
        <v>-3.8995165019970468E-2</v>
      </c>
      <c r="Q84" s="1">
        <f>'Asset Prices'!Q84/'Asset Prices'!Q85-1</f>
        <v>5.7928477639608289E-3</v>
      </c>
      <c r="R84" s="1">
        <f>'Asset Prices'!R84/'Asset Prices'!R85-1</f>
        <v>1.6078236366650067E-2</v>
      </c>
      <c r="S84" s="1">
        <f>'Asset Prices'!S84/'Asset Prices'!S85-1</f>
        <v>1.1127819548872209E-2</v>
      </c>
      <c r="T84" s="1">
        <f>'Asset Prices'!T84/'Asset Prices'!T85-1</f>
        <v>1.1197955809409299E-2</v>
      </c>
      <c r="U84" s="1">
        <f>'Asset Prices'!U84/'Asset Prices'!U85-1</f>
        <v>-2.2253565271901032E-2</v>
      </c>
      <c r="V84" s="1">
        <f>'Asset Prices'!V84/'Asset Prices'!V85-1</f>
        <v>4.2764880432885288E-2</v>
      </c>
      <c r="W84" s="1">
        <f>'Asset Prices'!W84/'Asset Prices'!W85-1</f>
        <v>-5.3940271016973407E-3</v>
      </c>
      <c r="X84" s="1">
        <f>'Asset Prices'!X84/'Asset Prices'!X85-1</f>
        <v>-1.0473901098901117E-2</v>
      </c>
      <c r="Y84" s="1">
        <f>'Asset Prices'!Y84/'Asset Prices'!Y85-1</f>
        <v>-3.1566790709611103E-2</v>
      </c>
      <c r="Z84" s="1">
        <f>'Asset Prices'!Z84/'Asset Prices'!Z85-1</f>
        <v>-1.5935541629364391E-2</v>
      </c>
      <c r="AA84" s="1">
        <f>'Asset Prices'!AA84/'Asset Prices'!AA85-1</f>
        <v>-3.9659685863874361E-2</v>
      </c>
      <c r="AB84" s="1">
        <f>'Asset Prices'!AB84/'Asset Prices'!AB85-1</f>
        <v>1.6051364365970988E-2</v>
      </c>
      <c r="AC84" s="1">
        <f>'Asset Prices'!AC84/'Asset Prices'!AC85-1</f>
        <v>2.110340669279509E-3</v>
      </c>
      <c r="AD84" s="1">
        <f>'Asset Prices'!AD84/'Asset Prices'!AD85-1</f>
        <v>-4.1327193293185793E-3</v>
      </c>
      <c r="AE84" s="1">
        <f>'Asset Prices'!AE84/'Asset Prices'!AE85-1</f>
        <v>1.3195313388692842E-2</v>
      </c>
      <c r="AF84" s="1">
        <f>'Asset Prices'!AF84/'Asset Prices'!AF85-1</f>
        <v>-2.1697203471552573E-2</v>
      </c>
      <c r="AG84" s="1">
        <f>'Asset Prices'!AG84/'Asset Prices'!AG85-1</f>
        <v>-2.7153416804948094E-2</v>
      </c>
      <c r="AH84" s="1">
        <f>'Asset Prices'!AH84/'Asset Prices'!AH85-1</f>
        <v>-2.5610050736893042E-2</v>
      </c>
      <c r="AI84" s="1">
        <f>'Asset Prices'!AI84/'Asset Prices'!AI85-1</f>
        <v>8.8173054314601984E-3</v>
      </c>
      <c r="AJ84" s="1">
        <f>'Asset Prices'!AJ84/'Asset Prices'!AJ85-1</f>
        <v>2.8750000000000053E-2</v>
      </c>
      <c r="AK84" s="1">
        <f>'Asset Prices'!AK84/'Asset Prices'!AK85-1</f>
        <v>-2.5542784163468113E-4</v>
      </c>
      <c r="AL84" s="1">
        <f>'Asset Prices'!AL84/'Asset Prices'!AL85-1</f>
        <v>6.073983863601784E-2</v>
      </c>
      <c r="AM84" s="1">
        <f>'Asset Prices'!AM84/'Asset Prices'!AM85-1</f>
        <v>-2.6799331832377038E-2</v>
      </c>
      <c r="AN84" s="1">
        <f>'Asset Prices'!AN84/'Asset Prices'!AN85-1</f>
        <v>1.1853770295846111E-2</v>
      </c>
      <c r="AO84" s="1">
        <f>'Asset Prices'!AO84/'Asset Prices'!AO85-1</f>
        <v>-1.9659672889476232E-2</v>
      </c>
      <c r="AP84" s="1">
        <f>'Asset Prices'!AP84/'Asset Prices'!AP85-1</f>
        <v>-2.0236087689713411E-3</v>
      </c>
      <c r="AQ84" s="1">
        <f>'Asset Prices'!AQ84/'Asset Prices'!AQ85-1</f>
        <v>-4.7312703583061944E-2</v>
      </c>
      <c r="AR84" s="1">
        <f>'Asset Prices'!AR84/'Asset Prices'!AR85-1</f>
        <v>1.6517736257785076E-2</v>
      </c>
      <c r="AS84" s="1">
        <f>'Asset Prices'!AS84/'Asset Prices'!AS85-1</f>
        <v>1.4697236919459122E-2</v>
      </c>
      <c r="AT84" s="1">
        <f>'Asset Prices'!AT84/'Asset Prices'!AT85-1</f>
        <v>7.4165636588379158E-3</v>
      </c>
      <c r="AU84" s="1">
        <f>'Asset Prices'!AU84/'Asset Prices'!AU85-1</f>
        <v>1.7295661773725435E-2</v>
      </c>
      <c r="AV84" s="1">
        <f>'Asset Prices'!AV84/'Asset Prices'!AV85-1</f>
        <v>-3.3075486796479092E-2</v>
      </c>
      <c r="AW84" s="1">
        <f>'Asset Prices'!AW84/'Asset Prices'!AW85-1</f>
        <v>8.3568075117370855E-2</v>
      </c>
      <c r="AX84" s="1">
        <f>'Asset Prices'!AX84/'Asset Prices'!AX85-1</f>
        <v>1.767825574543469E-3</v>
      </c>
      <c r="AY84" s="1">
        <f>'Asset Prices'!AY84/'Asset Prices'!AY85-1</f>
        <v>-1.5789473684210575E-2</v>
      </c>
      <c r="AZ84" s="1">
        <f>'Asset Prices'!AZ84/'Asset Prices'!AZ85-1</f>
        <v>1.4944275582573496E-2</v>
      </c>
      <c r="BA84" s="1">
        <f>'Asset Prices'!BA84/'Asset Prices'!BA85-1</f>
        <v>-5.2734375E-2</v>
      </c>
      <c r="BB84" s="1">
        <f>'Asset Prices'!BB84/'Asset Prices'!BB85-1</f>
        <v>8.8465464443687747E-3</v>
      </c>
      <c r="BC84" s="1">
        <f>'Asset Prices'!BC84/'Asset Prices'!BC85-1</f>
        <v>1.1658339281465757E-2</v>
      </c>
      <c r="BD84" s="1">
        <f>'Asset Prices'!BD84/'Asset Prices'!BD85-1</f>
        <v>3.5613429557577625E-2</v>
      </c>
    </row>
    <row r="85" spans="3:56" x14ac:dyDescent="0.25">
      <c r="C85" s="38">
        <f>'Asset Prices'!C85</f>
        <v>43776</v>
      </c>
      <c r="D85" s="1">
        <f>'Asset Prices'!D85/'Asset Prices'!D86-1</f>
        <v>-2.4041149502403991E-3</v>
      </c>
      <c r="E85" s="1">
        <f>'Asset Prices'!E85/'Asset Prices'!E86-1</f>
        <v>2.3399014778325178E-2</v>
      </c>
      <c r="F85" s="1">
        <f>'Asset Prices'!F85/'Asset Prices'!F86-1</f>
        <v>9.4919039642658021E-3</v>
      </c>
      <c r="G85" s="1">
        <f>'Asset Prices'!G85/'Asset Prices'!G86-1</f>
        <v>2.7344466874655859E-2</v>
      </c>
      <c r="H85" s="1">
        <f>'Asset Prices'!H85/'Asset Prices'!H86-1</f>
        <v>6.6835994194484716E-2</v>
      </c>
      <c r="I85" s="1">
        <f>'Asset Prices'!I85/'Asset Prices'!I86-1</f>
        <v>-6.4179493869033211E-3</v>
      </c>
      <c r="J85" s="1">
        <f>'Asset Prices'!J85/'Asset Prices'!J86-1</f>
        <v>4.289274803022991E-2</v>
      </c>
      <c r="K85" s="1">
        <f>'Asset Prices'!K85/'Asset Prices'!K86-1</f>
        <v>6.4953339412154865E-3</v>
      </c>
      <c r="L85" s="1">
        <f>'Asset Prices'!L85/'Asset Prices'!L86-1</f>
        <v>7.5153961240039813E-3</v>
      </c>
      <c r="M85" s="1">
        <f>'Asset Prices'!M85/'Asset Prices'!M86-1</f>
        <v>6.2077143056427087E-3</v>
      </c>
      <c r="N85" s="1">
        <f>'Asset Prices'!N85/'Asset Prices'!N86-1</f>
        <v>3.8242770892914058E-2</v>
      </c>
      <c r="O85" s="1">
        <f>'Asset Prices'!O85/'Asset Prices'!O86-1</f>
        <v>-3.7788520460271036E-2</v>
      </c>
      <c r="P85" s="1">
        <f>'Asset Prices'!P85/'Asset Prices'!P86-1</f>
        <v>-2.6270162349606441E-4</v>
      </c>
      <c r="Q85" s="1">
        <f>'Asset Prices'!Q85/'Asset Prices'!Q86-1</f>
        <v>2.6358555630425329E-2</v>
      </c>
      <c r="R85" s="1">
        <f>'Asset Prices'!R85/'Asset Prices'!R86-1</f>
        <v>-5.0070854983467195E-2</v>
      </c>
      <c r="S85" s="1">
        <f>'Asset Prices'!S85/'Asset Prices'!S86-1</f>
        <v>-7.1663183039714085E-3</v>
      </c>
      <c r="T85" s="1">
        <f>'Asset Prices'!T85/'Asset Prices'!T86-1</f>
        <v>5.1442117740023718E-2</v>
      </c>
      <c r="U85" s="1">
        <f>'Asset Prices'!U85/'Asset Prices'!U86-1</f>
        <v>3.185640362225084E-2</v>
      </c>
      <c r="V85" s="1">
        <f>'Asset Prices'!V85/'Asset Prices'!V86-1</f>
        <v>-3.8758389261745019E-2</v>
      </c>
      <c r="W85" s="1">
        <f>'Asset Prices'!W85/'Asset Prices'!W86-1</f>
        <v>5.8192955589586592E-2</v>
      </c>
      <c r="X85" s="1">
        <f>'Asset Prices'!X85/'Asset Prices'!X86-1</f>
        <v>3.7591305897024752E-2</v>
      </c>
      <c r="Y85" s="1">
        <f>'Asset Prices'!Y85/'Asset Prices'!Y86-1</f>
        <v>-6.5923528706700263E-2</v>
      </c>
      <c r="Z85" s="1">
        <f>'Asset Prices'!Z85/'Asset Prices'!Z86-1</f>
        <v>6.8694986605434494E-2</v>
      </c>
      <c r="AA85" s="1">
        <f>'Asset Prices'!AA85/'Asset Prices'!AA86-1</f>
        <v>1.5822364047334281E-2</v>
      </c>
      <c r="AB85" s="1">
        <f>'Asset Prices'!AB85/'Asset Prices'!AB86-1</f>
        <v>9.7244732576986515E-3</v>
      </c>
      <c r="AC85" s="1">
        <f>'Asset Prices'!AC85/'Asset Prices'!AC86-1</f>
        <v>-5.7947846937755898E-3</v>
      </c>
      <c r="AD85" s="1">
        <f>'Asset Prices'!AD85/'Asset Prices'!AD86-1</f>
        <v>0.10850785340314117</v>
      </c>
      <c r="AE85" s="1">
        <f>'Asset Prices'!AE85/'Asset Prices'!AE86-1</f>
        <v>2.2755717373978968E-4</v>
      </c>
      <c r="AF85" s="1">
        <f>'Asset Prices'!AF85/'Asset Prices'!AF86-1</f>
        <v>4.3259557344064392E-2</v>
      </c>
      <c r="AG85" s="1">
        <f>'Asset Prices'!AG85/'Asset Prices'!AG86-1</f>
        <v>3.7726988102692705E-2</v>
      </c>
      <c r="AH85" s="1">
        <f>'Asset Prices'!AH85/'Asset Prices'!AH86-1</f>
        <v>6.3190341638838854E-2</v>
      </c>
      <c r="AI85" s="1">
        <f>'Asset Prices'!AI85/'Asset Prices'!AI86-1</f>
        <v>-6.4760857614073686E-2</v>
      </c>
      <c r="AJ85" s="1">
        <f>'Asset Prices'!AJ85/'Asset Prices'!AJ86-1</f>
        <v>-5.6603773584905759E-2</v>
      </c>
      <c r="AK85" s="1">
        <f>'Asset Prices'!AK85/'Asset Prices'!AK86-1</f>
        <v>1.4248704663212264E-2</v>
      </c>
      <c r="AL85" s="1">
        <f>'Asset Prices'!AL85/'Asset Prices'!AL86-1</f>
        <v>4.4356120826709144E-2</v>
      </c>
      <c r="AM85" s="1">
        <f>'Asset Prices'!AM85/'Asset Prices'!AM86-1</f>
        <v>2.961190458386298E-2</v>
      </c>
      <c r="AN85" s="1">
        <f>'Asset Prices'!AN85/'Asset Prices'!AN86-1</f>
        <v>-7.1623433670874426E-2</v>
      </c>
      <c r="AO85" s="1">
        <f>'Asset Prices'!AO85/'Asset Prices'!AO86-1</f>
        <v>9.9222755085159875E-4</v>
      </c>
      <c r="AP85" s="1">
        <f>'Asset Prices'!AP85/'Asset Prices'!AP86-1</f>
        <v>2.8620988725065022E-2</v>
      </c>
      <c r="AQ85" s="1">
        <f>'Asset Prices'!AQ85/'Asset Prices'!AQ86-1</f>
        <v>2.3674558186062011E-2</v>
      </c>
      <c r="AR85" s="1">
        <f>'Asset Prices'!AR85/'Asset Prices'!AR86-1</f>
        <v>-7.0475711049584611E-2</v>
      </c>
      <c r="AS85" s="1">
        <f>'Asset Prices'!AS85/'Asset Prices'!AS86-1</f>
        <v>-0.11174934725848551</v>
      </c>
      <c r="AT85" s="1">
        <f>'Asset Prices'!AT85/'Asset Prices'!AT86-1</f>
        <v>1.2895955928383662E-2</v>
      </c>
      <c r="AU85" s="1">
        <f>'Asset Prices'!AU85/'Asset Prices'!AU86-1</f>
        <v>-4.4648437500000027E-2</v>
      </c>
      <c r="AV85" s="1">
        <f>'Asset Prices'!AV85/'Asset Prices'!AV86-1</f>
        <v>1.8750000000000044E-2</v>
      </c>
      <c r="AW85" s="1">
        <f>'Asset Prices'!AW85/'Asset Prices'!AW86-1</f>
        <v>6.9493688838462297E-3</v>
      </c>
      <c r="AX85" s="1">
        <f>'Asset Prices'!AX85/'Asset Prices'!AX86-1</f>
        <v>7.1338383838383868E-2</v>
      </c>
      <c r="AY85" s="1">
        <f>'Asset Prices'!AY85/'Asset Prices'!AY86-1</f>
        <v>2.6472177201512626E-2</v>
      </c>
      <c r="AZ85" s="1">
        <f>'Asset Prices'!AZ85/'Asset Prices'!AZ86-1</f>
        <v>2.9599687051766965E-2</v>
      </c>
      <c r="BA85" s="1">
        <f>'Asset Prices'!BA85/'Asset Prices'!BA86-1</f>
        <v>-2.7232425585813846E-2</v>
      </c>
      <c r="BB85" s="1">
        <f>'Asset Prices'!BB85/'Asset Prices'!BB86-1</f>
        <v>-5.0301594140456762E-2</v>
      </c>
      <c r="BC85" s="1">
        <f>'Asset Prices'!BC85/'Asset Prices'!BC86-1</f>
        <v>4.7212095858482073E-3</v>
      </c>
      <c r="BD85" s="1">
        <f>'Asset Prices'!BD85/'Asset Prices'!BD86-1</f>
        <v>1.1184262711192217E-2</v>
      </c>
    </row>
    <row r="86" spans="3:56" x14ac:dyDescent="0.25">
      <c r="C86" s="38">
        <f>'Asset Prices'!C86</f>
        <v>43769</v>
      </c>
      <c r="D86" s="1">
        <f>'Asset Prices'!D86/'Asset Prices'!D87-1</f>
        <v>1.5326975476839255E-2</v>
      </c>
      <c r="E86" s="1">
        <f>'Asset Prices'!E86/'Asset Prices'!E87-1</f>
        <v>-2.6101642868110453E-3</v>
      </c>
      <c r="F86" s="1">
        <f>'Asset Prices'!F86/'Asset Prices'!F87-1</f>
        <v>-2.1311475409836134E-2</v>
      </c>
      <c r="G86" s="1">
        <f>'Asset Prices'!G86/'Asset Prices'!G87-1</f>
        <v>4.238849981570203E-3</v>
      </c>
      <c r="H86" s="1">
        <f>'Asset Prices'!H86/'Asset Prices'!H87-1</f>
        <v>2.9510646245797689E-2</v>
      </c>
      <c r="I86" s="1">
        <f>'Asset Prices'!I86/'Asset Prices'!I87-1</f>
        <v>2.8275566047859302E-2</v>
      </c>
      <c r="J86" s="1">
        <f>'Asset Prices'!J86/'Asset Prices'!J87-1</f>
        <v>2.1266113802446807E-2</v>
      </c>
      <c r="K86" s="1">
        <f>'Asset Prices'!K86/'Asset Prices'!K87-1</f>
        <v>-2.3135929199563643E-3</v>
      </c>
      <c r="L86" s="1">
        <f>'Asset Prices'!L86/'Asset Prices'!L87-1</f>
        <v>5.8600368324125407E-2</v>
      </c>
      <c r="M86" s="1">
        <f>'Asset Prices'!M86/'Asset Prices'!M87-1</f>
        <v>2.4510504501929375E-2</v>
      </c>
      <c r="N86" s="1">
        <f>'Asset Prices'!N86/'Asset Prices'!N87-1</f>
        <v>-2.4620565319943832E-4</v>
      </c>
      <c r="O86" s="1">
        <f>'Asset Prices'!O86/'Asset Prices'!O87-1</f>
        <v>3.4160005465599941E-3</v>
      </c>
      <c r="P86" s="1">
        <f>'Asset Prices'!P86/'Asset Prices'!P87-1</f>
        <v>-3.2335146677512805E-2</v>
      </c>
      <c r="Q86" s="1">
        <f>'Asset Prices'!Q86/'Asset Prices'!Q87-1</f>
        <v>1.1303964404537625E-2</v>
      </c>
      <c r="R86" s="1">
        <f>'Asset Prices'!R86/'Asset Prices'!R87-1</f>
        <v>-1.5959095134800205E-2</v>
      </c>
      <c r="S86" s="1">
        <f>'Asset Prices'!S86/'Asset Prices'!S87-1</f>
        <v>1.0866284334440035E-2</v>
      </c>
      <c r="T86" s="1">
        <f>'Asset Prices'!T86/'Asset Prices'!T87-1</f>
        <v>1.81013676588897E-2</v>
      </c>
      <c r="U86" s="1">
        <f>'Asset Prices'!U86/'Asset Prices'!U87-1</f>
        <v>1.1118378024852937E-2</v>
      </c>
      <c r="V86" s="1">
        <f>'Asset Prices'!V86/'Asset Prices'!V87-1</f>
        <v>-3.8244311763756644E-2</v>
      </c>
      <c r="W86" s="1">
        <f>'Asset Prices'!W86/'Asset Prices'!W87-1</f>
        <v>-4.0210759844704347E-3</v>
      </c>
      <c r="X86" s="1">
        <f>'Asset Prices'!X86/'Asset Prices'!X87-1</f>
        <v>-2.8424231657487864E-3</v>
      </c>
      <c r="Y86" s="1">
        <f>'Asset Prices'!Y86/'Asset Prices'!Y87-1</f>
        <v>-3.1797609376813307E-2</v>
      </c>
      <c r="Z86" s="1">
        <f>'Asset Prices'!Z86/'Asset Prices'!Z87-1</f>
        <v>2.4103468547912899E-2</v>
      </c>
      <c r="AA86" s="1">
        <f>'Asset Prices'!AA86/'Asset Prices'!AA87-1</f>
        <v>9.6657269432138815E-3</v>
      </c>
      <c r="AB86" s="1">
        <f>'Asset Prices'!AB86/'Asset Prices'!AB87-1</f>
        <v>1.6233766233766378E-3</v>
      </c>
      <c r="AC86" s="1">
        <f>'Asset Prices'!AC86/'Asset Prices'!AC87-1</f>
        <v>0.13654686879009836</v>
      </c>
      <c r="AD86" s="1">
        <f>'Asset Prices'!AD86/'Asset Prices'!AD87-1</f>
        <v>-2.2767971348170879E-2</v>
      </c>
      <c r="AE86" s="1">
        <f>'Asset Prices'!AE86/'Asset Prices'!AE87-1</f>
        <v>-4.4985330870368379E-2</v>
      </c>
      <c r="AF86" s="1">
        <f>'Asset Prices'!AF86/'Asset Prices'!AF87-1</f>
        <v>-2.0080321285141922E-3</v>
      </c>
      <c r="AG86" s="1">
        <f>'Asset Prices'!AG86/'Asset Prices'!AG87-1</f>
        <v>8.6846676140850398E-3</v>
      </c>
      <c r="AH86" s="1">
        <f>'Asset Prices'!AH86/'Asset Prices'!AH87-1</f>
        <v>-2.4799599198396804E-2</v>
      </c>
      <c r="AI86" s="1">
        <f>'Asset Prices'!AI86/'Asset Prices'!AI87-1</f>
        <v>0.12173162308830787</v>
      </c>
      <c r="AJ86" s="1">
        <f>'Asset Prices'!AJ86/'Asset Prices'!AJ87-1</f>
        <v>1.2537313432835928E-2</v>
      </c>
      <c r="AK86" s="1">
        <f>'Asset Prices'!AK86/'Asset Prices'!AK87-1</f>
        <v>4.7205642973412898E-2</v>
      </c>
      <c r="AL86" s="1">
        <f>'Asset Prices'!AL86/'Asset Prices'!AL87-1</f>
        <v>-0.12868818395899706</v>
      </c>
      <c r="AM86" s="1">
        <f>'Asset Prices'!AM86/'Asset Prices'!AM87-1</f>
        <v>-2.5359886626389327E-3</v>
      </c>
      <c r="AN86" s="1">
        <f>'Asset Prices'!AN86/'Asset Prices'!AN87-1</f>
        <v>2.2988505747126409E-2</v>
      </c>
      <c r="AO86" s="1">
        <f>'Asset Prices'!AO86/'Asset Prices'!AO87-1</f>
        <v>-1.8157807857378527E-3</v>
      </c>
      <c r="AP86" s="1">
        <f>'Asset Prices'!AP86/'Asset Prices'!AP87-1</f>
        <v>-2.4699712400609086E-2</v>
      </c>
      <c r="AQ86" s="1">
        <f>'Asset Prices'!AQ86/'Asset Prices'!AQ87-1</f>
        <v>2.2558275545156992E-3</v>
      </c>
      <c r="AR86" s="1">
        <f>'Asset Prices'!AR86/'Asset Prices'!AR87-1</f>
        <v>1.6112531969309396E-2</v>
      </c>
      <c r="AS86" s="1">
        <f>'Asset Prices'!AS86/'Asset Prices'!AS87-1</f>
        <v>4.9315068493150704E-2</v>
      </c>
      <c r="AT86" s="1">
        <f>'Asset Prices'!AT86/'Asset Prices'!AT87-1</f>
        <v>1.1652944901836548E-2</v>
      </c>
      <c r="AU86" s="1">
        <f>'Asset Prices'!AU86/'Asset Prices'!AU87-1</f>
        <v>4.1073607157380954E-2</v>
      </c>
      <c r="AV86" s="1">
        <f>'Asset Prices'!AV86/'Asset Prices'!AV87-1</f>
        <v>-4.4982698961937628E-2</v>
      </c>
      <c r="AW86" s="1">
        <f>'Asset Prices'!AW86/'Asset Prices'!AW87-1</f>
        <v>3.9459459459459501E-2</v>
      </c>
      <c r="AX86" s="1">
        <f>'Asset Prices'!AX86/'Asset Prices'!AX87-1</f>
        <v>7.6335877862594437E-3</v>
      </c>
      <c r="AY86" s="1">
        <f>'Asset Prices'!AY86/'Asset Prices'!AY87-1</f>
        <v>2.9477196885428381E-2</v>
      </c>
      <c r="AZ86" s="1">
        <f>'Asset Prices'!AZ86/'Asset Prices'!AZ87-1</f>
        <v>1.4955002646902971E-2</v>
      </c>
      <c r="BA86" s="1">
        <f>'Asset Prices'!BA86/'Asset Prices'!BA87-1</f>
        <v>-1.3946711074104834E-2</v>
      </c>
      <c r="BB86" s="1">
        <f>'Asset Prices'!BB86/'Asset Prices'!BB87-1</f>
        <v>-2.489234324125611E-2</v>
      </c>
      <c r="BC86" s="1">
        <f>'Asset Prices'!BC86/'Asset Prices'!BC87-1</f>
        <v>8.3883922787926002E-2</v>
      </c>
      <c r="BD86" s="1">
        <f>'Asset Prices'!BD86/'Asset Prices'!BD87-1</f>
        <v>-2.2950300728078465E-3</v>
      </c>
    </row>
    <row r="87" spans="3:56" x14ac:dyDescent="0.25">
      <c r="C87" s="38">
        <f>'Asset Prices'!C87</f>
        <v>43762</v>
      </c>
      <c r="D87" s="1">
        <f>'Asset Prices'!D87/'Asset Prices'!D88-1</f>
        <v>-1.0003371923120175E-2</v>
      </c>
      <c r="E87" s="1">
        <f>'Asset Prices'!E87/'Asset Prices'!E88-1</f>
        <v>-1.5940167711717246E-2</v>
      </c>
      <c r="F87" s="1">
        <f>'Asset Prices'!F87/'Asset Prices'!F88-1</f>
        <v>-4.2486395981582326E-2</v>
      </c>
      <c r="G87" s="1">
        <f>'Asset Prices'!G87/'Asset Prices'!G88-1</f>
        <v>-1.4529604068289181E-2</v>
      </c>
      <c r="H87" s="1">
        <f>'Asset Prices'!H87/'Asset Prices'!H88-1</f>
        <v>1.3477701219050564E-2</v>
      </c>
      <c r="I87" s="1">
        <f>'Asset Prices'!I87/'Asset Prices'!I88-1</f>
        <v>-2.1062030568832379E-2</v>
      </c>
      <c r="J87" s="1">
        <f>'Asset Prices'!J87/'Asset Prices'!J88-1</f>
        <v>3.5277116626997618E-2</v>
      </c>
      <c r="K87" s="1">
        <f>'Asset Prices'!K87/'Asset Prices'!K88-1</f>
        <v>-3.7482936872020867E-3</v>
      </c>
      <c r="L87" s="1">
        <f>'Asset Prices'!L87/'Asset Prices'!L88-1</f>
        <v>-7.4484404295210527E-2</v>
      </c>
      <c r="M87" s="1">
        <f>'Asset Prices'!M87/'Asset Prices'!M88-1</f>
        <v>1.7896771422434288E-3</v>
      </c>
      <c r="N87" s="1">
        <f>'Asset Prices'!N87/'Asset Prices'!N88-1</f>
        <v>5.0367177522350204E-3</v>
      </c>
      <c r="O87" s="1">
        <f>'Asset Prices'!O87/'Asset Prices'!O88-1</f>
        <v>-4.1642113533686853E-2</v>
      </c>
      <c r="P87" s="1">
        <f>'Asset Prices'!P87/'Asset Prices'!P88-1</f>
        <v>-3.0412083734603357E-3</v>
      </c>
      <c r="Q87" s="1">
        <f>'Asset Prices'!Q87/'Asset Prices'!Q88-1</f>
        <v>0.16618362004487675</v>
      </c>
      <c r="R87" s="1">
        <f>'Asset Prices'!R87/'Asset Prices'!R88-1</f>
        <v>1.3664206062509843E-2</v>
      </c>
      <c r="S87" s="1">
        <f>'Asset Prices'!S87/'Asset Prices'!S88-1</f>
        <v>3.2408850109068243E-2</v>
      </c>
      <c r="T87" s="1">
        <f>'Asset Prices'!T87/'Asset Prices'!T88-1</f>
        <v>3.0936385502198016E-2</v>
      </c>
      <c r="U87" s="1">
        <f>'Asset Prices'!U87/'Asset Prices'!U88-1</f>
        <v>6.6434176111595411E-2</v>
      </c>
      <c r="V87" s="1">
        <f>'Asset Prices'!V87/'Asset Prices'!V88-1</f>
        <v>1.5069615069615017E-2</v>
      </c>
      <c r="W87" s="1">
        <f>'Asset Prices'!W87/'Asset Prices'!W88-1</f>
        <v>3.2054951345163341E-2</v>
      </c>
      <c r="X87" s="1">
        <f>'Asset Prices'!X87/'Asset Prices'!X88-1</f>
        <v>4.5116969922019967E-2</v>
      </c>
      <c r="Y87" s="1">
        <f>'Asset Prices'!Y87/'Asset Prices'!Y88-1</f>
        <v>-5.3492970123022676E-2</v>
      </c>
      <c r="Z87" s="1">
        <f>'Asset Prices'!Z87/'Asset Prices'!Z88-1</f>
        <v>1.9580419580419672E-2</v>
      </c>
      <c r="AA87" s="1">
        <f>'Asset Prices'!AA87/'Asset Prices'!AA88-1</f>
        <v>-1.4745308310991634E-3</v>
      </c>
      <c r="AB87" s="1">
        <f>'Asset Prices'!AB87/'Asset Prices'!AB88-1</f>
        <v>-1.2820512820512886E-2</v>
      </c>
      <c r="AC87" s="1">
        <f>'Asset Prices'!AC87/'Asset Prices'!AC88-1</f>
        <v>1.4340013821700026E-2</v>
      </c>
      <c r="AD87" s="1">
        <f>'Asset Prices'!AD87/'Asset Prices'!AD88-1</f>
        <v>1.5720410549564967E-2</v>
      </c>
      <c r="AE87" s="1">
        <f>'Asset Prices'!AE87/'Asset Prices'!AE88-1</f>
        <v>1.7130857648099074E-2</v>
      </c>
      <c r="AF87" s="1">
        <f>'Asset Prices'!AF87/'Asset Prices'!AF88-1</f>
        <v>1.4256619144602967E-2</v>
      </c>
      <c r="AG87" s="1">
        <f>'Asset Prices'!AG87/'Asset Prices'!AG88-1</f>
        <v>2.6915769474351592E-3</v>
      </c>
      <c r="AH87" s="1">
        <f>'Asset Prices'!AH87/'Asset Prices'!AH88-1</f>
        <v>1.9147306612203208E-2</v>
      </c>
      <c r="AI87" s="1">
        <f>'Asset Prices'!AI87/'Asset Prices'!AI88-1</f>
        <v>-1.8995765275257148E-2</v>
      </c>
      <c r="AJ87" s="1">
        <f>'Asset Prices'!AJ87/'Asset Prices'!AJ88-1</f>
        <v>-6.5243179122181916E-3</v>
      </c>
      <c r="AK87" s="1">
        <f>'Asset Prices'!AK87/'Asset Prices'!AK88-1</f>
        <v>7.2134962187318186E-2</v>
      </c>
      <c r="AL87" s="1">
        <f>'Asset Prices'!AL87/'Asset Prices'!AL88-1</f>
        <v>2.3100907029478313E-2</v>
      </c>
      <c r="AM87" s="1">
        <f>'Asset Prices'!AM87/'Asset Prices'!AM88-1</f>
        <v>-1.4151646059883394E-3</v>
      </c>
      <c r="AN87" s="1">
        <f>'Asset Prices'!AN87/'Asset Prices'!AN88-1</f>
        <v>-1.9252180367415161E-2</v>
      </c>
      <c r="AO87" s="1">
        <f>'Asset Prices'!AO87/'Asset Prices'!AO88-1</f>
        <v>2.8141036252276042E-3</v>
      </c>
      <c r="AP87" s="1">
        <f>'Asset Prices'!AP87/'Asset Prices'!AP88-1</f>
        <v>-2.2813688212927841E-2</v>
      </c>
      <c r="AQ87" s="1">
        <f>'Asset Prices'!AQ87/'Asset Prices'!AQ88-1</f>
        <v>5.7332155477031854E-2</v>
      </c>
      <c r="AR87" s="1">
        <f>'Asset Prices'!AR87/'Asset Prices'!AR88-1</f>
        <v>2.0621247716001045E-2</v>
      </c>
      <c r="AS87" s="1">
        <f>'Asset Prices'!AS87/'Asset Prices'!AS88-1</f>
        <v>-3.3368644067796605E-2</v>
      </c>
      <c r="AT87" s="1">
        <f>'Asset Prices'!AT87/'Asset Prices'!AT88-1</f>
        <v>-3.2824138366366329E-3</v>
      </c>
      <c r="AU87" s="1">
        <f>'Asset Prices'!AU87/'Asset Prices'!AU88-1</f>
        <v>-4.244548286604366E-2</v>
      </c>
      <c r="AV87" s="1">
        <f>'Asset Prices'!AV87/'Asset Prices'!AV88-1</f>
        <v>-1.5080514611911178E-2</v>
      </c>
      <c r="AW87" s="1">
        <f>'Asset Prices'!AW87/'Asset Prices'!AW88-1</f>
        <v>-3.1828345782387357E-2</v>
      </c>
      <c r="AX87" s="1">
        <f>'Asset Prices'!AX87/'Asset Prices'!AX88-1</f>
        <v>4.0370615486432948E-2</v>
      </c>
      <c r="AY87" s="1">
        <f>'Asset Prices'!AY87/'Asset Prices'!AY88-1</f>
        <v>-1.5603613468382127E-2</v>
      </c>
      <c r="AZ87" s="1">
        <f>'Asset Prices'!AZ87/'Asset Prices'!AZ88-1</f>
        <v>2.8167097564294474E-2</v>
      </c>
      <c r="BA87" s="1">
        <f>'Asset Prices'!BA87/'Asset Prices'!BA88-1</f>
        <v>2.3870417732310356E-2</v>
      </c>
      <c r="BB87" s="1">
        <f>'Asset Prices'!BB87/'Asset Prices'!BB88-1</f>
        <v>6.1291345239353756E-3</v>
      </c>
      <c r="BC87" s="1">
        <f>'Asset Prices'!BC87/'Asset Prices'!BC88-1</f>
        <v>1.2859204828762794E-2</v>
      </c>
      <c r="BD87" s="1">
        <f>'Asset Prices'!BD87/'Asset Prices'!BD88-1</f>
        <v>3.3349213911386677E-3</v>
      </c>
    </row>
    <row r="88" spans="3:56" x14ac:dyDescent="0.25">
      <c r="C88" s="38">
        <f>'Asset Prices'!C88</f>
        <v>43755</v>
      </c>
      <c r="D88" s="1">
        <f>'Asset Prices'!D88/'Asset Prices'!D89-1</f>
        <v>1.7497712717291947E-2</v>
      </c>
      <c r="E88" s="1">
        <f>'Asset Prices'!E88/'Asset Prices'!E89-1</f>
        <v>2.3426627493428276E-2</v>
      </c>
      <c r="F88" s="1">
        <f>'Asset Prices'!F88/'Asset Prices'!F89-1</f>
        <v>2.7526881720430163E-2</v>
      </c>
      <c r="G88" s="1">
        <f>'Asset Prices'!G88/'Asset Prices'!G89-1</f>
        <v>-7.7491439899081138E-3</v>
      </c>
      <c r="H88" s="1">
        <f>'Asset Prices'!H88/'Asset Prices'!H89-1</f>
        <v>7.6452848642921234E-2</v>
      </c>
      <c r="I88" s="1">
        <f>'Asset Prices'!I88/'Asset Prices'!I89-1</f>
        <v>5.7545964561461993E-2</v>
      </c>
      <c r="J88" s="1">
        <f>'Asset Prices'!J88/'Asset Prices'!J89-1</f>
        <v>2.2556390977443552E-2</v>
      </c>
      <c r="K88" s="1">
        <f>'Asset Prices'!K88/'Asset Prices'!K89-1</f>
        <v>3.9075488588934171E-2</v>
      </c>
      <c r="L88" s="1">
        <f>'Asset Prices'!L88/'Asset Prices'!L89-1</f>
        <v>4.5885624643468459E-2</v>
      </c>
      <c r="M88" s="1">
        <f>'Asset Prices'!M88/'Asset Prices'!M89-1</f>
        <v>4.2415528396837487E-3</v>
      </c>
      <c r="N88" s="1">
        <f>'Asset Prices'!N88/'Asset Prices'!N89-1</f>
        <v>3.5825609564519967E-2</v>
      </c>
      <c r="O88" s="1">
        <f>'Asset Prices'!O88/'Asset Prices'!O89-1</f>
        <v>-2.2840690978886857E-2</v>
      </c>
      <c r="P88" s="1">
        <f>'Asset Prices'!P88/'Asset Prices'!P89-1</f>
        <v>2.3766280940272777E-2</v>
      </c>
      <c r="Q88" s="1">
        <f>'Asset Prices'!Q88/'Asset Prices'!Q89-1</f>
        <v>0.10171499201730438</v>
      </c>
      <c r="R88" s="1">
        <f>'Asset Prices'!R88/'Asset Prices'!R89-1</f>
        <v>-4.3784206411259241E-3</v>
      </c>
      <c r="S88" s="1">
        <f>'Asset Prices'!S88/'Asset Prices'!S89-1</f>
        <v>5.0065445026178157E-2</v>
      </c>
      <c r="T88" s="1">
        <f>'Asset Prices'!T88/'Asset Prices'!T89-1</f>
        <v>2.0137067433793066E-2</v>
      </c>
      <c r="U88" s="1">
        <f>'Asset Prices'!U88/'Asset Prices'!U89-1</f>
        <v>4.6723854718014213E-2</v>
      </c>
      <c r="V88" s="1">
        <f>'Asset Prices'!V88/'Asset Prices'!V89-1</f>
        <v>3.7383177570093462E-2</v>
      </c>
      <c r="W88" s="1">
        <f>'Asset Prices'!W88/'Asset Prices'!W89-1</f>
        <v>4.7205155102652441E-2</v>
      </c>
      <c r="X88" s="1">
        <f>'Asset Prices'!X88/'Asset Prices'!X89-1</f>
        <v>3.5401527855412063E-3</v>
      </c>
      <c r="Y88" s="1">
        <f>'Asset Prices'!Y88/'Asset Prices'!Y89-1</f>
        <v>3.2199546485260688E-2</v>
      </c>
      <c r="Z88" s="1">
        <f>'Asset Prices'!Z88/'Asset Prices'!Z89-1</f>
        <v>8.2162162162162211E-2</v>
      </c>
      <c r="AA88" s="1">
        <f>'Asset Prices'!AA88/'Asset Prices'!AA89-1</f>
        <v>3.9025703135511236E-3</v>
      </c>
      <c r="AB88" s="1">
        <f>'Asset Prices'!AB88/'Asset Prices'!AB89-1</f>
        <v>2.2950819672131306E-2</v>
      </c>
      <c r="AC88" s="1">
        <f>'Asset Prices'!AC88/'Asset Prices'!AC89-1</f>
        <v>5.344900806891939E-2</v>
      </c>
      <c r="AD88" s="1">
        <f>'Asset Prices'!AD88/'Asset Prices'!AD89-1</f>
        <v>8.3474099099098975E-2</v>
      </c>
      <c r="AE88" s="1">
        <f>'Asset Prices'!AE88/'Asset Prices'!AE89-1</f>
        <v>2.1795595708639315E-2</v>
      </c>
      <c r="AF88" s="1">
        <f>'Asset Prices'!AF88/'Asset Prices'!AF89-1</f>
        <v>1.5511892450879028E-2</v>
      </c>
      <c r="AG88" s="1">
        <f>'Asset Prices'!AG88/'Asset Prices'!AG89-1</f>
        <v>7.396701241285486E-2</v>
      </c>
      <c r="AH88" s="1">
        <f>'Asset Prices'!AH88/'Asset Prices'!AH89-1</f>
        <v>-7.6530612244896101E-4</v>
      </c>
      <c r="AI88" s="1">
        <f>'Asset Prices'!AI88/'Asset Prices'!AI89-1</f>
        <v>0.10657383853260161</v>
      </c>
      <c r="AJ88" s="1">
        <f>'Asset Prices'!AJ88/'Asset Prices'!AJ89-1</f>
        <v>2.4612579762990139E-2</v>
      </c>
      <c r="AK88" s="1">
        <f>'Asset Prices'!AK88/'Asset Prices'!AK89-1</f>
        <v>1.7460787215152429E-2</v>
      </c>
      <c r="AL88" s="1">
        <f>'Asset Prices'!AL88/'Asset Prices'!AL89-1</f>
        <v>-4.8928427011726616E-2</v>
      </c>
      <c r="AM88" s="1">
        <f>'Asset Prices'!AM88/'Asset Prices'!AM89-1</f>
        <v>-4.8678523347268521E-2</v>
      </c>
      <c r="AN88" s="1">
        <f>'Asset Prices'!AN88/'Asset Prices'!AN89-1</f>
        <v>2.0209191159070494E-2</v>
      </c>
      <c r="AO88" s="1">
        <f>'Asset Prices'!AO88/'Asset Prices'!AO89-1</f>
        <v>9.694133377903924E-3</v>
      </c>
      <c r="AP88" s="1">
        <f>'Asset Prices'!AP88/'Asset Prices'!AP89-1</f>
        <v>5.328225666028219E-2</v>
      </c>
      <c r="AQ88" s="1">
        <f>'Asset Prices'!AQ88/'Asset Prices'!AQ89-1</f>
        <v>-4.1895895048666976E-2</v>
      </c>
      <c r="AR88" s="1">
        <f>'Asset Prices'!AR88/'Asset Prices'!AR89-1</f>
        <v>-1.6178736517719505E-2</v>
      </c>
      <c r="AS88" s="1">
        <f>'Asset Prices'!AS88/'Asset Prices'!AS89-1</f>
        <v>2.219815917704393E-2</v>
      </c>
      <c r="AT88" s="1">
        <f>'Asset Prices'!AT88/'Asset Prices'!AT89-1</f>
        <v>1.2527163492266347E-2</v>
      </c>
      <c r="AU88" s="1">
        <f>'Asset Prices'!AU88/'Asset Prices'!AU89-1</f>
        <v>3.3234087068479967E-2</v>
      </c>
      <c r="AV88" s="1">
        <f>'Asset Prices'!AV88/'Asset Prices'!AV89-1</f>
        <v>3.037485734351697E-2</v>
      </c>
      <c r="AW88" s="1">
        <f>'Asset Prices'!AW88/'Asset Prices'!AW89-1</f>
        <v>-1.8629190400597628E-2</v>
      </c>
      <c r="AX88" s="1">
        <f>'Asset Prices'!AX88/'Asset Prices'!AX89-1</f>
        <v>2.0256583389601568E-2</v>
      </c>
      <c r="AY88" s="1">
        <f>'Asset Prices'!AY88/'Asset Prices'!AY89-1</f>
        <v>6.0993319779262256E-2</v>
      </c>
      <c r="AZ88" s="1">
        <f>'Asset Prices'!AZ88/'Asset Prices'!AZ89-1</f>
        <v>1.8854845417995314E-2</v>
      </c>
      <c r="BA88" s="1">
        <f>'Asset Prices'!BA88/'Asset Prices'!BA89-1</f>
        <v>2.8947368421052611E-2</v>
      </c>
      <c r="BB88" s="1">
        <f>'Asset Prices'!BB88/'Asset Prices'!BB89-1</f>
        <v>4.244932611694674E-3</v>
      </c>
      <c r="BC88" s="1">
        <f>'Asset Prices'!BC88/'Asset Prices'!BC89-1</f>
        <v>2.0692426170226819E-2</v>
      </c>
      <c r="BD88" s="1">
        <f>'Asset Prices'!BD88/'Asset Prices'!BD89-1</f>
        <v>3.1862354628007239E-3</v>
      </c>
    </row>
    <row r="89" spans="3:56" x14ac:dyDescent="0.25">
      <c r="C89" s="38">
        <f>'Asset Prices'!C89</f>
        <v>43748</v>
      </c>
      <c r="D89" s="1">
        <f>'Asset Prices'!D89/'Asset Prices'!D90-1</f>
        <v>1.1627234337941772E-2</v>
      </c>
      <c r="E89" s="1">
        <f>'Asset Prices'!E89/'Asset Prices'!E90-1</f>
        <v>9.2859929769801841E-3</v>
      </c>
      <c r="F89" s="1">
        <f>'Asset Prices'!F89/'Asset Prices'!F90-1</f>
        <v>8.458035133376729E-3</v>
      </c>
      <c r="G89" s="1">
        <f>'Asset Prices'!G89/'Asset Prices'!G90-1</f>
        <v>3.0263646490902296E-2</v>
      </c>
      <c r="H89" s="1">
        <f>'Asset Prices'!H89/'Asset Prices'!H90-1</f>
        <v>2.2075974675108245E-2</v>
      </c>
      <c r="I89" s="1">
        <f>'Asset Prices'!I89/'Asset Prices'!I90-1</f>
        <v>3.6235923737317766E-3</v>
      </c>
      <c r="J89" s="1">
        <f>'Asset Prices'!J89/'Asset Prices'!J90-1</f>
        <v>4.197989312562278E-2</v>
      </c>
      <c r="K89" s="1">
        <f>'Asset Prices'!K89/'Asset Prices'!K90-1</f>
        <v>-2.4124053304880322E-3</v>
      </c>
      <c r="L89" s="1">
        <f>'Asset Prices'!L89/'Asset Prices'!L90-1</f>
        <v>4.598172664553446E-2</v>
      </c>
      <c r="M89" s="1">
        <f>'Asset Prices'!M89/'Asset Prices'!M90-1</f>
        <v>2.069269151746389E-2</v>
      </c>
      <c r="N89" s="1">
        <f>'Asset Prices'!N89/'Asset Prices'!N90-1</f>
        <v>1.6848406379526226E-2</v>
      </c>
      <c r="O89" s="1">
        <f>'Asset Prices'!O89/'Asset Prices'!O90-1</f>
        <v>5.2739902238232439E-3</v>
      </c>
      <c r="P89" s="1">
        <f>'Asset Prices'!P89/'Asset Prices'!P90-1</f>
        <v>-7.9789972202202186E-3</v>
      </c>
      <c r="Q89" s="1">
        <f>'Asset Prices'!Q89/'Asset Prices'!Q90-1</f>
        <v>5.087405964171654E-2</v>
      </c>
      <c r="R89" s="1">
        <f>'Asset Prices'!R89/'Asset Prices'!R90-1</f>
        <v>7.6420074056566811E-3</v>
      </c>
      <c r="S89" s="1">
        <f>'Asset Prices'!S89/'Asset Prices'!S90-1</f>
        <v>-3.2711808963037381E-4</v>
      </c>
      <c r="T89" s="1">
        <f>'Asset Prices'!T89/'Asset Prices'!T90-1</f>
        <v>-6.9736178793480263E-3</v>
      </c>
      <c r="U89" s="1">
        <f>'Asset Prices'!U89/'Asset Prices'!U90-1</f>
        <v>-2.073279714030396E-2</v>
      </c>
      <c r="V89" s="1">
        <f>'Asset Prices'!V89/'Asset Prices'!V90-1</f>
        <v>5.8109724833361742E-3</v>
      </c>
      <c r="W89" s="1">
        <f>'Asset Prices'!W89/'Asset Prices'!W90-1</f>
        <v>1.6296070667072948E-2</v>
      </c>
      <c r="X89" s="1">
        <f>'Asset Prices'!X89/'Asset Prices'!X90-1</f>
        <v>2.6980482204362888E-2</v>
      </c>
      <c r="Y89" s="1">
        <f>'Asset Prices'!Y89/'Asset Prices'!Y90-1</f>
        <v>-6.4210882054748231E-3</v>
      </c>
      <c r="Z89" s="1">
        <f>'Asset Prices'!Z89/'Asset Prices'!Z90-1</f>
        <v>-7.277465918203696E-2</v>
      </c>
      <c r="AA89" s="1">
        <f>'Asset Prices'!AA89/'Asset Prices'!AA90-1</f>
        <v>5.0169587337478783E-2</v>
      </c>
      <c r="AB89" s="1">
        <f>'Asset Prices'!AB89/'Asset Prices'!AB90-1</f>
        <v>4.9913941480206558E-2</v>
      </c>
      <c r="AC89" s="1">
        <f>'Asset Prices'!AC89/'Asset Prices'!AC90-1</f>
        <v>1.3091579594345593E-2</v>
      </c>
      <c r="AD89" s="1">
        <f>'Asset Prices'!AD89/'Asset Prices'!AD90-1</f>
        <v>3.4965034965035002E-2</v>
      </c>
      <c r="AE89" s="1">
        <f>'Asset Prices'!AE89/'Asset Prices'!AE90-1</f>
        <v>2.3771790808240212E-3</v>
      </c>
      <c r="AF89" s="1">
        <f>'Asset Prices'!AF89/'Asset Prices'!AF90-1</f>
        <v>-1.9766852508869781E-2</v>
      </c>
      <c r="AG89" s="1">
        <f>'Asset Prices'!AG89/'Asset Prices'!AG90-1</f>
        <v>4.2176147439305423E-2</v>
      </c>
      <c r="AH89" s="1">
        <f>'Asset Prices'!AH89/'Asset Prices'!AH90-1</f>
        <v>7.7120822622109841E-3</v>
      </c>
      <c r="AI89" s="1">
        <f>'Asset Prices'!AI89/'Asset Prices'!AI90-1</f>
        <v>-4.6641791044776948E-3</v>
      </c>
      <c r="AJ89" s="1">
        <f>'Asset Prices'!AJ89/'Asset Prices'!AJ90-1</f>
        <v>4.3106180665610117E-2</v>
      </c>
      <c r="AK89" s="1">
        <f>'Asset Prices'!AK89/'Asset Prices'!AK90-1</f>
        <v>5.4619225967540652E-2</v>
      </c>
      <c r="AL89" s="1">
        <f>'Asset Prices'!AL89/'Asset Prices'!AL90-1</f>
        <v>3.2454361054765624E-3</v>
      </c>
      <c r="AM89" s="1">
        <f>'Asset Prices'!AM89/'Asset Prices'!AM90-1</f>
        <v>-6.2667229967611204E-3</v>
      </c>
      <c r="AN89" s="1">
        <f>'Asset Prices'!AN89/'Asset Prices'!AN90-1</f>
        <v>-8.6332285459578273E-3</v>
      </c>
      <c r="AO89" s="1">
        <f>'Asset Prices'!AO89/'Asset Prices'!AO90-1</f>
        <v>1.3895949839010324E-2</v>
      </c>
      <c r="AP89" s="1">
        <f>'Asset Prices'!AP89/'Asset Prices'!AP90-1</f>
        <v>6.391256020748437E-2</v>
      </c>
      <c r="AQ89" s="1">
        <f>'Asset Prices'!AQ89/'Asset Prices'!AQ90-1</f>
        <v>-6.5584797780207094E-3</v>
      </c>
      <c r="AR89" s="1">
        <f>'Asset Prices'!AR89/'Asset Prices'!AR90-1</f>
        <v>2.1511017838405033E-2</v>
      </c>
      <c r="AS89" s="1">
        <f>'Asset Prices'!AS89/'Asset Prices'!AS90-1</f>
        <v>-1.9118428040361124E-2</v>
      </c>
      <c r="AT89" s="1">
        <f>'Asset Prices'!AT89/'Asset Prices'!AT90-1</f>
        <v>3.592046183450881E-3</v>
      </c>
      <c r="AU89" s="1">
        <f>'Asset Prices'!AU89/'Asset Prices'!AU90-1</f>
        <v>-9.4456179506595683E-3</v>
      </c>
      <c r="AV89" s="1">
        <f>'Asset Prices'!AV89/'Asset Prices'!AV90-1</f>
        <v>8.7672688629116813E-3</v>
      </c>
      <c r="AW89" s="1">
        <f>'Asset Prices'!AW89/'Asset Prices'!AW90-1</f>
        <v>2.4147659350643114E-2</v>
      </c>
      <c r="AX89" s="1">
        <f>'Asset Prices'!AX89/'Asset Prices'!AX90-1</f>
        <v>5.7857142857142829E-2</v>
      </c>
      <c r="AY89" s="1">
        <f>'Asset Prices'!AY89/'Asset Prices'!AY90-1</f>
        <v>9.3015873015872996E-2</v>
      </c>
      <c r="AZ89" s="1">
        <f>'Asset Prices'!AZ89/'Asset Prices'!AZ90-1</f>
        <v>-3.1785516860144414E-3</v>
      </c>
      <c r="BA89" s="1">
        <f>'Asset Prices'!BA89/'Asset Prices'!BA90-1</f>
        <v>-4.5026178010471152E-2</v>
      </c>
      <c r="BB89" s="1">
        <f>'Asset Prices'!BB89/'Asset Prices'!BB90-1</f>
        <v>-6.0126582278480223E-3</v>
      </c>
      <c r="BC89" s="1">
        <f>'Asset Prices'!BC89/'Asset Prices'!BC90-1</f>
        <v>1.7234332425068111E-2</v>
      </c>
      <c r="BD89" s="1">
        <f>'Asset Prices'!BD89/'Asset Prices'!BD90-1</f>
        <v>1.48746968472111E-2</v>
      </c>
    </row>
    <row r="90" spans="3:56" x14ac:dyDescent="0.25">
      <c r="C90" s="38">
        <f>'Asset Prices'!C90</f>
        <v>43741</v>
      </c>
      <c r="D90" s="1">
        <f>'Asset Prices'!D90/'Asset Prices'!D91-1</f>
        <v>-1.5826928551095909E-2</v>
      </c>
      <c r="E90" s="1">
        <f>'Asset Prices'!E90/'Asset Prices'!E91-1</f>
        <v>-2.3767806810390812E-2</v>
      </c>
      <c r="F90" s="1">
        <f>'Asset Prices'!F90/'Asset Prices'!F91-1</f>
        <v>5.4247585982425406E-4</v>
      </c>
      <c r="G90" s="1">
        <f>'Asset Prices'!G90/'Asset Prices'!G91-1</f>
        <v>-1.8532246108228234E-3</v>
      </c>
      <c r="H90" s="1">
        <f>'Asset Prices'!H90/'Asset Prices'!H91-1</f>
        <v>-5.0241316559854421E-2</v>
      </c>
      <c r="I90" s="1">
        <f>'Asset Prices'!I90/'Asset Prices'!I91-1</f>
        <v>-4.0530786741437286E-3</v>
      </c>
      <c r="J90" s="1">
        <f>'Asset Prices'!J90/'Asset Prices'!J91-1</f>
        <v>4.2293874209833326E-3</v>
      </c>
      <c r="K90" s="1">
        <f>'Asset Prices'!K90/'Asset Prices'!K91-1</f>
        <v>-8.8628839433509965E-3</v>
      </c>
      <c r="L90" s="1">
        <f>'Asset Prices'!L90/'Asset Prices'!L91-1</f>
        <v>1.8381375564923363E-2</v>
      </c>
      <c r="M90" s="1">
        <f>'Asset Prices'!M90/'Asset Prices'!M91-1</f>
        <v>-2.336247670918723E-2</v>
      </c>
      <c r="N90" s="1">
        <f>'Asset Prices'!N90/'Asset Prices'!N91-1</f>
        <v>-4.2550451182896021E-2</v>
      </c>
      <c r="O90" s="1">
        <f>'Asset Prices'!O90/'Asset Prices'!O91-1</f>
        <v>7.7780658542907499E-3</v>
      </c>
      <c r="P90" s="1">
        <f>'Asset Prices'!P90/'Asset Prices'!P91-1</f>
        <v>-5.7310622603969574E-2</v>
      </c>
      <c r="Q90" s="1">
        <f>'Asset Prices'!Q90/'Asset Prices'!Q91-1</f>
        <v>3.2292306832784057E-2</v>
      </c>
      <c r="R90" s="1">
        <f>'Asset Prices'!R90/'Asset Prices'!R91-1</f>
        <v>-3.2103095928015746E-2</v>
      </c>
      <c r="S90" s="1">
        <f>'Asset Prices'!S90/'Asset Prices'!S91-1</f>
        <v>-3.595080416272467E-2</v>
      </c>
      <c r="T90" s="1">
        <f>'Asset Prices'!T90/'Asset Prices'!T91-1</f>
        <v>-2.1780225199309666E-2</v>
      </c>
      <c r="U90" s="1">
        <f>'Asset Prices'!U90/'Asset Prices'!U91-1</f>
        <v>1.2526843235505236E-3</v>
      </c>
      <c r="V90" s="1">
        <f>'Asset Prices'!V90/'Asset Prices'!V91-1</f>
        <v>5.2906244376462075E-2</v>
      </c>
      <c r="W90" s="1">
        <f>'Asset Prices'!W90/'Asset Prices'!W91-1</f>
        <v>-1.9414575866188777E-2</v>
      </c>
      <c r="X90" s="1">
        <f>'Asset Prices'!X90/'Asset Prices'!X91-1</f>
        <v>-4.250641260534993E-2</v>
      </c>
      <c r="Y90" s="1">
        <f>'Asset Prices'!Y90/'Asset Prices'!Y91-1</f>
        <v>2.6836321573163735E-2</v>
      </c>
      <c r="Z90" s="1">
        <f>'Asset Prices'!Z90/'Asset Prices'!Z91-1</f>
        <v>2.0875972165370404E-2</v>
      </c>
      <c r="AA90" s="1">
        <f>'Asset Prices'!AA90/'Asset Prices'!AA91-1</f>
        <v>2.4467931084407368E-2</v>
      </c>
      <c r="AB90" s="1">
        <f>'Asset Prices'!AB90/'Asset Prices'!AB91-1</f>
        <v>-3.1666666666666732E-2</v>
      </c>
      <c r="AC90" s="1">
        <f>'Asset Prices'!AC90/'Asset Prices'!AC91-1</f>
        <v>-7.8343624313148008E-2</v>
      </c>
      <c r="AD90" s="1">
        <f>'Asset Prices'!AD90/'Asset Prices'!AD91-1</f>
        <v>-2.9960429621255003E-2</v>
      </c>
      <c r="AE90" s="1">
        <f>'Asset Prices'!AE90/'Asset Prices'!AE91-1</f>
        <v>-5.8519018681071344E-3</v>
      </c>
      <c r="AF90" s="1">
        <f>'Asset Prices'!AF90/'Asset Prices'!AF91-1</f>
        <v>-1.1027568922305719E-2</v>
      </c>
      <c r="AG90" s="1">
        <f>'Asset Prices'!AG90/'Asset Prices'!AG91-1</f>
        <v>-7.3855243722304231E-2</v>
      </c>
      <c r="AH90" s="1">
        <f>'Asset Prices'!AH90/'Asset Prices'!AH91-1</f>
        <v>-2.2367429002261852E-2</v>
      </c>
      <c r="AI90" s="1">
        <f>'Asset Prices'!AI90/'Asset Prices'!AI91-1</f>
        <v>-1.9949461364542342E-3</v>
      </c>
      <c r="AJ90" s="1">
        <f>'Asset Prices'!AJ90/'Asset Prices'!AJ91-1</f>
        <v>-6.2685680332739024E-2</v>
      </c>
      <c r="AK90" s="1">
        <f>'Asset Prices'!AK90/'Asset Prices'!AK91-1</f>
        <v>-5.4309327036599853E-2</v>
      </c>
      <c r="AL90" s="1">
        <f>'Asset Prices'!AL90/'Asset Prices'!AL91-1</f>
        <v>-3.1561026715557827E-2</v>
      </c>
      <c r="AM90" s="1">
        <f>'Asset Prices'!AM90/'Asset Prices'!AM91-1</f>
        <v>-1.0658307210031359E-2</v>
      </c>
      <c r="AN90" s="1">
        <f>'Asset Prices'!AN90/'Asset Prices'!AN91-1</f>
        <v>-1.506539119182948E-2</v>
      </c>
      <c r="AO90" s="1">
        <f>'Asset Prices'!AO90/'Asset Prices'!AO91-1</f>
        <v>-2.3659827928524169E-2</v>
      </c>
      <c r="AP90" s="1">
        <f>'Asset Prices'!AP90/'Asset Prices'!AP91-1</f>
        <v>-2.2455632017385097E-2</v>
      </c>
      <c r="AQ90" s="1">
        <f>'Asset Prices'!AQ90/'Asset Prices'!AQ91-1</f>
        <v>-5.3525131722003128E-3</v>
      </c>
      <c r="AR90" s="1">
        <f>'Asset Prices'!AR90/'Asset Prices'!AR91-1</f>
        <v>-3.175006350012699E-2</v>
      </c>
      <c r="AS90" s="1">
        <f>'Asset Prices'!AS90/'Asset Prices'!AS91-1</f>
        <v>-4.7064777327935348E-2</v>
      </c>
      <c r="AT90" s="1">
        <f>'Asset Prices'!AT90/'Asset Prices'!AT91-1</f>
        <v>-1.0786802030456788E-2</v>
      </c>
      <c r="AU90" s="1">
        <f>'Asset Prices'!AU90/'Asset Prices'!AU91-1</f>
        <v>1.4768100902051717E-3</v>
      </c>
      <c r="AV90" s="1">
        <f>'Asset Prices'!AV90/'Asset Prices'!AV91-1</f>
        <v>4.090343233149607E-3</v>
      </c>
      <c r="AW90" s="1">
        <f>'Asset Prices'!AW90/'Asset Prices'!AW91-1</f>
        <v>-1.493170042392844E-2</v>
      </c>
      <c r="AX90" s="1">
        <f>'Asset Prices'!AX90/'Asset Prices'!AX91-1</f>
        <v>4.0892193308550207E-2</v>
      </c>
      <c r="AY90" s="1">
        <f>'Asset Prices'!AY90/'Asset Prices'!AY91-1</f>
        <v>-2.5672749768017256E-2</v>
      </c>
      <c r="AZ90" s="1">
        <f>'Asset Prices'!AZ90/'Asset Prices'!AZ91-1</f>
        <v>-4.2730519910041065E-2</v>
      </c>
      <c r="BA90" s="1">
        <f>'Asset Prices'!BA90/'Asset Prices'!BA91-1</f>
        <v>-9.7469929489838458E-3</v>
      </c>
      <c r="BB90" s="1">
        <f>'Asset Prices'!BB90/'Asset Prices'!BB91-1</f>
        <v>-1.5269554378311012E-2</v>
      </c>
      <c r="BC90" s="1">
        <f>'Asset Prices'!BC90/'Asset Prices'!BC91-1</f>
        <v>-1.7928819909017735E-2</v>
      </c>
      <c r="BD90" s="1">
        <f>'Asset Prices'!BD90/'Asset Prices'!BD91-1</f>
        <v>-2.4447949526813839E-2</v>
      </c>
    </row>
    <row r="91" spans="3:56" x14ac:dyDescent="0.25">
      <c r="C91" s="38">
        <f>'Asset Prices'!C91</f>
        <v>43734</v>
      </c>
      <c r="D91" s="1">
        <f>'Asset Prices'!D91/'Asset Prices'!D92-1</f>
        <v>-1.7617640372812327E-3</v>
      </c>
      <c r="E91" s="1">
        <f>'Asset Prices'!E91/'Asset Prices'!E92-1</f>
        <v>-1.5228807201800421E-2</v>
      </c>
      <c r="F91" s="1">
        <f>'Asset Prices'!F91/'Asset Prices'!F92-1</f>
        <v>5.0969213226909948E-2</v>
      </c>
      <c r="G91" s="1">
        <f>'Asset Prices'!G91/'Asset Prices'!G92-1</f>
        <v>1.1054899756417491E-2</v>
      </c>
      <c r="H91" s="1">
        <f>'Asset Prices'!H91/'Asset Prices'!H92-1</f>
        <v>-2.866584691054419E-2</v>
      </c>
      <c r="I91" s="1">
        <f>'Asset Prices'!I91/'Asset Prices'!I92-1</f>
        <v>-5.2750604817502711E-2</v>
      </c>
      <c r="J91" s="1">
        <f>'Asset Prices'!J91/'Asset Prices'!J92-1</f>
        <v>-4.8425054308472992E-3</v>
      </c>
      <c r="K91" s="1">
        <f>'Asset Prices'!K91/'Asset Prices'!K92-1</f>
        <v>-4.4831183090859206E-2</v>
      </c>
      <c r="L91" s="1">
        <f>'Asset Prices'!L91/'Asset Prices'!L92-1</f>
        <v>-8.1263084438241484E-2</v>
      </c>
      <c r="M91" s="1">
        <f>'Asset Prices'!M91/'Asset Prices'!M92-1</f>
        <v>-1.0845679449918544E-2</v>
      </c>
      <c r="N91" s="1">
        <f>'Asset Prices'!N91/'Asset Prices'!N92-1</f>
        <v>2.8577194752774648E-3</v>
      </c>
      <c r="O91" s="1">
        <f>'Asset Prices'!O91/'Asset Prices'!O92-1</f>
        <v>5.4089279895732645E-3</v>
      </c>
      <c r="P91" s="1">
        <f>'Asset Prices'!P91/'Asset Prices'!P92-1</f>
        <v>-6.1252049773319328E-3</v>
      </c>
      <c r="Q91" s="1">
        <f>'Asset Prices'!Q91/'Asset Prices'!Q92-1</f>
        <v>-7.5959192725659763E-3</v>
      </c>
      <c r="R91" s="1">
        <f>'Asset Prices'!R91/'Asset Prices'!R92-1</f>
        <v>2.0385932150637887E-2</v>
      </c>
      <c r="S91" s="1">
        <f>'Asset Prices'!S91/'Asset Prices'!S92-1</f>
        <v>5.389980976537867E-3</v>
      </c>
      <c r="T91" s="1">
        <f>'Asset Prices'!T91/'Asset Prices'!T92-1</f>
        <v>-6.0825935932072639E-2</v>
      </c>
      <c r="U91" s="1">
        <f>'Asset Prices'!U91/'Asset Prices'!U92-1</f>
        <v>-2.9524140326502191E-2</v>
      </c>
      <c r="V91" s="1">
        <f>'Asset Prices'!V91/'Asset Prices'!V92-1</f>
        <v>3.3091652723554521E-2</v>
      </c>
      <c r="W91" s="1">
        <f>'Asset Prices'!W91/'Asset Prices'!W92-1</f>
        <v>-9.320905459387574E-3</v>
      </c>
      <c r="X91" s="1">
        <f>'Asset Prices'!X91/'Asset Prices'!X92-1</f>
        <v>-9.0777051561364841E-3</v>
      </c>
      <c r="Y91" s="1">
        <f>'Asset Prices'!Y91/'Asset Prices'!Y92-1</f>
        <v>-1.1661140962615835E-2</v>
      </c>
      <c r="Z91" s="1">
        <f>'Asset Prices'!Z91/'Asset Prices'!Z92-1</f>
        <v>2.6677611327725614E-3</v>
      </c>
      <c r="AA91" s="1">
        <f>'Asset Prices'!AA91/'Asset Prices'!AA92-1</f>
        <v>-3.8825494016142548E-2</v>
      </c>
      <c r="AB91" s="1">
        <f>'Asset Prices'!AB91/'Asset Prices'!AB92-1</f>
        <v>-1.9607843137254943E-2</v>
      </c>
      <c r="AC91" s="1">
        <f>'Asset Prices'!AC91/'Asset Prices'!AC92-1</f>
        <v>-3.5618683419830655E-2</v>
      </c>
      <c r="AD91" s="1">
        <f>'Asset Prices'!AD91/'Asset Prices'!AD92-1</f>
        <v>-3.1480974541472695E-2</v>
      </c>
      <c r="AE91" s="1">
        <f>'Asset Prices'!AE91/'Asset Prices'!AE92-1</f>
        <v>2.3143350604490465E-2</v>
      </c>
      <c r="AF91" s="1">
        <f>'Asset Prices'!AF91/'Asset Prices'!AF92-1</f>
        <v>-4.9547403525488254E-2</v>
      </c>
      <c r="AG91" s="1">
        <f>'Asset Prices'!AG91/'Asset Prices'!AG92-1</f>
        <v>-1.2479740680713225E-2</v>
      </c>
      <c r="AH91" s="1">
        <f>'Asset Prices'!AH91/'Asset Prices'!AH92-1</f>
        <v>5.9936068193926495E-2</v>
      </c>
      <c r="AI91" s="1">
        <f>'Asset Prices'!AI91/'Asset Prices'!AI92-1</f>
        <v>-3.1555899021123213E-2</v>
      </c>
      <c r="AJ91" s="1">
        <f>'Asset Prices'!AJ91/'Asset Prices'!AJ92-1</f>
        <v>-0.14351145038167945</v>
      </c>
      <c r="AK91" s="1">
        <f>'Asset Prices'!AK91/'Asset Prices'!AK92-1</f>
        <v>-9.9357101110461032E-3</v>
      </c>
      <c r="AL91" s="1">
        <f>'Asset Prices'!AL91/'Asset Prices'!AL92-1</f>
        <v>5.1356188902657252E-2</v>
      </c>
      <c r="AM91" s="1">
        <f>'Asset Prices'!AM91/'Asset Prices'!AM92-1</f>
        <v>4.0567951318459805E-3</v>
      </c>
      <c r="AN91" s="1">
        <f>'Asset Prices'!AN91/'Asset Prices'!AN92-1</f>
        <v>-2.1081203347659061E-2</v>
      </c>
      <c r="AO91" s="1">
        <f>'Asset Prices'!AO91/'Asset Prices'!AO92-1</f>
        <v>7.6692230743582446E-3</v>
      </c>
      <c r="AP91" s="1">
        <f>'Asset Prices'!AP91/'Asset Prices'!AP92-1</f>
        <v>-2.1962451292950824E-2</v>
      </c>
      <c r="AQ91" s="1">
        <f>'Asset Prices'!AQ91/'Asset Prices'!AQ92-1</f>
        <v>-1.8953068592057809E-2</v>
      </c>
      <c r="AR91" s="1">
        <f>'Asset Prices'!AR91/'Asset Prices'!AR92-1</f>
        <v>-5.0774308200063345E-4</v>
      </c>
      <c r="AS91" s="1">
        <f>'Asset Prices'!AS91/'Asset Prices'!AS92-1</f>
        <v>-5.9047619047619015E-2</v>
      </c>
      <c r="AT91" s="1">
        <f>'Asset Prices'!AT91/'Asset Prices'!AT92-1</f>
        <v>5.2302589616022299E-3</v>
      </c>
      <c r="AU91" s="1">
        <f>'Asset Prices'!AU91/'Asset Prices'!AU92-1</f>
        <v>-2.2778687885170457E-2</v>
      </c>
      <c r="AV91" s="1">
        <f>'Asset Prices'!AV91/'Asset Prices'!AV92-1</f>
        <v>6.4435296223375182E-3</v>
      </c>
      <c r="AW91" s="1">
        <f>'Asset Prices'!AW91/'Asset Prices'!AW92-1</f>
        <v>-3.2008024803939383E-2</v>
      </c>
      <c r="AX91" s="1">
        <f>'Asset Prices'!AX91/'Asset Prices'!AX92-1</f>
        <v>-3.9971448965025025E-2</v>
      </c>
      <c r="AY91" s="1">
        <f>'Asset Prices'!AY91/'Asset Prices'!AY92-1</f>
        <v>-2.3852657004830857E-2</v>
      </c>
      <c r="AZ91" s="1">
        <f>'Asset Prices'!AZ91/'Asset Prices'!AZ92-1</f>
        <v>-1.9076044640539691E-2</v>
      </c>
      <c r="BA91" s="1">
        <f>'Asset Prices'!BA91/'Asset Prices'!BA92-1</f>
        <v>-3.2892097874047233E-2</v>
      </c>
      <c r="BB91" s="1">
        <f>'Asset Prices'!BB91/'Asset Prices'!BB92-1</f>
        <v>2.403999574513338E-2</v>
      </c>
      <c r="BC91" s="1">
        <f>'Asset Prices'!BC91/'Asset Prices'!BC92-1</f>
        <v>-1.2877237007198117E-2</v>
      </c>
      <c r="BD91" s="1">
        <f>'Asset Prices'!BD91/'Asset Prices'!BD92-1</f>
        <v>4.5155668224667878E-3</v>
      </c>
    </row>
    <row r="92" spans="3:56" x14ac:dyDescent="0.25">
      <c r="C92" s="38">
        <f>'Asset Prices'!C92</f>
        <v>43727</v>
      </c>
      <c r="D92" s="1">
        <f>'Asset Prices'!D92/'Asset Prices'!D93-1</f>
        <v>-1.1349589841555097E-2</v>
      </c>
      <c r="E92" s="1">
        <f>'Asset Prices'!E92/'Asset Prices'!E93-1</f>
        <v>-3.0545454545454431E-2</v>
      </c>
      <c r="F92" s="1">
        <f>'Asset Prices'!F92/'Asset Prices'!F93-1</f>
        <v>3.4219231207943679E-4</v>
      </c>
      <c r="G92" s="1">
        <f>'Asset Prices'!G92/'Asset Prices'!G93-1</f>
        <v>-9.6492855817406076E-3</v>
      </c>
      <c r="H92" s="1">
        <f>'Asset Prices'!H92/'Asset Prices'!H93-1</f>
        <v>-1.237191650853886E-2</v>
      </c>
      <c r="I92" s="1">
        <f>'Asset Prices'!I92/'Asset Prices'!I93-1</f>
        <v>1.4242278764602379E-2</v>
      </c>
      <c r="J92" s="1">
        <f>'Asset Prices'!J92/'Asset Prices'!J93-1</f>
        <v>-9.5255171795504134E-3</v>
      </c>
      <c r="K92" s="1">
        <f>'Asset Prices'!K92/'Asset Prices'!K93-1</f>
        <v>-1.1960619457025867E-2</v>
      </c>
      <c r="L92" s="1">
        <f>'Asset Prices'!L92/'Asset Prices'!L93-1</f>
        <v>-7.8238593090077524E-3</v>
      </c>
      <c r="M92" s="1">
        <f>'Asset Prices'!M92/'Asset Prices'!M93-1</f>
        <v>2.5814426992437411E-2</v>
      </c>
      <c r="N92" s="1">
        <f>'Asset Prices'!N92/'Asset Prices'!N93-1</f>
        <v>3.0608030964314192E-3</v>
      </c>
      <c r="O92" s="1">
        <f>'Asset Prices'!O92/'Asset Prices'!O93-1</f>
        <v>1.4478381594605239E-2</v>
      </c>
      <c r="P92" s="1">
        <f>'Asset Prices'!P92/'Asset Prices'!P93-1</f>
        <v>1.652203755454229E-2</v>
      </c>
      <c r="Q92" s="1">
        <f>'Asset Prices'!Q92/'Asset Prices'!Q93-1</f>
        <v>3.2871377849043704E-2</v>
      </c>
      <c r="R92" s="1">
        <f>'Asset Prices'!R92/'Asset Prices'!R93-1</f>
        <v>1.8867924528301883E-2</v>
      </c>
      <c r="S92" s="1">
        <f>'Asset Prices'!S92/'Asset Prices'!S93-1</f>
        <v>2.1373056994818729E-2</v>
      </c>
      <c r="T92" s="1">
        <f>'Asset Prices'!T92/'Asset Prices'!T93-1</f>
        <v>-2.2337936759489696E-2</v>
      </c>
      <c r="U92" s="1">
        <f>'Asset Prices'!U92/'Asset Prices'!U93-1</f>
        <v>-4.2726517040731493E-2</v>
      </c>
      <c r="V92" s="1">
        <f>'Asset Prices'!V92/'Asset Prices'!V93-1</f>
        <v>-1.4474166361304497E-2</v>
      </c>
      <c r="W92" s="1">
        <f>'Asset Prices'!W92/'Asset Prices'!W93-1</f>
        <v>-3.9787798408487118E-3</v>
      </c>
      <c r="X92" s="1">
        <f>'Asset Prices'!X92/'Asset Prices'!X93-1</f>
        <v>1.8188432157149048E-3</v>
      </c>
      <c r="Y92" s="1">
        <f>'Asset Prices'!Y92/'Asset Prices'!Y93-1</f>
        <v>-9.5119465519193369E-3</v>
      </c>
      <c r="Z92" s="1">
        <f>'Asset Prices'!Z92/'Asset Prices'!Z93-1</f>
        <v>-3.4284581847007556E-2</v>
      </c>
      <c r="AA92" s="1">
        <f>'Asset Prices'!AA92/'Asset Prices'!AA93-1</f>
        <v>-4.0194040194041492E-3</v>
      </c>
      <c r="AB92" s="1">
        <f>'Asset Prices'!AB92/'Asset Prices'!AB93-1</f>
        <v>4.081632653061229E-2</v>
      </c>
      <c r="AC92" s="1">
        <f>'Asset Prices'!AC92/'Asset Prices'!AC93-1</f>
        <v>-2.3979508420077789E-3</v>
      </c>
      <c r="AD92" s="1">
        <f>'Asset Prices'!AD92/'Asset Prices'!AD93-1</f>
        <v>-2.4826481580352389E-2</v>
      </c>
      <c r="AE92" s="1">
        <f>'Asset Prices'!AE92/'Asset Prices'!AE93-1</f>
        <v>-2.426693629929233E-2</v>
      </c>
      <c r="AF92" s="1">
        <f>'Asset Prices'!AF92/'Asset Prices'!AF93-1</f>
        <v>-4.5040946314831798E-2</v>
      </c>
      <c r="AG92" s="1">
        <f>'Asset Prices'!AG92/'Asset Prices'!AG93-1</f>
        <v>-2.2806461830851998E-2</v>
      </c>
      <c r="AH92" s="1">
        <f>'Asset Prices'!AH92/'Asset Prices'!AH93-1</f>
        <v>-2.7713027713027749E-2</v>
      </c>
      <c r="AI92" s="1">
        <f>'Asset Prices'!AI92/'Asset Prices'!AI93-1</f>
        <v>-7.4149833802096277E-3</v>
      </c>
      <c r="AJ92" s="1">
        <f>'Asset Prices'!AJ92/'Asset Prices'!AJ93-1</f>
        <v>-3.8179148311306976E-2</v>
      </c>
      <c r="AK92" s="1">
        <f>'Asset Prices'!AK92/'Asset Prices'!AK93-1</f>
        <v>-2.9137529137529539E-3</v>
      </c>
      <c r="AL92" s="1">
        <f>'Asset Prices'!AL92/'Asset Prices'!AL93-1</f>
        <v>1.240694789081731E-3</v>
      </c>
      <c r="AM92" s="1">
        <f>'Asset Prices'!AM92/'Asset Prices'!AM93-1</f>
        <v>-4.5258320568166699E-3</v>
      </c>
      <c r="AN92" s="1">
        <f>'Asset Prices'!AN92/'Asset Prices'!AN93-1</f>
        <v>4.5900745319034097E-3</v>
      </c>
      <c r="AO92" s="1">
        <f>'Asset Prices'!AO92/'Asset Prices'!AO93-1</f>
        <v>-7.4466324673175821E-3</v>
      </c>
      <c r="AP92" s="1">
        <f>'Asset Prices'!AP92/'Asset Prices'!AP93-1</f>
        <v>-5.1101321585902415E-3</v>
      </c>
      <c r="AQ92" s="1">
        <f>'Asset Prices'!AQ92/'Asset Prices'!AQ93-1</f>
        <v>6.9967518216135449E-2</v>
      </c>
      <c r="AR92" s="1">
        <f>'Asset Prices'!AR92/'Asset Prices'!AR93-1</f>
        <v>1.8882565959648323E-2</v>
      </c>
      <c r="AS92" s="1">
        <f>'Asset Prices'!AS92/'Asset Prices'!AS93-1</f>
        <v>-5.5755395683453224E-2</v>
      </c>
      <c r="AT92" s="1">
        <f>'Asset Prices'!AT92/'Asset Prices'!AT93-1</f>
        <v>8.6206896551723755E-3</v>
      </c>
      <c r="AU92" s="1">
        <f>'Asset Prices'!AU92/'Asset Prices'!AU93-1</f>
        <v>-2.2010299446881487E-2</v>
      </c>
      <c r="AV92" s="1">
        <f>'Asset Prices'!AV92/'Asset Prices'!AV93-1</f>
        <v>-1.7866714311238763E-3</v>
      </c>
      <c r="AW92" s="1">
        <f>'Asset Prices'!AW92/'Asset Prices'!AW93-1</f>
        <v>3.2045550797609623E-2</v>
      </c>
      <c r="AX92" s="1">
        <f>'Asset Prices'!AX92/'Asset Prices'!AX93-1</f>
        <v>0</v>
      </c>
      <c r="AY92" s="1">
        <f>'Asset Prices'!AY92/'Asset Prices'!AY93-1</f>
        <v>5.1094890510948732E-2</v>
      </c>
      <c r="AZ92" s="1">
        <f>'Asset Prices'!AZ92/'Asset Prices'!AZ93-1</f>
        <v>1.6354523872329274E-2</v>
      </c>
      <c r="BA92" s="1">
        <f>'Asset Prices'!BA92/'Asset Prices'!BA93-1</f>
        <v>5.6803730394234808E-2</v>
      </c>
      <c r="BB92" s="1">
        <f>'Asset Prices'!BB92/'Asset Prices'!BB93-1</f>
        <v>3.2169521299956205E-2</v>
      </c>
      <c r="BC92" s="1">
        <f>'Asset Prices'!BC92/'Asset Prices'!BC93-1</f>
        <v>-1.9771963355960098E-3</v>
      </c>
      <c r="BD92" s="1">
        <f>'Asset Prices'!BD92/'Asset Prices'!BD93-1</f>
        <v>5.0159235668789659E-3</v>
      </c>
    </row>
    <row r="93" spans="3:56" x14ac:dyDescent="0.25">
      <c r="C93" s="38">
        <f>'Asset Prices'!C93</f>
        <v>43720</v>
      </c>
      <c r="D93" s="1">
        <f>'Asset Prices'!D93/'Asset Prices'!D94-1</f>
        <v>-3.6539814864938069E-2</v>
      </c>
      <c r="E93" s="1">
        <f>'Asset Prices'!E93/'Asset Prices'!E94-1</f>
        <v>-9.6513972918467195E-3</v>
      </c>
      <c r="F93" s="1">
        <f>'Asset Prices'!F93/'Asset Prices'!F94-1</f>
        <v>-8.4822438362361918E-3</v>
      </c>
      <c r="G93" s="1">
        <f>'Asset Prices'!G93/'Asset Prices'!G94-1</f>
        <v>9.2867756315007099E-4</v>
      </c>
      <c r="H93" s="1">
        <f>'Asset Prices'!H93/'Asset Prices'!H94-1</f>
        <v>7.1225302870152163E-2</v>
      </c>
      <c r="I93" s="1">
        <f>'Asset Prices'!I93/'Asset Prices'!I94-1</f>
        <v>-1.7967522262964941E-2</v>
      </c>
      <c r="J93" s="1">
        <f>'Asset Prices'!J93/'Asset Prices'!J94-1</f>
        <v>4.5972430607651882E-2</v>
      </c>
      <c r="K93" s="1">
        <f>'Asset Prices'!K93/'Asset Prices'!K94-1</f>
        <v>1.5374418705722537E-3</v>
      </c>
      <c r="L93" s="1">
        <f>'Asset Prices'!L93/'Asset Prices'!L94-1</f>
        <v>-1.4970161977834517E-2</v>
      </c>
      <c r="M93" s="1">
        <f>'Asset Prices'!M93/'Asset Prices'!M94-1</f>
        <v>-1.8064976794002097E-2</v>
      </c>
      <c r="N93" s="1">
        <f>'Asset Prices'!N93/'Asset Prices'!N94-1</f>
        <v>1.879243352939719E-2</v>
      </c>
      <c r="O93" s="1">
        <f>'Asset Prices'!O93/'Asset Prices'!O94-1</f>
        <v>-5.6394260761073123E-2</v>
      </c>
      <c r="P93" s="1">
        <f>'Asset Prices'!P93/'Asset Prices'!P94-1</f>
        <v>-4.6845264236569095E-3</v>
      </c>
      <c r="Q93" s="1">
        <f>'Asset Prices'!Q93/'Asset Prices'!Q94-1</f>
        <v>-1.405905934165208E-2</v>
      </c>
      <c r="R93" s="1">
        <f>'Asset Prices'!R93/'Asset Prices'!R94-1</f>
        <v>-3.1926323867996986E-2</v>
      </c>
      <c r="S93" s="1">
        <f>'Asset Prices'!S93/'Asset Prices'!S94-1</f>
        <v>2.5572899368980329E-2</v>
      </c>
      <c r="T93" s="1">
        <f>'Asset Prices'!T93/'Asset Prices'!T94-1</f>
        <v>3.1527323680522912E-2</v>
      </c>
      <c r="U93" s="1">
        <f>'Asset Prices'!U93/'Asset Prices'!U94-1</f>
        <v>7.1619454836985508E-2</v>
      </c>
      <c r="V93" s="1">
        <f>'Asset Prices'!V93/'Asset Prices'!V94-1</f>
        <v>5.5910234087831245E-2</v>
      </c>
      <c r="W93" s="1">
        <f>'Asset Prices'!W93/'Asset Prices'!W94-1</f>
        <v>3.193430656934293E-2</v>
      </c>
      <c r="X93" s="1">
        <f>'Asset Prices'!X93/'Asset Prices'!X94-1</f>
        <v>4.6839299314546778E-2</v>
      </c>
      <c r="Y93" s="1">
        <f>'Asset Prices'!Y93/'Asset Prices'!Y94-1</f>
        <v>-0.11636982189313594</v>
      </c>
      <c r="Z93" s="1">
        <f>'Asset Prices'!Z93/'Asset Prices'!Z94-1</f>
        <v>1.6109544905356543E-2</v>
      </c>
      <c r="AA93" s="1">
        <f>'Asset Prices'!AA93/'Asset Prices'!AA94-1</f>
        <v>9.5144816006718091E-3</v>
      </c>
      <c r="AB93" s="1">
        <f>'Asset Prices'!AB93/'Asset Prices'!AB94-1</f>
        <v>4.2553191489361764E-2</v>
      </c>
      <c r="AC93" s="1">
        <f>'Asset Prices'!AC93/'Asset Prices'!AC94-1</f>
        <v>-0.1737662103746398</v>
      </c>
      <c r="AD93" s="1">
        <f>'Asset Prices'!AD93/'Asset Prices'!AD94-1</f>
        <v>4.3018237505220602E-2</v>
      </c>
      <c r="AE93" s="1">
        <f>'Asset Prices'!AE93/'Asset Prices'!AE94-1</f>
        <v>2.4634511338782028E-2</v>
      </c>
      <c r="AF93" s="1">
        <f>'Asset Prices'!AF93/'Asset Prices'!AF94-1</f>
        <v>0.13415892672858631</v>
      </c>
      <c r="AG93" s="1">
        <f>'Asset Prices'!AG93/'Asset Prices'!AG94-1</f>
        <v>6.6554054054053902E-2</v>
      </c>
      <c r="AH93" s="1">
        <f>'Asset Prices'!AH93/'Asset Prices'!AH94-1</f>
        <v>7.429048414023387E-2</v>
      </c>
      <c r="AI93" s="1">
        <f>'Asset Prices'!AI93/'Asset Prices'!AI94-1</f>
        <v>3.0295047418334997E-2</v>
      </c>
      <c r="AJ93" s="1">
        <f>'Asset Prices'!AJ93/'Asset Prices'!AJ94-1</f>
        <v>6.7398119122257016E-2</v>
      </c>
      <c r="AK93" s="1">
        <f>'Asset Prices'!AK93/'Asset Prices'!AK94-1</f>
        <v>3.874092009685226E-2</v>
      </c>
      <c r="AL93" s="1">
        <f>'Asset Prices'!AL93/'Asset Prices'!AL94-1</f>
        <v>1.7248632730332503E-2</v>
      </c>
      <c r="AM93" s="1">
        <f>'Asset Prices'!AM93/'Asset Prices'!AM94-1</f>
        <v>1.8798325884940015E-2</v>
      </c>
      <c r="AN93" s="1">
        <f>'Asset Prices'!AN93/'Asset Prices'!AN94-1</f>
        <v>-8.1736445372815325E-4</v>
      </c>
      <c r="AO93" s="1">
        <f>'Asset Prices'!AO93/'Asset Prices'!AO94-1</f>
        <v>3.1404676565966794E-2</v>
      </c>
      <c r="AP93" s="1">
        <f>'Asset Prices'!AP93/'Asset Prices'!AP94-1</f>
        <v>1.7572171418325233E-2</v>
      </c>
      <c r="AQ93" s="1">
        <f>'Asset Prices'!AQ93/'Asset Prices'!AQ94-1</f>
        <v>2.9183230936031812E-2</v>
      </c>
      <c r="AR93" s="1">
        <f>'Asset Prices'!AR93/'Asset Prices'!AR94-1</f>
        <v>-1.7285205897305755E-2</v>
      </c>
      <c r="AS93" s="1">
        <f>'Asset Prices'!AS93/'Asset Prices'!AS94-1</f>
        <v>9.9901088031651764E-2</v>
      </c>
      <c r="AT93" s="1">
        <f>'Asset Prices'!AT93/'Asset Prices'!AT94-1</f>
        <v>4.4904544232320598E-2</v>
      </c>
      <c r="AU93" s="1">
        <f>'Asset Prices'!AU93/'Asset Prices'!AU94-1</f>
        <v>1.4198390591148025E-2</v>
      </c>
      <c r="AV93" s="1">
        <f>'Asset Prices'!AV93/'Asset Prices'!AV94-1</f>
        <v>4.0044597231255308E-2</v>
      </c>
      <c r="AW93" s="1">
        <f>'Asset Prices'!AW93/'Asset Prices'!AW94-1</f>
        <v>-0.15900906248763313</v>
      </c>
      <c r="AX93" s="1">
        <f>'Asset Prices'!AX93/'Asset Prices'!AX94-1</f>
        <v>3.0905077262693093E-2</v>
      </c>
      <c r="AY93" s="1">
        <f>'Asset Prices'!AY93/'Asset Prices'!AY94-1</f>
        <v>4.1652892561983457E-2</v>
      </c>
      <c r="AZ93" s="1">
        <f>'Asset Prices'!AZ93/'Asset Prices'!AZ94-1</f>
        <v>7.7907307364230682E-2</v>
      </c>
      <c r="BA93" s="1">
        <f>'Asset Prices'!BA93/'Asset Prices'!BA94-1</f>
        <v>-1.6263552960800731E-2</v>
      </c>
      <c r="BB93" s="1">
        <f>'Asset Prices'!BB93/'Asset Prices'!BB94-1</f>
        <v>-4.8076923076922906E-3</v>
      </c>
      <c r="BC93" s="1">
        <f>'Asset Prices'!BC93/'Asset Prices'!BC94-1</f>
        <v>2.916638404666605E-2</v>
      </c>
      <c r="BD93" s="1">
        <f>'Asset Prices'!BD93/'Asset Prices'!BD94-1</f>
        <v>1.4129995962858244E-2</v>
      </c>
    </row>
    <row r="94" spans="3:56" x14ac:dyDescent="0.25">
      <c r="C94" s="38">
        <f>'Asset Prices'!C94</f>
        <v>43713</v>
      </c>
      <c r="D94" s="1">
        <f>'Asset Prices'!D94/'Asset Prices'!D95-1</f>
        <v>1.9650052436937626E-2</v>
      </c>
      <c r="E94" s="1">
        <f>'Asset Prices'!E94/'Asset Prices'!E95-1</f>
        <v>7.2547881601856545E-3</v>
      </c>
      <c r="F94" s="1">
        <f>'Asset Prices'!F94/'Asset Prices'!F95-1</f>
        <v>3.5605528226751115E-2</v>
      </c>
      <c r="G94" s="1">
        <f>'Asset Prices'!G94/'Asset Prices'!G95-1</f>
        <v>3.2208588957055362E-2</v>
      </c>
      <c r="H94" s="1">
        <f>'Asset Prices'!H94/'Asset Prices'!H95-1</f>
        <v>4.4323681752568511E-2</v>
      </c>
      <c r="I94" s="1">
        <f>'Asset Prices'!I94/'Asset Prices'!I95-1</f>
        <v>2.872231502936895E-2</v>
      </c>
      <c r="J94" s="1">
        <f>'Asset Prices'!J94/'Asset Prices'!J95-1</f>
        <v>2.0429644514616596E-2</v>
      </c>
      <c r="K94" s="1">
        <f>'Asset Prices'!K94/'Asset Prices'!K95-1</f>
        <v>3.0407523510971757E-2</v>
      </c>
      <c r="L94" s="1">
        <f>'Asset Prices'!L94/'Asset Prices'!L95-1</f>
        <v>-1.1894332502190075E-2</v>
      </c>
      <c r="M94" s="1">
        <f>'Asset Prices'!M94/'Asset Prices'!M95-1</f>
        <v>1.3973356501592926E-2</v>
      </c>
      <c r="N94" s="1">
        <f>'Asset Prices'!N94/'Asset Prices'!N95-1</f>
        <v>1.5030479635584237E-2</v>
      </c>
      <c r="O94" s="1">
        <f>'Asset Prices'!O94/'Asset Prices'!O95-1</f>
        <v>1.4621178555604741E-2</v>
      </c>
      <c r="P94" s="1">
        <f>'Asset Prices'!P94/'Asset Prices'!P95-1</f>
        <v>1.4660606949128407E-3</v>
      </c>
      <c r="Q94" s="1">
        <f>'Asset Prices'!Q94/'Asset Prices'!Q95-1</f>
        <v>-1.5782161711586418E-2</v>
      </c>
      <c r="R94" s="1">
        <f>'Asset Prices'!R94/'Asset Prices'!R95-1</f>
        <v>8.5139318885449899E-3</v>
      </c>
      <c r="S94" s="1">
        <f>'Asset Prices'!S94/'Asset Prices'!S95-1</f>
        <v>2.7294438758103112E-2</v>
      </c>
      <c r="T94" s="1">
        <f>'Asset Prices'!T94/'Asset Prices'!T95-1</f>
        <v>2.1713194941541447E-2</v>
      </c>
      <c r="U94" s="1">
        <f>'Asset Prices'!U94/'Asset Prices'!U95-1</f>
        <v>1.795429815016325E-2</v>
      </c>
      <c r="V94" s="1">
        <f>'Asset Prices'!V94/'Asset Prices'!V95-1</f>
        <v>9.3731693028704655E-3</v>
      </c>
      <c r="W94" s="1">
        <f>'Asset Prices'!W94/'Asset Prices'!W95-1</f>
        <v>3.5753661994014863E-2</v>
      </c>
      <c r="X94" s="1">
        <f>'Asset Prices'!X94/'Asset Prices'!X95-1</f>
        <v>4.2065009560230404E-3</v>
      </c>
      <c r="Y94" s="1">
        <f>'Asset Prices'!Y94/'Asset Prices'!Y95-1</f>
        <v>-3.3836040216550622E-2</v>
      </c>
      <c r="Z94" s="1">
        <f>'Asset Prices'!Z94/'Asset Prices'!Z95-1</f>
        <v>3.6959699310920691E-2</v>
      </c>
      <c r="AA94" s="1">
        <f>'Asset Prices'!AA94/'Asset Prices'!AA95-1</f>
        <v>1.2322946175637561E-2</v>
      </c>
      <c r="AB94" s="1">
        <f>'Asset Prices'!AB94/'Asset Prices'!AB95-1</f>
        <v>-2.5906735751295429E-2</v>
      </c>
      <c r="AC94" s="1">
        <f>'Asset Prices'!AC94/'Asset Prices'!AC95-1</f>
        <v>7.3316901068097406E-2</v>
      </c>
      <c r="AD94" s="1">
        <f>'Asset Prices'!AD94/'Asset Prices'!AD95-1</f>
        <v>2.8493699885452362E-2</v>
      </c>
      <c r="AE94" s="1">
        <f>'Asset Prices'!AE94/'Asset Prices'!AE95-1</f>
        <v>1.2470862470862487E-2</v>
      </c>
      <c r="AF94" s="1">
        <f>'Asset Prices'!AF94/'Asset Prices'!AF95-1</f>
        <v>5.4980947196515917E-2</v>
      </c>
      <c r="AG94" s="1">
        <f>'Asset Prices'!AG94/'Asset Prices'!AG95-1</f>
        <v>5.0390347764371901E-2</v>
      </c>
      <c r="AH94" s="1">
        <f>'Asset Prices'!AH94/'Asset Prices'!AH95-1</f>
        <v>3.6930178880554054E-2</v>
      </c>
      <c r="AI94" s="1">
        <f>'Asset Prices'!AI94/'Asset Prices'!AI95-1</f>
        <v>-1.6070502851218138E-2</v>
      </c>
      <c r="AJ94" s="1">
        <f>'Asset Prices'!AJ94/'Asset Prices'!AJ95-1</f>
        <v>4.3620501635768916E-2</v>
      </c>
      <c r="AK94" s="1">
        <f>'Asset Prices'!AK94/'Asset Prices'!AK95-1</f>
        <v>-4.7838616714697468E-2</v>
      </c>
      <c r="AL94" s="1">
        <f>'Asset Prices'!AL94/'Asset Prices'!AL95-1</f>
        <v>-1.2737089851862171E-2</v>
      </c>
      <c r="AM94" s="1">
        <f>'Asset Prices'!AM94/'Asset Prices'!AM95-1</f>
        <v>4.5151245551601438E-2</v>
      </c>
      <c r="AN94" s="1">
        <f>'Asset Prices'!AN94/'Asset Prices'!AN95-1</f>
        <v>-7.2130556306915228E-3</v>
      </c>
      <c r="AO94" s="1">
        <f>'Asset Prices'!AO94/'Asset Prices'!AO95-1</f>
        <v>1.1218501898515809E-2</v>
      </c>
      <c r="AP94" s="1">
        <f>'Asset Prices'!AP94/'Asset Prices'!AP95-1</f>
        <v>6.6787003610109252E-3</v>
      </c>
      <c r="AQ94" s="1">
        <f>'Asset Prices'!AQ94/'Asset Prices'!AQ95-1</f>
        <v>-1.5390089849657396E-2</v>
      </c>
      <c r="AR94" s="1">
        <f>'Asset Prices'!AR94/'Asset Prices'!AR95-1</f>
        <v>-1.9197207678882999E-2</v>
      </c>
      <c r="AS94" s="1">
        <f>'Asset Prices'!AS94/'Asset Prices'!AS95-1</f>
        <v>1.6080402010050232E-2</v>
      </c>
      <c r="AT94" s="1">
        <f>'Asset Prices'!AT94/'Asset Prices'!AT95-1</f>
        <v>-1.4767082829909572E-3</v>
      </c>
      <c r="AU94" s="1">
        <f>'Asset Prices'!AU94/'Asset Prices'!AU95-1</f>
        <v>1.3488080301129246E-2</v>
      </c>
      <c r="AV94" s="1">
        <f>'Asset Prices'!AV94/'Asset Prices'!AV95-1</f>
        <v>0.1019760417733182</v>
      </c>
      <c r="AW94" s="1">
        <f>'Asset Prices'!AW94/'Asset Prices'!AW95-1</f>
        <v>-5.5489964580873741E-3</v>
      </c>
      <c r="AX94" s="1">
        <f>'Asset Prices'!AX94/'Asset Prices'!AX95-1</f>
        <v>1.4936519790888614E-2</v>
      </c>
      <c r="AY94" s="1">
        <f>'Asset Prices'!AY94/'Asset Prices'!AY95-1</f>
        <v>-4.9340037712130691E-2</v>
      </c>
      <c r="AZ94" s="1">
        <f>'Asset Prices'!AZ94/'Asset Prices'!AZ95-1</f>
        <v>2.6112326768781946E-2</v>
      </c>
      <c r="BA94" s="1">
        <f>'Asset Prices'!BA94/'Asset Prices'!BA95-1</f>
        <v>3.4289411257278468E-2</v>
      </c>
      <c r="BB94" s="1">
        <f>'Asset Prices'!BB94/'Asset Prices'!BB95-1</f>
        <v>-1.4184397163121698E-3</v>
      </c>
      <c r="BC94" s="1">
        <f>'Asset Prices'!BC94/'Asset Prices'!BC95-1</f>
        <v>4.1908127208480694E-2</v>
      </c>
      <c r="BD94" s="1">
        <f>'Asset Prices'!BD94/'Asset Prices'!BD95-1</f>
        <v>1.5663441036575243E-2</v>
      </c>
    </row>
    <row r="95" spans="3:56" x14ac:dyDescent="0.25">
      <c r="C95" s="38">
        <f>'Asset Prices'!C95</f>
        <v>43706</v>
      </c>
      <c r="D95" s="1">
        <f>'Asset Prices'!D95/'Asset Prices'!D96-1</f>
        <v>5.9970014992503096E-3</v>
      </c>
      <c r="E95" s="1">
        <f>'Asset Prices'!E95/'Asset Prices'!E96-1</f>
        <v>1.2933568489124081E-2</v>
      </c>
      <c r="F95" s="1">
        <f>'Asset Prices'!F95/'Asset Prices'!F96-1</f>
        <v>2.4846957148001447E-2</v>
      </c>
      <c r="G95" s="1">
        <f>'Asset Prices'!G95/'Asset Prices'!G96-1</f>
        <v>-1.9364542207181867E-2</v>
      </c>
      <c r="H95" s="1">
        <f>'Asset Prices'!H95/'Asset Prices'!H96-1</f>
        <v>-1.0178980405463056E-3</v>
      </c>
      <c r="I95" s="1">
        <f>'Asset Prices'!I95/'Asset Prices'!I96-1</f>
        <v>1.9391342562074199E-2</v>
      </c>
      <c r="J95" s="1">
        <f>'Asset Prices'!J95/'Asset Prices'!J96-1</f>
        <v>-1.6238350748376207E-2</v>
      </c>
      <c r="K95" s="1">
        <f>'Asset Prices'!K95/'Asset Prices'!K96-1</f>
        <v>-1.0633584404076135E-2</v>
      </c>
      <c r="L95" s="1">
        <f>'Asset Prices'!L95/'Asset Prices'!L96-1</f>
        <v>-5.0516956858526196E-4</v>
      </c>
      <c r="M95" s="1">
        <f>'Asset Prices'!M95/'Asset Prices'!M96-1</f>
        <v>2.4677021338366245E-3</v>
      </c>
      <c r="N95" s="1">
        <f>'Asset Prices'!N95/'Asset Prices'!N96-1</f>
        <v>2.2827984423257064E-3</v>
      </c>
      <c r="O95" s="1">
        <f>'Asset Prices'!O95/'Asset Prices'!O96-1</f>
        <v>-2.4624321252683101E-3</v>
      </c>
      <c r="P95" s="1">
        <f>'Asset Prices'!P95/'Asset Prices'!P96-1</f>
        <v>1.4727759595358547E-2</v>
      </c>
      <c r="Q95" s="1">
        <f>'Asset Prices'!Q95/'Asset Prices'!Q96-1</f>
        <v>5.4757780633625242E-3</v>
      </c>
      <c r="R95" s="1">
        <f>'Asset Prices'!R95/'Asset Prices'!R96-1</f>
        <v>2.0859671302149163E-2</v>
      </c>
      <c r="S95" s="1">
        <f>'Asset Prices'!S95/'Asset Prices'!S96-1</f>
        <v>-1.7102615694165046E-2</v>
      </c>
      <c r="T95" s="1">
        <f>'Asset Prices'!T95/'Asset Prices'!T96-1</f>
        <v>-1.9190264451205197E-2</v>
      </c>
      <c r="U95" s="1">
        <f>'Asset Prices'!U95/'Asset Prices'!U96-1</f>
        <v>1.341665135085468E-2</v>
      </c>
      <c r="V95" s="1">
        <f>'Asset Prices'!V95/'Asset Prices'!V96-1</f>
        <v>-1.5192307692307727E-2</v>
      </c>
      <c r="W95" s="1">
        <f>'Asset Prices'!W95/'Asset Prices'!W96-1</f>
        <v>-7.7180232558139439E-2</v>
      </c>
      <c r="X95" s="1">
        <f>'Asset Prices'!X95/'Asset Prices'!X96-1</f>
        <v>2.168392264114094E-2</v>
      </c>
      <c r="Y95" s="1">
        <f>'Asset Prices'!Y95/'Asset Prices'!Y96-1</f>
        <v>-2.6080406741361473E-2</v>
      </c>
      <c r="Z95" s="1">
        <f>'Asset Prices'!Z95/'Asset Prices'!Z96-1</f>
        <v>9.0143409970407484E-2</v>
      </c>
      <c r="AA95" s="1">
        <f>'Asset Prices'!AA95/'Asset Prices'!AA96-1</f>
        <v>6.5583119475334239E-3</v>
      </c>
      <c r="AB95" s="1">
        <f>'Asset Prices'!AB95/'Asset Prices'!AB96-1</f>
        <v>1.0471204188481575E-2</v>
      </c>
      <c r="AC95" s="1">
        <f>'Asset Prices'!AC95/'Asset Prices'!AC96-1</f>
        <v>-2.2303076123422971E-2</v>
      </c>
      <c r="AD95" s="1">
        <f>'Asset Prices'!AD95/'Asset Prices'!AD96-1</f>
        <v>6.9204152249136008E-3</v>
      </c>
      <c r="AE95" s="1">
        <f>'Asset Prices'!AE95/'Asset Prices'!AE96-1</f>
        <v>5.9795990151247924E-3</v>
      </c>
      <c r="AF95" s="1">
        <f>'Asset Prices'!AF95/'Asset Prices'!AF96-1</f>
        <v>-3.6706869428421607E-2</v>
      </c>
      <c r="AG95" s="1">
        <f>'Asset Prices'!AG95/'Asset Prices'!AG96-1</f>
        <v>-0.30505548705302088</v>
      </c>
      <c r="AH95" s="1">
        <f>'Asset Prices'!AH95/'Asset Prices'!AH96-1</f>
        <v>1.493411420204982E-2</v>
      </c>
      <c r="AI95" s="1">
        <f>'Asset Prices'!AI95/'Asset Prices'!AI96-1</f>
        <v>-1.4685225386285361E-2</v>
      </c>
      <c r="AJ95" s="1">
        <f>'Asset Prices'!AJ95/'Asset Prices'!AJ96-1</f>
        <v>9.3560814529443093E-3</v>
      </c>
      <c r="AK95" s="1">
        <f>'Asset Prices'!AK95/'Asset Prices'!AK96-1</f>
        <v>-3.6646307606885031E-2</v>
      </c>
      <c r="AL95" s="1">
        <f>'Asset Prices'!AL95/'Asset Prices'!AL96-1</f>
        <v>-8.2383633118219279E-3</v>
      </c>
      <c r="AM95" s="1">
        <f>'Asset Prices'!AM95/'Asset Prices'!AM96-1</f>
        <v>4.1691483025609877E-3</v>
      </c>
      <c r="AN95" s="1">
        <f>'Asset Prices'!AN95/'Asset Prices'!AN96-1</f>
        <v>1.6264259861639152E-2</v>
      </c>
      <c r="AO95" s="1">
        <f>'Asset Prices'!AO95/'Asset Prices'!AO96-1</f>
        <v>2.0429728777738632E-2</v>
      </c>
      <c r="AP95" s="1">
        <f>'Asset Prices'!AP95/'Asset Prices'!AP96-1</f>
        <v>9.475218658892004E-3</v>
      </c>
      <c r="AQ95" s="1">
        <f>'Asset Prices'!AQ95/'Asset Prices'!AQ96-1</f>
        <v>-5.0671395996959689E-2</v>
      </c>
      <c r="AR95" s="1">
        <f>'Asset Prices'!AR95/'Asset Prices'!AR96-1</f>
        <v>4.2088854247856577E-2</v>
      </c>
      <c r="AS95" s="1">
        <f>'Asset Prices'!AS95/'Asset Prices'!AS96-1</f>
        <v>4.5168067226890818E-2</v>
      </c>
      <c r="AT95" s="1">
        <f>'Asset Prices'!AT95/'Asset Prices'!AT96-1</f>
        <v>1.6373311502251076E-2</v>
      </c>
      <c r="AU95" s="1">
        <f>'Asset Prices'!AU95/'Asset Prices'!AU96-1</f>
        <v>-5.4863233795754418E-4</v>
      </c>
      <c r="AV95" s="1">
        <f>'Asset Prices'!AV95/'Asset Prices'!AV96-1</f>
        <v>4.7320234543772877E-3</v>
      </c>
      <c r="AW95" s="1">
        <f>'Asset Prices'!AW95/'Asset Prices'!AW96-1</f>
        <v>2.2123893805309658E-2</v>
      </c>
      <c r="AX95" s="1">
        <f>'Asset Prices'!AX95/'Asset Prices'!AX96-1</f>
        <v>-1.3264554163596176E-2</v>
      </c>
      <c r="AY95" s="1">
        <f>'Asset Prices'!AY95/'Asset Prices'!AY96-1</f>
        <v>-1.1801242236024967E-2</v>
      </c>
      <c r="AZ95" s="1">
        <f>'Asset Prices'!AZ95/'Asset Prices'!AZ96-1</f>
        <v>-7.2886297376095754E-4</v>
      </c>
      <c r="BA95" s="1">
        <f>'Asset Prices'!BA95/'Asset Prices'!BA96-1</f>
        <v>-1.9039559974613929E-2</v>
      </c>
      <c r="BB95" s="1">
        <f>'Asset Prices'!BB95/'Asset Prices'!BB96-1</f>
        <v>4.6037487668530996E-3</v>
      </c>
      <c r="BC95" s="1">
        <f>'Asset Prices'!BC95/'Asset Prices'!BC96-1</f>
        <v>-4.3625105544610188E-3</v>
      </c>
      <c r="BD95" s="1">
        <f>'Asset Prices'!BD95/'Asset Prices'!BD96-1</f>
        <v>-1.4705882352941235E-2</v>
      </c>
    </row>
    <row r="96" spans="3:56" x14ac:dyDescent="0.25">
      <c r="C96" s="38">
        <f>'Asset Prices'!C96</f>
        <v>43699</v>
      </c>
      <c r="D96" s="1">
        <f>'Asset Prices'!D96/'Asset Prices'!D97-1</f>
        <v>2.1671299710671166E-2</v>
      </c>
      <c r="E96" s="1">
        <f>'Asset Prices'!E96/'Asset Prices'!E97-1</f>
        <v>2.0013492241961028E-2</v>
      </c>
      <c r="F96" s="1">
        <f>'Asset Prices'!F96/'Asset Prices'!F97-1</f>
        <v>4.779273047415411E-2</v>
      </c>
      <c r="G96" s="1">
        <f>'Asset Prices'!G96/'Asset Prices'!G97-1</f>
        <v>1.1409013120365019E-2</v>
      </c>
      <c r="H96" s="1">
        <f>'Asset Prices'!H96/'Asset Prices'!H97-1</f>
        <v>2.2906724511930543E-2</v>
      </c>
      <c r="I96" s="1">
        <f>'Asset Prices'!I96/'Asset Prices'!I97-1</f>
        <v>-3.0122131551564291E-3</v>
      </c>
      <c r="J96" s="1">
        <f>'Asset Prices'!J96/'Asset Prices'!J97-1</f>
        <v>5.3137701992663766E-2</v>
      </c>
      <c r="K96" s="1">
        <f>'Asset Prices'!K96/'Asset Prices'!K97-1</f>
        <v>1.6597977614125181E-2</v>
      </c>
      <c r="L96" s="1">
        <f>'Asset Prices'!L96/'Asset Prices'!L97-1</f>
        <v>3.9559101974575572E-3</v>
      </c>
      <c r="M96" s="1">
        <f>'Asset Prices'!M96/'Asset Prices'!M97-1</f>
        <v>3.0670257330939421E-2</v>
      </c>
      <c r="N96" s="1">
        <f>'Asset Prices'!N96/'Asset Prices'!N97-1</f>
        <v>1.8985393219991042E-2</v>
      </c>
      <c r="O96" s="1">
        <f>'Asset Prices'!O96/'Asset Prices'!O97-1</f>
        <v>1.852090032154341E-2</v>
      </c>
      <c r="P96" s="1">
        <f>'Asset Prices'!P96/'Asset Prices'!P97-1</f>
        <v>3.7345679012345645E-2</v>
      </c>
      <c r="Q96" s="1">
        <f>'Asset Prices'!Q96/'Asset Prices'!Q97-1</f>
        <v>2.6380684750817229E-2</v>
      </c>
      <c r="R96" s="1">
        <f>'Asset Prices'!R96/'Asset Prices'!R97-1</f>
        <v>2.8441410693970326E-2</v>
      </c>
      <c r="S96" s="1">
        <f>'Asset Prices'!S96/'Asset Prices'!S97-1</f>
        <v>2.0533880903490731E-2</v>
      </c>
      <c r="T96" s="1">
        <f>'Asset Prices'!T96/'Asset Prices'!T97-1</f>
        <v>1.1760063141278643E-2</v>
      </c>
      <c r="U96" s="1">
        <f>'Asset Prices'!U96/'Asset Prices'!U97-1</f>
        <v>5.835440575763462E-2</v>
      </c>
      <c r="V96" s="1">
        <f>'Asset Prices'!V96/'Asset Prices'!V97-1</f>
        <v>7.1943929086786262E-2</v>
      </c>
      <c r="W96" s="1">
        <f>'Asset Prices'!W96/'Asset Prices'!W97-1</f>
        <v>7.617706866885654E-2</v>
      </c>
      <c r="X96" s="1">
        <f>'Asset Prices'!X96/'Asset Prices'!X97-1</f>
        <v>6.1812901887575045E-2</v>
      </c>
      <c r="Y96" s="1">
        <f>'Asset Prices'!Y96/'Asset Prices'!Y97-1</f>
        <v>7.5108816681850321E-2</v>
      </c>
      <c r="Z96" s="1">
        <f>'Asset Prices'!Z96/'Asset Prices'!Z97-1</f>
        <v>7.8831041257367396E-2</v>
      </c>
      <c r="AA96" s="1">
        <f>'Asset Prices'!AA96/'Asset Prices'!AA97-1</f>
        <v>7.9034344014943247E-3</v>
      </c>
      <c r="AB96" s="1">
        <f>'Asset Prices'!AB96/'Asset Prices'!AB97-1</f>
        <v>3.2432432432432545E-2</v>
      </c>
      <c r="AC96" s="1">
        <f>'Asset Prices'!AC96/'Asset Prices'!AC97-1</f>
        <v>2.3306416517576478E-2</v>
      </c>
      <c r="AD96" s="1">
        <f>'Asset Prices'!AD96/'Asset Prices'!AD97-1</f>
        <v>6.6420664206642055E-2</v>
      </c>
      <c r="AE96" s="1">
        <f>'Asset Prices'!AE96/'Asset Prices'!AE97-1</f>
        <v>1.7052229906987959E-2</v>
      </c>
      <c r="AF96" s="1">
        <f>'Asset Prices'!AF96/'Asset Prices'!AF97-1</f>
        <v>-1.1404872991187087E-2</v>
      </c>
      <c r="AG96" s="1">
        <f>'Asset Prices'!AG96/'Asset Prices'!AG97-1</f>
        <v>7.1334214002641838E-2</v>
      </c>
      <c r="AH96" s="1">
        <f>'Asset Prices'!AH96/'Asset Prices'!AH97-1</f>
        <v>8.4815756035578005E-2</v>
      </c>
      <c r="AI96" s="1">
        <f>'Asset Prices'!AI96/'Asset Prices'!AI97-1</f>
        <v>5.8100256722064536E-2</v>
      </c>
      <c r="AJ96" s="1">
        <f>'Asset Prices'!AJ96/'Asset Prices'!AJ97-1</f>
        <v>-2.8342245989304682E-2</v>
      </c>
      <c r="AK96" s="1">
        <f>'Asset Prices'!AK96/'Asset Prices'!AK97-1</f>
        <v>-5.5493895671465676E-4</v>
      </c>
      <c r="AL96" s="1">
        <f>'Asset Prices'!AL96/'Asset Prices'!AL97-1</f>
        <v>1.0545303177466492E-2</v>
      </c>
      <c r="AM96" s="1">
        <f>'Asset Prices'!AM96/'Asset Prices'!AM97-1</f>
        <v>1.8192844147968401E-2</v>
      </c>
      <c r="AN96" s="1">
        <f>'Asset Prices'!AN96/'Asset Prices'!AN97-1</f>
        <v>1.3794705062703194E-2</v>
      </c>
      <c r="AO96" s="1">
        <f>'Asset Prices'!AO96/'Asset Prices'!AO97-1</f>
        <v>8.5257548845472098E-3</v>
      </c>
      <c r="AP96" s="1">
        <f>'Asset Prices'!AP96/'Asset Prices'!AP97-1</f>
        <v>9.3227091633466097E-2</v>
      </c>
      <c r="AQ96" s="1">
        <f>'Asset Prices'!AQ96/'Asset Prices'!AQ97-1</f>
        <v>-4.1525012141816475E-2</v>
      </c>
      <c r="AR96" s="1">
        <f>'Asset Prices'!AR96/'Asset Prices'!AR97-1</f>
        <v>-7.7881619937703039E-4</v>
      </c>
      <c r="AS96" s="1">
        <f>'Asset Prices'!AS96/'Asset Prices'!AS97-1</f>
        <v>8.1203861442362246E-2</v>
      </c>
      <c r="AT96" s="1">
        <f>'Asset Prices'!AT96/'Asset Prices'!AT97-1</f>
        <v>1.4394463667820157E-2</v>
      </c>
      <c r="AU96" s="1">
        <f>'Asset Prices'!AU96/'Asset Prices'!AU97-1</f>
        <v>3.5843312360462898E-2</v>
      </c>
      <c r="AV96" s="1">
        <f>'Asset Prices'!AV96/'Asset Prices'!AV97-1</f>
        <v>4.3697659437405889E-2</v>
      </c>
      <c r="AW96" s="1">
        <f>'Asset Prices'!AW96/'Asset Prices'!AW97-1</f>
        <v>5.7242493833461028E-2</v>
      </c>
      <c r="AX96" s="1">
        <f>'Asset Prices'!AX96/'Asset Prices'!AX97-1</f>
        <v>2.2607385079125963E-2</v>
      </c>
      <c r="AY96" s="1">
        <f>'Asset Prices'!AY96/'Asset Prices'!AY97-1</f>
        <v>7.1942446043167241E-3</v>
      </c>
      <c r="AZ96" s="1">
        <f>'Asset Prices'!AZ96/'Asset Prices'!AZ97-1</f>
        <v>4.4935262757044958E-2</v>
      </c>
      <c r="BA96" s="1">
        <f>'Asset Prices'!BA96/'Asset Prices'!BA97-1</f>
        <v>1.6996557659208156E-2</v>
      </c>
      <c r="BB96" s="1">
        <f>'Asset Prices'!BB96/'Asset Prices'!BB97-1</f>
        <v>1.2541620421753663E-2</v>
      </c>
      <c r="BC96" s="1">
        <f>'Asset Prices'!BC96/'Asset Prices'!BC97-1</f>
        <v>8.7302150613954854E-3</v>
      </c>
      <c r="BD96" s="1">
        <f>'Asset Prices'!BD96/'Asset Prices'!BD97-1</f>
        <v>2.2640885803999478E-2</v>
      </c>
    </row>
    <row r="97" spans="3:56" x14ac:dyDescent="0.25">
      <c r="C97" s="38">
        <f>'Asset Prices'!C97</f>
        <v>43692</v>
      </c>
      <c r="D97" s="1">
        <f>'Asset Prices'!D97/'Asset Prices'!D98-1</f>
        <v>-2.0177876598109989E-2</v>
      </c>
      <c r="E97" s="1">
        <f>'Asset Prices'!E97/'Asset Prices'!E98-1</f>
        <v>-3.2489665675538348E-2</v>
      </c>
      <c r="F97" s="1">
        <f>'Asset Prices'!F97/'Asset Prices'!F98-1</f>
        <v>-4.2048192771084292E-2</v>
      </c>
      <c r="G97" s="1">
        <f>'Asset Prices'!G97/'Asset Prices'!G98-1</f>
        <v>-3.7694419030191995E-2</v>
      </c>
      <c r="H97" s="1">
        <f>'Asset Prices'!H97/'Asset Prices'!H98-1</f>
        <v>-5.5482707752827376E-2</v>
      </c>
      <c r="I97" s="1">
        <f>'Asset Prices'!I97/'Asset Prices'!I98-1</f>
        <v>-3.9808582246529167E-2</v>
      </c>
      <c r="J97" s="1">
        <f>'Asset Prices'!J97/'Asset Prices'!J98-1</f>
        <v>-8.3075259302953786E-3</v>
      </c>
      <c r="K97" s="1">
        <f>'Asset Prices'!K97/'Asset Prices'!K98-1</f>
        <v>-3.0972944366546962E-2</v>
      </c>
      <c r="L97" s="1">
        <f>'Asset Prices'!L97/'Asset Prices'!L98-1</f>
        <v>-6.3754352643241474E-2</v>
      </c>
      <c r="M97" s="1">
        <f>'Asset Prices'!M97/'Asset Prices'!M98-1</f>
        <v>-3.7511699906400575E-2</v>
      </c>
      <c r="N97" s="1">
        <f>'Asset Prices'!N97/'Asset Prices'!N98-1</f>
        <v>-3.0567323555990455E-2</v>
      </c>
      <c r="O97" s="1">
        <f>'Asset Prices'!O97/'Asset Prices'!O98-1</f>
        <v>6.0166914666495153E-3</v>
      </c>
      <c r="P97" s="1">
        <f>'Asset Prices'!P97/'Asset Prices'!P98-1</f>
        <v>5.8987891959019212E-3</v>
      </c>
      <c r="Q97" s="1">
        <f>'Asset Prices'!Q97/'Asset Prices'!Q98-1</f>
        <v>-7.3879328659443355E-2</v>
      </c>
      <c r="R97" s="1">
        <f>'Asset Prices'!R97/'Asset Prices'!R98-1</f>
        <v>-1.7845554834522437E-3</v>
      </c>
      <c r="S97" s="1">
        <f>'Asset Prices'!S97/'Asset Prices'!S98-1</f>
        <v>-1.9792016101979226E-2</v>
      </c>
      <c r="T97" s="1">
        <f>'Asset Prices'!T97/'Asset Prices'!T98-1</f>
        <v>-2.7926960257787292E-2</v>
      </c>
      <c r="U97" s="1">
        <f>'Asset Prices'!U97/'Asset Prices'!U98-1</f>
        <v>-7.0847641424182206E-2</v>
      </c>
      <c r="V97" s="1">
        <f>'Asset Prices'!V97/'Asset Prices'!V98-1</f>
        <v>-4.6205269366889512E-2</v>
      </c>
      <c r="W97" s="1">
        <f>'Asset Prices'!W97/'Asset Prices'!W98-1</f>
        <v>-7.2268175881584629E-2</v>
      </c>
      <c r="X97" s="1">
        <f>'Asset Prices'!X97/'Asset Prices'!X98-1</f>
        <v>-4.5157456922162775E-2</v>
      </c>
      <c r="Y97" s="1">
        <f>'Asset Prices'!Y97/'Asset Prices'!Y98-1</f>
        <v>-2.0329234430781384E-2</v>
      </c>
      <c r="Z97" s="1">
        <f>'Asset Prices'!Z97/'Asset Prices'!Z98-1</f>
        <v>3.2978183663115113E-2</v>
      </c>
      <c r="AA97" s="1">
        <f>'Asset Prices'!AA97/'Asset Prices'!AA98-1</f>
        <v>-4.1987885462555052E-2</v>
      </c>
      <c r="AB97" s="1">
        <f>'Asset Prices'!AB97/'Asset Prices'!AB98-1</f>
        <v>-9.9025974025974128E-2</v>
      </c>
      <c r="AC97" s="1">
        <f>'Asset Prices'!AC97/'Asset Prices'!AC98-1</f>
        <v>-4.3520488391453171E-2</v>
      </c>
      <c r="AD97" s="1">
        <f>'Asset Prices'!AD97/'Asset Prices'!AD98-1</f>
        <v>-7.7185017026106695E-2</v>
      </c>
      <c r="AE97" s="1">
        <f>'Asset Prices'!AE97/'Asset Prices'!AE98-1</f>
        <v>1.3169022592726787E-2</v>
      </c>
      <c r="AF97" s="1">
        <f>'Asset Prices'!AF97/'Asset Prices'!AF98-1</f>
        <v>-0.16384915474642392</v>
      </c>
      <c r="AG97" s="1">
        <f>'Asset Prices'!AG97/'Asset Prices'!AG98-1</f>
        <v>-6.102704043661622E-2</v>
      </c>
      <c r="AH97" s="1">
        <f>'Asset Prices'!AH97/'Asset Prices'!AH98-1</f>
        <v>-6.9739952718676168E-2</v>
      </c>
      <c r="AI97" s="1">
        <f>'Asset Prices'!AI97/'Asset Prices'!AI98-1</f>
        <v>-6.6590995081346915E-2</v>
      </c>
      <c r="AJ97" s="1">
        <f>'Asset Prices'!AJ97/'Asset Prices'!AJ98-1</f>
        <v>4.1782729805013963E-2</v>
      </c>
      <c r="AK97" s="1">
        <f>'Asset Prices'!AK97/'Asset Prices'!AK98-1</f>
        <v>-8.4814626714068142E-2</v>
      </c>
      <c r="AL97" s="1">
        <f>'Asset Prices'!AL97/'Asset Prices'!AL98-1</f>
        <v>-4.0601703940362222E-2</v>
      </c>
      <c r="AM97" s="1">
        <f>'Asset Prices'!AM97/'Asset Prices'!AM98-1</f>
        <v>-5.8386866523911563E-2</v>
      </c>
      <c r="AN97" s="1">
        <f>'Asset Prices'!AN97/'Asset Prices'!AN98-1</f>
        <v>-1.1433031819642725E-2</v>
      </c>
      <c r="AO97" s="1">
        <f>'Asset Prices'!AO97/'Asset Prices'!AO98-1</f>
        <v>8.5990684342529544E-3</v>
      </c>
      <c r="AP97" s="1">
        <f>'Asset Prices'!AP97/'Asset Prices'!AP98-1</f>
        <v>-6.2208107603213159E-2</v>
      </c>
      <c r="AQ97" s="1">
        <f>'Asset Prices'!AQ97/'Asset Prices'!AQ98-1</f>
        <v>-2.6324085750315196E-2</v>
      </c>
      <c r="AR97" s="1">
        <f>'Asset Prices'!AR97/'Asset Prices'!AR98-1</f>
        <v>-1.9597862051412451E-2</v>
      </c>
      <c r="AS97" s="1">
        <f>'Asset Prices'!AS97/'Asset Prices'!AS98-1</f>
        <v>-7.7527501309586189E-2</v>
      </c>
      <c r="AT97" s="1">
        <f>'Asset Prices'!AT97/'Asset Prices'!AT98-1</f>
        <v>2.2936429279343029E-2</v>
      </c>
      <c r="AU97" s="1">
        <f>'Asset Prices'!AU97/'Asset Prices'!AU98-1</f>
        <v>-2.0749691934650372E-2</v>
      </c>
      <c r="AV97" s="1">
        <f>'Asset Prices'!AV97/'Asset Prices'!AV98-1</f>
        <v>2.3676280671545147E-3</v>
      </c>
      <c r="AW97" s="1">
        <f>'Asset Prices'!AW97/'Asset Prices'!AW98-1</f>
        <v>-2.2164927017923275E-2</v>
      </c>
      <c r="AX97" s="1">
        <f>'Asset Prices'!AX97/'Asset Prices'!AX98-1</f>
        <v>-7.4794315632011887E-3</v>
      </c>
      <c r="AY97" s="1">
        <f>'Asset Prices'!AY97/'Asset Prices'!AY98-1</f>
        <v>-5.4980786284362981E-2</v>
      </c>
      <c r="AZ97" s="1">
        <f>'Asset Prices'!AZ97/'Asset Prices'!AZ98-1</f>
        <v>-0.10265172225259711</v>
      </c>
      <c r="BA97" s="1">
        <f>'Asset Prices'!BA97/'Asset Prices'!BA98-1</f>
        <v>-4.923999143652158E-3</v>
      </c>
      <c r="BB97" s="1">
        <f>'Asset Prices'!BB97/'Asset Prices'!BB98-1</f>
        <v>-6.1769247738804323E-3</v>
      </c>
      <c r="BC97" s="1">
        <f>'Asset Prices'!BC97/'Asset Prices'!BC98-1</f>
        <v>-5.2776657254269388E-2</v>
      </c>
      <c r="BD97" s="1">
        <f>'Asset Prices'!BD97/'Asset Prices'!BD98-1</f>
        <v>1.3058764439979997E-2</v>
      </c>
    </row>
    <row r="98" spans="3:56" x14ac:dyDescent="0.25">
      <c r="C98" s="38">
        <f>'Asset Prices'!C98</f>
        <v>43685</v>
      </c>
      <c r="D98" s="1">
        <f>'Asset Prices'!D98/'Asset Prices'!D99-1</f>
        <v>4.0743428029246243E-3</v>
      </c>
      <c r="E98" s="1">
        <f>'Asset Prices'!E98/'Asset Prices'!E99-1</f>
        <v>-2.7916813535424856E-2</v>
      </c>
      <c r="F98" s="1">
        <f>'Asset Prices'!F98/'Asset Prices'!F99-1</f>
        <v>-1.4436958614052475E-3</v>
      </c>
      <c r="G98" s="1">
        <f>'Asset Prices'!G98/'Asset Prices'!G99-1</f>
        <v>-2.201145311381536E-2</v>
      </c>
      <c r="H98" s="1">
        <f>'Asset Prices'!H98/'Asset Prices'!H99-1</f>
        <v>-3.7621263506585789E-2</v>
      </c>
      <c r="I98" s="1">
        <f>'Asset Prices'!I98/'Asset Prices'!I99-1</f>
        <v>-1.3334716961552417E-2</v>
      </c>
      <c r="J98" s="1">
        <f>'Asset Prices'!J98/'Asset Prices'!J99-1</f>
        <v>-2.3988869164707549E-2</v>
      </c>
      <c r="K98" s="1">
        <f>'Asset Prices'!K98/'Asset Prices'!K99-1</f>
        <v>-1.2089558674514334E-2</v>
      </c>
      <c r="L98" s="1">
        <f>'Asset Prices'!L98/'Asset Prices'!L99-1</f>
        <v>-1.1267605633802913E-2</v>
      </c>
      <c r="M98" s="1">
        <f>'Asset Prices'!M98/'Asset Prices'!M99-1</f>
        <v>6.0118788932346234E-3</v>
      </c>
      <c r="N98" s="1">
        <f>'Asset Prices'!N98/'Asset Prices'!N99-1</f>
        <v>-4.6130485731732396E-3</v>
      </c>
      <c r="O98" s="1">
        <f>'Asset Prices'!O98/'Asset Prices'!O99-1</f>
        <v>1.8986090052079962E-2</v>
      </c>
      <c r="P98" s="1">
        <f>'Asset Prices'!P98/'Asset Prices'!P99-1</f>
        <v>-1.756198347107496E-3</v>
      </c>
      <c r="Q98" s="1">
        <f>'Asset Prices'!Q98/'Asset Prices'!Q99-1</f>
        <v>-6.9532987398072565E-2</v>
      </c>
      <c r="R98" s="1">
        <f>'Asset Prices'!R98/'Asset Prices'!R99-1</f>
        <v>1.4483212639894605E-2</v>
      </c>
      <c r="S98" s="1">
        <f>'Asset Prices'!S98/'Asset Prices'!S99-1</f>
        <v>3.0282637954239799E-3</v>
      </c>
      <c r="T98" s="1">
        <f>'Asset Prices'!T98/'Asset Prices'!T99-1</f>
        <v>-4.7709505370059135E-2</v>
      </c>
      <c r="U98" s="1">
        <f>'Asset Prices'!U98/'Asset Prices'!U99-1</f>
        <v>-5.901360544217682E-2</v>
      </c>
      <c r="V98" s="1">
        <f>'Asset Prices'!V98/'Asset Prices'!V99-1</f>
        <v>4.8659793814433083E-2</v>
      </c>
      <c r="W98" s="1">
        <f>'Asset Prices'!W98/'Asset Prices'!W99-1</f>
        <v>9.3745422586788418E-3</v>
      </c>
      <c r="X98" s="1">
        <f>'Asset Prices'!X98/'Asset Prices'!X99-1</f>
        <v>-9.222919937205587E-3</v>
      </c>
      <c r="Y98" s="1">
        <f>'Asset Prices'!Y98/'Asset Prices'!Y99-1</f>
        <v>0.13789212367411419</v>
      </c>
      <c r="Z98" s="1">
        <f>'Asset Prices'!Z98/'Asset Prices'!Z99-1</f>
        <v>-0.13248239436619713</v>
      </c>
      <c r="AA98" s="1">
        <f>'Asset Prices'!AA98/'Asset Prices'!AA99-1</f>
        <v>-2.8357410379882375E-2</v>
      </c>
      <c r="AB98" s="1">
        <f>'Asset Prices'!AB98/'Asset Prices'!AB99-1</f>
        <v>-3.5993740219092296E-2</v>
      </c>
      <c r="AC98" s="1">
        <f>'Asset Prices'!AC98/'Asset Prices'!AC99-1</f>
        <v>3.494160444189176E-2</v>
      </c>
      <c r="AD98" s="1">
        <f>'Asset Prices'!AD98/'Asset Prices'!AD99-1</f>
        <v>8.6815728604471953E-2</v>
      </c>
      <c r="AE98" s="1">
        <f>'Asset Prices'!AE98/'Asset Prices'!AE99-1</f>
        <v>6.4292143500064292E-2</v>
      </c>
      <c r="AF98" s="1">
        <f>'Asset Prices'!AF98/'Asset Prices'!AF99-1</f>
        <v>-8.0143540669856406E-2</v>
      </c>
      <c r="AG98" s="1">
        <f>'Asset Prices'!AG98/'Asset Prices'!AG99-1</f>
        <v>-2.07700716628203E-2</v>
      </c>
      <c r="AH98" s="1">
        <f>'Asset Prices'!AH98/'Asset Prices'!AH99-1</f>
        <v>-2.9259896729776136E-2</v>
      </c>
      <c r="AI98" s="1">
        <f>'Asset Prices'!AI98/'Asset Prices'!AI99-1</f>
        <v>1.0449853447177304E-2</v>
      </c>
      <c r="AJ98" s="1">
        <f>'Asset Prices'!AJ98/'Asset Prices'!AJ99-1</f>
        <v>-0.19034731619305378</v>
      </c>
      <c r="AK98" s="1">
        <f>'Asset Prices'!AK98/'Asset Prices'!AK99-1</f>
        <v>2.927339257710404E-2</v>
      </c>
      <c r="AL98" s="1">
        <f>'Asset Prices'!AL98/'Asset Prices'!AL99-1</f>
        <v>1.678397401191134E-2</v>
      </c>
      <c r="AM98" s="1">
        <f>'Asset Prices'!AM98/'Asset Prices'!AM99-1</f>
        <v>-6.7988291644491716E-2</v>
      </c>
      <c r="AN98" s="1">
        <f>'Asset Prices'!AN98/'Asset Prices'!AN99-1</f>
        <v>2.2872440353184365E-2</v>
      </c>
      <c r="AO98" s="1">
        <f>'Asset Prices'!AO98/'Asset Prices'!AO99-1</f>
        <v>1.0133912414042712E-2</v>
      </c>
      <c r="AP98" s="1">
        <f>'Asset Prices'!AP98/'Asset Prices'!AP99-1</f>
        <v>1.7874120555238626E-2</v>
      </c>
      <c r="AQ98" s="1">
        <f>'Asset Prices'!AQ98/'Asset Prices'!AQ99-1</f>
        <v>-6.0565674515030365E-2</v>
      </c>
      <c r="AR98" s="1">
        <f>'Asset Prices'!AR98/'Asset Prices'!AR99-1</f>
        <v>5.7604306864064592E-2</v>
      </c>
      <c r="AS98" s="1">
        <f>'Asset Prices'!AS98/'Asset Prices'!AS99-1</f>
        <v>-6.0531496062992129E-2</v>
      </c>
      <c r="AT98" s="1">
        <f>'Asset Prices'!AT98/'Asset Prices'!AT99-1</f>
        <v>2.4662701291164879E-2</v>
      </c>
      <c r="AU98" s="1">
        <f>'Asset Prices'!AU98/'Asset Prices'!AU99-1</f>
        <v>-3.0909451159104595E-3</v>
      </c>
      <c r="AV98" s="1">
        <f>'Asset Prices'!AV98/'Asset Prices'!AV99-1</f>
        <v>-4.8827925069096056E-2</v>
      </c>
      <c r="AW98" s="1">
        <f>'Asset Prices'!AW98/'Asset Prices'!AW99-1</f>
        <v>1.08878426097192E-2</v>
      </c>
      <c r="AX98" s="1">
        <f>'Asset Prices'!AX98/'Asset Prices'!AX99-1</f>
        <v>-6.2412342215988792E-2</v>
      </c>
      <c r="AY98" s="1">
        <f>'Asset Prices'!AY98/'Asset Prices'!AY99-1</f>
        <v>2.370370370370356E-3</v>
      </c>
      <c r="AZ98" s="1">
        <f>'Asset Prices'!AZ98/'Asset Prices'!AZ99-1</f>
        <v>-1.3617365511662372E-2</v>
      </c>
      <c r="BA98" s="1">
        <f>'Asset Prices'!BA98/'Asset Prices'!BA99-1</f>
        <v>-4.8998721772476328E-3</v>
      </c>
      <c r="BB98" s="1">
        <f>'Asset Prices'!BB98/'Asset Prices'!BB99-1</f>
        <v>-6.1390046042534285E-3</v>
      </c>
      <c r="BC98" s="1">
        <f>'Asset Prices'!BC98/'Asset Prices'!BC99-1</f>
        <v>4.1180044555459983E-3</v>
      </c>
      <c r="BD98" s="1">
        <f>'Asset Prices'!BD98/'Asset Prices'!BD99-1</f>
        <v>6.8993288590603941E-2</v>
      </c>
    </row>
    <row r="99" spans="3:56" x14ac:dyDescent="0.25">
      <c r="C99" s="38">
        <f>'Asset Prices'!C99</f>
        <v>43678</v>
      </c>
      <c r="D99" s="1">
        <f>'Asset Prices'!D99/'Asset Prices'!D100-1</f>
        <v>-1.3326725039925158E-2</v>
      </c>
      <c r="E99" s="1">
        <f>'Asset Prices'!E99/'Asset Prices'!E100-1</f>
        <v>-9.4965435374625429E-3</v>
      </c>
      <c r="F99" s="1">
        <f>'Asset Prices'!F99/'Asset Prices'!F100-1</f>
        <v>-4.7662694775435388E-2</v>
      </c>
      <c r="G99" s="1">
        <f>'Asset Prices'!G99/'Asset Prices'!G100-1</f>
        <v>-4.1344999142219896E-2</v>
      </c>
      <c r="H99" s="1">
        <f>'Asset Prices'!H99/'Asset Prices'!H100-1</f>
        <v>-5.8792962660530024E-2</v>
      </c>
      <c r="I99" s="1">
        <f>'Asset Prices'!I99/'Asset Prices'!I100-1</f>
        <v>-3.9758856060983616E-2</v>
      </c>
      <c r="J99" s="1">
        <f>'Asset Prices'!J99/'Asset Prices'!J100-1</f>
        <v>6.8109361414356862E-3</v>
      </c>
      <c r="K99" s="1">
        <f>'Asset Prices'!K99/'Asset Prices'!K100-1</f>
        <v>-6.0035869532176211E-2</v>
      </c>
      <c r="L99" s="1">
        <f>'Asset Prices'!L99/'Asset Prices'!L100-1</f>
        <v>-2.1319610365741481E-2</v>
      </c>
      <c r="M99" s="1">
        <f>'Asset Prices'!M99/'Asset Prices'!M100-1</f>
        <v>-1.5193665739353657E-2</v>
      </c>
      <c r="N99" s="1">
        <f>'Asset Prices'!N99/'Asset Prices'!N100-1</f>
        <v>6.6764089652622483E-2</v>
      </c>
      <c r="O99" s="1">
        <f>'Asset Prices'!O99/'Asset Prices'!O100-1</f>
        <v>1.3157894736842035E-2</v>
      </c>
      <c r="P99" s="1">
        <f>'Asset Prices'!P99/'Asset Prices'!P100-1</f>
        <v>-4.6352396433673171E-2</v>
      </c>
      <c r="Q99" s="1">
        <f>'Asset Prices'!Q99/'Asset Prices'!Q100-1</f>
        <v>7.2175211548033413E-3</v>
      </c>
      <c r="R99" s="1">
        <f>'Asset Prices'!R99/'Asset Prices'!R100-1</f>
        <v>9.4700116298389592E-3</v>
      </c>
      <c r="S99" s="1">
        <f>'Asset Prices'!S99/'Asset Prices'!S100-1</f>
        <v>-1.5241882041086896E-2</v>
      </c>
      <c r="T99" s="1">
        <f>'Asset Prices'!T99/'Asset Prices'!T100-1</f>
        <v>-2.7359295054007915E-2</v>
      </c>
      <c r="U99" s="1">
        <f>'Asset Prices'!U99/'Asset Prices'!U100-1</f>
        <v>-6.1452513966480438E-2</v>
      </c>
      <c r="V99" s="1">
        <f>'Asset Prices'!V99/'Asset Prices'!V100-1</f>
        <v>1.5494137353433857E-2</v>
      </c>
      <c r="W99" s="1">
        <f>'Asset Prices'!W99/'Asset Prices'!W100-1</f>
        <v>-0.11418191254703514</v>
      </c>
      <c r="X99" s="1">
        <f>'Asset Prices'!X99/'Asset Prices'!X100-1</f>
        <v>-7.1935895101074454E-2</v>
      </c>
      <c r="Y99" s="1">
        <f>'Asset Prices'!Y99/'Asset Prices'!Y100-1</f>
        <v>-7.8123374596899997E-2</v>
      </c>
      <c r="Z99" s="1">
        <f>'Asset Prices'!Z99/'Asset Prices'!Z100-1</f>
        <v>3.9103590212668626E-2</v>
      </c>
      <c r="AA99" s="1">
        <f>'Asset Prices'!AA99/'Asset Prices'!AA100-1</f>
        <v>-3.7342261138294974E-2</v>
      </c>
      <c r="AB99" s="1">
        <f>'Asset Prices'!AB99/'Asset Prices'!AB100-1</f>
        <v>3.1397174254317317E-3</v>
      </c>
      <c r="AC99" s="1">
        <f>'Asset Prices'!AC99/'Asset Prices'!AC100-1</f>
        <v>-8.5891899587149378E-3</v>
      </c>
      <c r="AD99" s="1">
        <f>'Asset Prices'!AD99/'Asset Prices'!AD100-1</f>
        <v>-5.8255403955236318E-3</v>
      </c>
      <c r="AE99" s="1">
        <f>'Asset Prices'!AE99/'Asset Prices'!AE100-1</f>
        <v>9.9844435016263722E-2</v>
      </c>
      <c r="AF99" s="1">
        <f>'Asset Prices'!AF99/'Asset Prices'!AF100-1</f>
        <v>3.4226804123711263E-2</v>
      </c>
      <c r="AG99" s="1">
        <f>'Asset Prices'!AG99/'Asset Prices'!AG100-1</f>
        <v>-6.3367463026166138E-2</v>
      </c>
      <c r="AH99" s="1">
        <f>'Asset Prices'!AH99/'Asset Prices'!AH100-1</f>
        <v>-6.0883620689655138E-2</v>
      </c>
      <c r="AI99" s="1">
        <f>'Asset Prices'!AI99/'Asset Prices'!AI100-1</f>
        <v>-1.2955974842767337E-2</v>
      </c>
      <c r="AJ99" s="1">
        <f>'Asset Prices'!AJ99/'Asset Prices'!AJ100-1</f>
        <v>3.2122905027933024E-2</v>
      </c>
      <c r="AK99" s="1">
        <f>'Asset Prices'!AK99/'Asset Prices'!AK100-1</f>
        <v>-1.9979508196721341E-2</v>
      </c>
      <c r="AL99" s="1">
        <f>'Asset Prices'!AL99/'Asset Prices'!AL100-1</f>
        <v>5.4976438669141814E-2</v>
      </c>
      <c r="AM99" s="1">
        <f>'Asset Prices'!AM99/'Asset Prices'!AM100-1</f>
        <v>-4.654564798191041E-4</v>
      </c>
      <c r="AN99" s="1">
        <f>'Asset Prices'!AN99/'Asset Prices'!AN100-1</f>
        <v>1.2226088592117712E-3</v>
      </c>
      <c r="AO99" s="1">
        <f>'Asset Prices'!AO99/'Asset Prices'!AO100-1</f>
        <v>-1.9517388218594722E-2</v>
      </c>
      <c r="AP99" s="1">
        <f>'Asset Prices'!AP99/'Asset Prices'!AP100-1</f>
        <v>-4.4686648501362281E-2</v>
      </c>
      <c r="AQ99" s="1">
        <f>'Asset Prices'!AQ99/'Asset Prices'!AQ100-1</f>
        <v>-2.6524434193455404E-2</v>
      </c>
      <c r="AR99" s="1">
        <f>'Asset Prices'!AR99/'Asset Prices'!AR100-1</f>
        <v>-2.8758169934640532E-2</v>
      </c>
      <c r="AS99" s="1">
        <f>'Asset Prices'!AS99/'Asset Prices'!AS100-1</f>
        <v>0.10195227765726678</v>
      </c>
      <c r="AT99" s="1">
        <f>'Asset Prices'!AT99/'Asset Prices'!AT100-1</f>
        <v>-1.7111079423926867E-2</v>
      </c>
      <c r="AU99" s="1">
        <f>'Asset Prices'!AU99/'Asset Prices'!AU100-1</f>
        <v>-7.0824316348613303E-3</v>
      </c>
      <c r="AV99" s="1">
        <f>'Asset Prices'!AV99/'Asset Prices'!AV100-1</f>
        <v>-8.3153449084936604E-2</v>
      </c>
      <c r="AW99" s="1">
        <f>'Asset Prices'!AW99/'Asset Prices'!AW100-1</f>
        <v>1.1738686628104844E-2</v>
      </c>
      <c r="AX99" s="1">
        <f>'Asset Prices'!AX99/'Asset Prices'!AX100-1</f>
        <v>-9.5751426759670299E-2</v>
      </c>
      <c r="AY99" s="1">
        <f>'Asset Prices'!AY99/'Asset Prices'!AY100-1</f>
        <v>7.1620411817368002E-3</v>
      </c>
      <c r="AZ99" s="1">
        <f>'Asset Prices'!AZ99/'Asset Prices'!AZ100-1</f>
        <v>-1.5398911456259046E-2</v>
      </c>
      <c r="BA99" s="1">
        <f>'Asset Prices'!BA99/'Asset Prices'!BA100-1</f>
        <v>-4.6649703138252896E-3</v>
      </c>
      <c r="BB99" s="1">
        <f>'Asset Prices'!BB99/'Asset Prices'!BB100-1</f>
        <v>1.6039206950323015E-2</v>
      </c>
      <c r="BC99" s="1">
        <f>'Asset Prices'!BC99/'Asset Prices'!BC100-1</f>
        <v>-2.5524636537069934E-2</v>
      </c>
      <c r="BD99" s="1">
        <f>'Asset Prices'!BD99/'Asset Prices'!BD100-1</f>
        <v>-1.4202540578687417E-2</v>
      </c>
    </row>
    <row r="100" spans="3:56" x14ac:dyDescent="0.25">
      <c r="C100" s="38">
        <f>'Asset Prices'!C100</f>
        <v>43671</v>
      </c>
      <c r="D100" s="1">
        <f>'Asset Prices'!D100/'Asset Prices'!D101-1</f>
        <v>5.8716002880407903E-3</v>
      </c>
      <c r="E100" s="1">
        <f>'Asset Prices'!E100/'Asset Prices'!E101-1</f>
        <v>1.1155828567394055E-2</v>
      </c>
      <c r="F100" s="1">
        <f>'Asset Prices'!F100/'Asset Prices'!F101-1</f>
        <v>-1.8298261665141702E-3</v>
      </c>
      <c r="G100" s="1">
        <f>'Asset Prices'!G100/'Asset Prices'!G101-1</f>
        <v>2.9249827942188222E-3</v>
      </c>
      <c r="H100" s="1">
        <f>'Asset Prices'!H100/'Asset Prices'!H101-1</f>
        <v>-1.3344206390391022E-3</v>
      </c>
      <c r="I100" s="1">
        <f>'Asset Prices'!I100/'Asset Prices'!I101-1</f>
        <v>-3.4864030281900327E-4</v>
      </c>
      <c r="J100" s="1">
        <f>'Asset Prices'!J100/'Asset Prices'!J101-1</f>
        <v>6.6128561703784339E-3</v>
      </c>
      <c r="K100" s="1">
        <f>'Asset Prices'!K100/'Asset Prices'!K101-1</f>
        <v>-2.062793872288915E-3</v>
      </c>
      <c r="L100" s="1">
        <f>'Asset Prices'!L100/'Asset Prices'!L101-1</f>
        <v>3.8436702438424675E-3</v>
      </c>
      <c r="M100" s="1">
        <f>'Asset Prices'!M100/'Asset Prices'!M101-1</f>
        <v>2.7635244099105671E-2</v>
      </c>
      <c r="N100" s="1">
        <f>'Asset Prices'!N100/'Asset Prices'!N101-1</f>
        <v>-9.8497262996408708E-3</v>
      </c>
      <c r="O100" s="1">
        <f>'Asset Prices'!O100/'Asset Prices'!O101-1</f>
        <v>1.5050847457627192E-2</v>
      </c>
      <c r="P100" s="1">
        <f>'Asset Prices'!P100/'Asset Prices'!P101-1</f>
        <v>2.0236920039486961E-3</v>
      </c>
      <c r="Q100" s="1">
        <f>'Asset Prices'!Q100/'Asset Prices'!Q101-1</f>
        <v>-0.29103292515086288</v>
      </c>
      <c r="R100" s="1">
        <f>'Asset Prices'!R100/'Asset Prices'!R101-1</f>
        <v>-2.8096237687711967E-2</v>
      </c>
      <c r="S100" s="1">
        <f>'Asset Prices'!S100/'Asset Prices'!S101-1</f>
        <v>-1.6938110749185609E-2</v>
      </c>
      <c r="T100" s="1">
        <f>'Asset Prices'!T100/'Asset Prices'!T101-1</f>
        <v>6.5808297567953034E-3</v>
      </c>
      <c r="U100" s="1">
        <f>'Asset Prices'!U100/'Asset Prices'!U101-1</f>
        <v>-2.6115342763873728E-2</v>
      </c>
      <c r="V100" s="1">
        <f>'Asset Prices'!V100/'Asset Prices'!V101-1</f>
        <v>2.1385799828913532E-2</v>
      </c>
      <c r="W100" s="1">
        <f>'Asset Prices'!W100/'Asset Prices'!W101-1</f>
        <v>4.3743228602383333E-2</v>
      </c>
      <c r="X100" s="1">
        <f>'Asset Prices'!X100/'Asset Prices'!X101-1</f>
        <v>4.7101449275362306E-2</v>
      </c>
      <c r="Y100" s="1">
        <f>'Asset Prices'!Y100/'Asset Prices'!Y101-1</f>
        <v>1.0413412475267503E-3</v>
      </c>
      <c r="Z100" s="1">
        <f>'Asset Prices'!Z100/'Asset Prices'!Z101-1</f>
        <v>-3.6996256331204624E-2</v>
      </c>
      <c r="AA100" s="1">
        <f>'Asset Prices'!AA100/'Asset Prices'!AA101-1</f>
        <v>1.9160104986876592E-2</v>
      </c>
      <c r="AB100" s="1">
        <f>'Asset Prices'!AB100/'Asset Prices'!AB101-1</f>
        <v>1.1111111111111072E-2</v>
      </c>
      <c r="AC100" s="1">
        <f>'Asset Prices'!AC100/'Asset Prices'!AC101-1</f>
        <v>1.9792876500193568E-2</v>
      </c>
      <c r="AD100" s="1">
        <f>'Asset Prices'!AD100/'Asset Prices'!AD101-1</f>
        <v>8.1757877280265401E-2</v>
      </c>
      <c r="AE100" s="1">
        <f>'Asset Prices'!AE100/'Asset Prices'!AE101-1</f>
        <v>-1.5532335498447125E-3</v>
      </c>
      <c r="AF100" s="1">
        <f>'Asset Prices'!AF100/'Asset Prices'!AF101-1</f>
        <v>1.7624842635333593E-2</v>
      </c>
      <c r="AG100" s="1">
        <f>'Asset Prices'!AG100/'Asset Prices'!AG101-1</f>
        <v>1.5128767756091843E-2</v>
      </c>
      <c r="AH100" s="1">
        <f>'Asset Prices'!AH100/'Asset Prices'!AH101-1</f>
        <v>-1.224055348589681E-2</v>
      </c>
      <c r="AI100" s="1">
        <f>'Asset Prices'!AI100/'Asset Prices'!AI101-1</f>
        <v>2.6733824099186343E-2</v>
      </c>
      <c r="AJ100" s="1">
        <f>'Asset Prices'!AJ100/'Asset Prices'!AJ101-1</f>
        <v>-2.2303140646335873E-2</v>
      </c>
      <c r="AK100" s="1">
        <f>'Asset Prices'!AK100/'Asset Prices'!AK101-1</f>
        <v>1.5608740894901274E-2</v>
      </c>
      <c r="AL100" s="1">
        <f>'Asset Prices'!AL100/'Asset Prices'!AL101-1</f>
        <v>-1.0596213619666561E-2</v>
      </c>
      <c r="AM100" s="1">
        <f>'Asset Prices'!AM100/'Asset Prices'!AM101-1</f>
        <v>5.0791953485262997E-3</v>
      </c>
      <c r="AN100" s="1">
        <f>'Asset Prices'!AN100/'Asset Prices'!AN101-1</f>
        <v>1.0501306723687431E-2</v>
      </c>
      <c r="AO100" s="1">
        <f>'Asset Prices'!AO100/'Asset Prices'!AO101-1</f>
        <v>-1.4857542387694433E-2</v>
      </c>
      <c r="AP100" s="1">
        <f>'Asset Prices'!AP100/'Asset Prices'!AP101-1</f>
        <v>-3.0785947120608448E-3</v>
      </c>
      <c r="AQ100" s="1">
        <f>'Asset Prices'!AQ100/'Asset Prices'!AQ101-1</f>
        <v>2.5290844714214167E-3</v>
      </c>
      <c r="AR100" s="1">
        <f>'Asset Prices'!AR100/'Asset Prices'!AR101-1</f>
        <v>-3.6523929471032779E-2</v>
      </c>
      <c r="AS100" s="1">
        <f>'Asset Prices'!AS100/'Asset Prices'!AS101-1</f>
        <v>3.3053221288515289E-2</v>
      </c>
      <c r="AT100" s="1">
        <f>'Asset Prices'!AT100/'Asset Prices'!AT101-1</f>
        <v>-2.4346132442960466E-2</v>
      </c>
      <c r="AU100" s="1">
        <f>'Asset Prices'!AU100/'Asset Prices'!AU101-1</f>
        <v>1.2606862860968793E-3</v>
      </c>
      <c r="AV100" s="1">
        <f>'Asset Prices'!AV100/'Asset Prices'!AV101-1</f>
        <v>-3.2419179077370242E-2</v>
      </c>
      <c r="AW100" s="1">
        <f>'Asset Prices'!AW100/'Asset Prices'!AW101-1</f>
        <v>-2.8630448254492902E-2</v>
      </c>
      <c r="AX100" s="1">
        <f>'Asset Prices'!AX100/'Asset Prices'!AX101-1</f>
        <v>2.0051746442431906E-2</v>
      </c>
      <c r="AY100" s="1">
        <f>'Asset Prices'!AY100/'Asset Prices'!AY101-1</f>
        <v>3.6498608103928243E-2</v>
      </c>
      <c r="AZ100" s="1">
        <f>'Asset Prices'!AZ100/'Asset Prices'!AZ101-1</f>
        <v>-1.5904572564612307E-3</v>
      </c>
      <c r="BA100" s="1">
        <f>'Asset Prices'!BA100/'Asset Prices'!BA101-1</f>
        <v>1.1149228130360234E-2</v>
      </c>
      <c r="BB100" s="1">
        <f>'Asset Prices'!BB100/'Asset Prices'!BB101-1</f>
        <v>-2.2749537389789909E-2</v>
      </c>
      <c r="BC100" s="1">
        <f>'Asset Prices'!BC100/'Asset Prices'!BC101-1</f>
        <v>3.1695398398262409E-2</v>
      </c>
      <c r="BD100" s="1">
        <f>'Asset Prices'!BD100/'Asset Prices'!BD101-1</f>
        <v>1.2323629219503474E-2</v>
      </c>
    </row>
    <row r="101" spans="3:56" x14ac:dyDescent="0.25">
      <c r="C101" s="38">
        <f>'Asset Prices'!C101</f>
        <v>43664</v>
      </c>
      <c r="D101" s="1">
        <f>'Asset Prices'!D101/'Asset Prices'!D102-1</f>
        <v>-1.1618900077460248E-3</v>
      </c>
      <c r="E101" s="1">
        <f>'Asset Prices'!E101/'Asset Prices'!E102-1</f>
        <v>-1.3443856227361439E-2</v>
      </c>
      <c r="F101" s="1">
        <f>'Asset Prices'!F101/'Asset Prices'!F102-1</f>
        <v>-9.6273643674256171E-3</v>
      </c>
      <c r="G101" s="1">
        <f>'Asset Prices'!G101/'Asset Prices'!G102-1</f>
        <v>-3.1171861976996285E-2</v>
      </c>
      <c r="H101" s="1">
        <f>'Asset Prices'!H101/'Asset Prices'!H102-1</f>
        <v>6.9423708569720244E-3</v>
      </c>
      <c r="I101" s="1">
        <f>'Asset Prices'!I101/'Asset Prices'!I102-1</f>
        <v>-2.2362470804551116E-3</v>
      </c>
      <c r="J101" s="1">
        <f>'Asset Prices'!J101/'Asset Prices'!J102-1</f>
        <v>1.9380421313506702E-2</v>
      </c>
      <c r="K101" s="1">
        <f>'Asset Prices'!K101/'Asset Prices'!K102-1</f>
        <v>-1.1578805339143461E-2</v>
      </c>
      <c r="L101" s="1">
        <f>'Asset Prices'!L101/'Asset Prices'!L102-1</f>
        <v>-0.14305665349143615</v>
      </c>
      <c r="M101" s="1">
        <f>'Asset Prices'!M101/'Asset Prices'!M102-1</f>
        <v>-1.430635838150307E-2</v>
      </c>
      <c r="N101" s="1">
        <f>'Asset Prices'!N101/'Asset Prices'!N102-1</f>
        <v>2.7620446122649245E-3</v>
      </c>
      <c r="O101" s="1">
        <f>'Asset Prices'!O101/'Asset Prices'!O102-1</f>
        <v>7.5935516813771864E-2</v>
      </c>
      <c r="P101" s="1">
        <f>'Asset Prices'!P101/'Asset Prices'!P102-1</f>
        <v>2.4940557494814719E-2</v>
      </c>
      <c r="Q101" s="1">
        <f>'Asset Prices'!Q101/'Asset Prices'!Q102-1</f>
        <v>2.7601825966949711E-3</v>
      </c>
      <c r="R101" s="1">
        <f>'Asset Prices'!R101/'Asset Prices'!R102-1</f>
        <v>1.2093479326687362E-2</v>
      </c>
      <c r="S101" s="1">
        <f>'Asset Prices'!S101/'Asset Prices'!S102-1</f>
        <v>7.8791858174653839E-3</v>
      </c>
      <c r="T101" s="1">
        <f>'Asset Prices'!T101/'Asset Prices'!T102-1</f>
        <v>-1.4799154334038001E-2</v>
      </c>
      <c r="U101" s="1">
        <f>'Asset Prices'!U101/'Asset Prices'!U102-1</f>
        <v>2.7635782747603699E-2</v>
      </c>
      <c r="V101" s="1">
        <f>'Asset Prices'!V101/'Asset Prices'!V102-1</f>
        <v>-1.8471872376154552E-2</v>
      </c>
      <c r="W101" s="1">
        <f>'Asset Prices'!W101/'Asset Prices'!W102-1</f>
        <v>1.2203389830509614E-3</v>
      </c>
      <c r="X101" s="1">
        <f>'Asset Prices'!X101/'Asset Prices'!X102-1</f>
        <v>1.1574074074073959E-2</v>
      </c>
      <c r="Y101" s="1">
        <f>'Asset Prices'!Y101/'Asset Prices'!Y102-1</f>
        <v>9.7791798107256245E-3</v>
      </c>
      <c r="Z101" s="1">
        <f>'Asset Prices'!Z101/'Asset Prices'!Z102-1</f>
        <v>-1.0459795162344854E-2</v>
      </c>
      <c r="AA101" s="1">
        <f>'Asset Prices'!AA101/'Asset Prices'!AA102-1</f>
        <v>-9.8752598752597232E-3</v>
      </c>
      <c r="AB101" s="1">
        <f>'Asset Prices'!AB101/'Asset Prices'!AB102-1</f>
        <v>6.389776357827559E-3</v>
      </c>
      <c r="AC101" s="1">
        <f>'Asset Prices'!AC101/'Asset Prices'!AC102-1</f>
        <v>5.8877786318216607E-2</v>
      </c>
      <c r="AD101" s="1">
        <f>'Asset Prices'!AD101/'Asset Prices'!AD102-1</f>
        <v>9.5965103598691259E-2</v>
      </c>
      <c r="AE101" s="1">
        <f>'Asset Prices'!AE101/'Asset Prices'!AE102-1</f>
        <v>2.149141785662767E-2</v>
      </c>
      <c r="AF101" s="1">
        <f>'Asset Prices'!AF101/'Asset Prices'!AF102-1</f>
        <v>5.958203646064919E-2</v>
      </c>
      <c r="AG101" s="1">
        <f>'Asset Prices'!AG101/'Asset Prices'!AG102-1</f>
        <v>3.0956066198357002E-2</v>
      </c>
      <c r="AH101" s="1">
        <f>'Asset Prices'!AH101/'Asset Prices'!AH102-1</f>
        <v>4.3888888888888866E-2</v>
      </c>
      <c r="AI101" s="1">
        <f>'Asset Prices'!AI101/'Asset Prices'!AI102-1</f>
        <v>9.5176010430249036E-3</v>
      </c>
      <c r="AJ101" s="1">
        <f>'Asset Prices'!AJ101/'Asset Prices'!AJ102-1</f>
        <v>1.1510128913443829E-2</v>
      </c>
      <c r="AK101" s="1">
        <f>'Asset Prices'!AK101/'Asset Prices'!AK102-1</f>
        <v>2.8357410379882264E-2</v>
      </c>
      <c r="AL101" s="1">
        <f>'Asset Prices'!AL101/'Asset Prices'!AL102-1</f>
        <v>1.1865618298784852E-2</v>
      </c>
      <c r="AM101" s="1">
        <f>'Asset Prices'!AM101/'Asset Prices'!AM102-1</f>
        <v>5.9402435570659717E-2</v>
      </c>
      <c r="AN101" s="1">
        <f>'Asset Prices'!AN101/'Asset Prices'!AN102-1</f>
        <v>-1.8497438816165168E-3</v>
      </c>
      <c r="AO101" s="1">
        <f>'Asset Prices'!AO101/'Asset Prices'!AO102-1</f>
        <v>5.0948699929724839E-3</v>
      </c>
      <c r="AP101" s="1">
        <f>'Asset Prices'!AP101/'Asset Prices'!AP102-1</f>
        <v>-1.1457214464733245E-2</v>
      </c>
      <c r="AQ101" s="1">
        <f>'Asset Prices'!AQ101/'Asset Prices'!AQ102-1</f>
        <v>7.0586523067965867E-3</v>
      </c>
      <c r="AR101" s="1">
        <f>'Asset Prices'!AR101/'Asset Prices'!AR102-1</f>
        <v>1.069246435845228E-2</v>
      </c>
      <c r="AS101" s="1">
        <f>'Asset Prices'!AS101/'Asset Prices'!AS102-1</f>
        <v>-6.2499999999999889E-2</v>
      </c>
      <c r="AT101" s="1">
        <f>'Asset Prices'!AT101/'Asset Prices'!AT102-1</f>
        <v>-1.3892747985552178E-3</v>
      </c>
      <c r="AU101" s="1">
        <f>'Asset Prices'!AU101/'Asset Prices'!AU102-1</f>
        <v>-9.1345590818596722E-3</v>
      </c>
      <c r="AV101" s="1">
        <f>'Asset Prices'!AV101/'Asset Prices'!AV102-1</f>
        <v>-7.6597278543749647E-3</v>
      </c>
      <c r="AW101" s="1">
        <f>'Asset Prices'!AW101/'Asset Prices'!AW102-1</f>
        <v>-7.4629925780128614E-3</v>
      </c>
      <c r="AX101" s="1">
        <f>'Asset Prices'!AX101/'Asset Prices'!AX102-1</f>
        <v>-1.4030612244897878E-2</v>
      </c>
      <c r="AY101" s="1">
        <f>'Asset Prices'!AY101/'Asset Prices'!AY102-1</f>
        <v>6.1900340451859215E-4</v>
      </c>
      <c r="AZ101" s="1">
        <f>'Asset Prices'!AZ101/'Asset Prices'!AZ102-1</f>
        <v>1.1942675159235527E-3</v>
      </c>
      <c r="BA101" s="1">
        <f>'Asset Prices'!BA101/'Asset Prices'!BA102-1</f>
        <v>3.0490499337163079E-2</v>
      </c>
      <c r="BB101" s="1">
        <f>'Asset Prices'!BB101/'Asset Prices'!BB102-1</f>
        <v>5.6923918992886069E-3</v>
      </c>
      <c r="BC101" s="1">
        <f>'Asset Prices'!BC101/'Asset Prices'!BC102-1</f>
        <v>1.9653979238754449E-2</v>
      </c>
      <c r="BD101" s="1">
        <f>'Asset Prices'!BD101/'Asset Prices'!BD102-1</f>
        <v>1.7075386012715743E-2</v>
      </c>
    </row>
    <row r="102" spans="3:56" x14ac:dyDescent="0.25">
      <c r="C102" s="38">
        <f>'Asset Prices'!C102</f>
        <v>43657</v>
      </c>
      <c r="D102" s="1">
        <f>'Asset Prices'!D102/'Asset Prices'!D103-1</f>
        <v>2.1880477186634328E-2</v>
      </c>
      <c r="E102" s="1">
        <f>'Asset Prices'!E102/'Asset Prices'!E103-1</f>
        <v>4.0565114001960279E-3</v>
      </c>
      <c r="F102" s="1">
        <f>'Asset Prices'!F102/'Asset Prices'!F103-1</f>
        <v>2.4245939675173966E-2</v>
      </c>
      <c r="G102" s="1">
        <f>'Asset Prices'!G102/'Asset Prices'!G103-1</f>
        <v>1.9198097179748519E-2</v>
      </c>
      <c r="H102" s="1">
        <f>'Asset Prices'!H102/'Asset Prices'!H103-1</f>
        <v>-1.202153551146834E-2</v>
      </c>
      <c r="I102" s="1">
        <f>'Asset Prices'!I102/'Asset Prices'!I103-1</f>
        <v>2.0436105476673516E-2</v>
      </c>
      <c r="J102" s="1">
        <f>'Asset Prices'!J102/'Asset Prices'!J103-1</f>
        <v>-1.3013061983268903E-2</v>
      </c>
      <c r="K102" s="1">
        <f>'Asset Prices'!K102/'Asset Prices'!K103-1</f>
        <v>3.2011346054667378E-2</v>
      </c>
      <c r="L102" s="1">
        <f>'Asset Prices'!L102/'Asset Prices'!L103-1</f>
        <v>-5.8157812008803322E-3</v>
      </c>
      <c r="M102" s="1">
        <f>'Asset Prices'!M102/'Asset Prices'!M103-1</f>
        <v>6.8383529754110217E-3</v>
      </c>
      <c r="N102" s="1">
        <f>'Asset Prices'!N102/'Asset Prices'!N103-1</f>
        <v>1.8780220660914004E-2</v>
      </c>
      <c r="O102" s="1">
        <f>'Asset Prices'!O102/'Asset Prices'!O103-1</f>
        <v>-6.5942028985507273E-3</v>
      </c>
      <c r="P102" s="1">
        <f>'Asset Prices'!P102/'Asset Prices'!P103-1</f>
        <v>-1.1155577788894533E-2</v>
      </c>
      <c r="Q102" s="1">
        <f>'Asset Prices'!Q102/'Asset Prices'!Q103-1</f>
        <v>2.7599999999999847E-2</v>
      </c>
      <c r="R102" s="1">
        <f>'Asset Prices'!R102/'Asset Prices'!R103-1</f>
        <v>7.9064404546203004E-3</v>
      </c>
      <c r="S102" s="1">
        <f>'Asset Prices'!S102/'Asset Prices'!S103-1</f>
        <v>-2.0263750402058522E-2</v>
      </c>
      <c r="T102" s="1">
        <f>'Asset Prices'!T102/'Asset Prices'!T103-1</f>
        <v>1.0582010582012025E-3</v>
      </c>
      <c r="U102" s="1">
        <f>'Asset Prices'!U102/'Asset Prices'!U103-1</f>
        <v>6.1073609771777893E-3</v>
      </c>
      <c r="V102" s="1">
        <f>'Asset Prices'!V102/'Asset Prices'!V103-1</f>
        <v>-3.2100772043884618E-2</v>
      </c>
      <c r="W102" s="1">
        <f>'Asset Prices'!W102/'Asset Prices'!W103-1</f>
        <v>2.4732527441989838E-2</v>
      </c>
      <c r="X102" s="1">
        <f>'Asset Prices'!X102/'Asset Prices'!X103-1</f>
        <v>-9.6357679707070876E-4</v>
      </c>
      <c r="Y102" s="1">
        <f>'Asset Prices'!Y102/'Asset Prices'!Y103-1</f>
        <v>-2.6219192448871942E-3</v>
      </c>
      <c r="Z102" s="1">
        <f>'Asset Prices'!Z102/'Asset Prices'!Z103-1</f>
        <v>2.182142061901593E-2</v>
      </c>
      <c r="AA102" s="1">
        <f>'Asset Prices'!AA102/'Asset Prices'!AA103-1</f>
        <v>4.5084193373166714E-2</v>
      </c>
      <c r="AB102" s="1">
        <f>'Asset Prices'!AB102/'Asset Prices'!AB103-1</f>
        <v>9.6774193548385679E-3</v>
      </c>
      <c r="AC102" s="1">
        <f>'Asset Prices'!AC102/'Asset Prices'!AC103-1</f>
        <v>2.3818267666963822E-2</v>
      </c>
      <c r="AD102" s="1">
        <f>'Asset Prices'!AD102/'Asset Prices'!AD103-1</f>
        <v>-4.7272727272727244E-2</v>
      </c>
      <c r="AE102" s="1">
        <f>'Asset Prices'!AE102/'Asset Prices'!AE103-1</f>
        <v>-4.0946188961128893E-2</v>
      </c>
      <c r="AF102" s="1">
        <f>'Asset Prices'!AF102/'Asset Prices'!AF103-1</f>
        <v>-9.1680129240710895E-2</v>
      </c>
      <c r="AG102" s="1">
        <f>'Asset Prices'!AG102/'Asset Prices'!AG103-1</f>
        <v>-8.327385201047921E-4</v>
      </c>
      <c r="AH102" s="1">
        <f>'Asset Prices'!AH102/'Asset Prices'!AH103-1</f>
        <v>1.1235955056179803E-2</v>
      </c>
      <c r="AI102" s="1">
        <f>'Asset Prices'!AI102/'Asset Prices'!AI103-1</f>
        <v>2.0353864573633196E-2</v>
      </c>
      <c r="AJ102" s="1">
        <f>'Asset Prices'!AJ102/'Asset Prices'!AJ103-1</f>
        <v>9.2165898617513342E-4</v>
      </c>
      <c r="AK102" s="1">
        <f>'Asset Prices'!AK102/'Asset Prices'!AK103-1</f>
        <v>-2.3000522739153095E-2</v>
      </c>
      <c r="AL102" s="1">
        <f>'Asset Prices'!AL102/'Asset Prices'!AL103-1</f>
        <v>3.3387501846653844E-2</v>
      </c>
      <c r="AM102" s="1">
        <f>'Asset Prices'!AM102/'Asset Prices'!AM103-1</f>
        <v>-2.119542178889211E-3</v>
      </c>
      <c r="AN102" s="1">
        <f>'Asset Prices'!AN102/'Asset Prices'!AN103-1</f>
        <v>1.2923372567859692E-2</v>
      </c>
      <c r="AO102" s="1">
        <f>'Asset Prices'!AO102/'Asset Prices'!AO103-1</f>
        <v>-2.081541372785134E-2</v>
      </c>
      <c r="AP102" s="1">
        <f>'Asset Prices'!AP102/'Asset Prices'!AP103-1</f>
        <v>3.5979228486646919E-2</v>
      </c>
      <c r="AQ102" s="1">
        <f>'Asset Prices'!AQ102/'Asset Prices'!AQ103-1</f>
        <v>6.2717500580001362E-2</v>
      </c>
      <c r="AR102" s="1">
        <f>'Asset Prices'!AR102/'Asset Prices'!AR103-1</f>
        <v>1.3415892672858698E-2</v>
      </c>
      <c r="AS102" s="1">
        <f>'Asset Prices'!AS102/'Asset Prices'!AS103-1</f>
        <v>-3.2520325203252098E-2</v>
      </c>
      <c r="AT102" s="1">
        <f>'Asset Prices'!AT102/'Asset Prices'!AT103-1</f>
        <v>3.2055749128920841E-3</v>
      </c>
      <c r="AU102" s="1">
        <f>'Asset Prices'!AU102/'Asset Prices'!AU103-1</f>
        <v>3.6436295251527362E-3</v>
      </c>
      <c r="AV102" s="1">
        <f>'Asset Prices'!AV102/'Asset Prices'!AV103-1</f>
        <v>1.1116173120728989E-2</v>
      </c>
      <c r="AW102" s="1">
        <f>'Asset Prices'!AW102/'Asset Prices'!AW103-1</f>
        <v>3.4487146856706508E-2</v>
      </c>
      <c r="AX102" s="1">
        <f>'Asset Prices'!AX102/'Asset Prices'!AX103-1</f>
        <v>2.8196721311475326E-2</v>
      </c>
      <c r="AY102" s="1">
        <f>'Asset Prices'!AY102/'Asset Prices'!AY103-1</f>
        <v>-3.0312124849939948E-2</v>
      </c>
      <c r="AZ102" s="1">
        <f>'Asset Prices'!AZ102/'Asset Prices'!AZ103-1</f>
        <v>-3.9143185005737546E-2</v>
      </c>
      <c r="BA102" s="1">
        <f>'Asset Prices'!BA102/'Asset Prices'!BA103-1</f>
        <v>4.8845470692715498E-3</v>
      </c>
      <c r="BB102" s="1">
        <f>'Asset Prices'!BB102/'Asset Prices'!BB103-1</f>
        <v>-6.741328694139459E-3</v>
      </c>
      <c r="BC102" s="1">
        <f>'Asset Prices'!BC102/'Asset Prices'!BC103-1</f>
        <v>9.2191646878054812E-3</v>
      </c>
      <c r="BD102" s="1">
        <f>'Asset Prices'!BD102/'Asset Prices'!BD103-1</f>
        <v>1.4553392759686368E-3</v>
      </c>
    </row>
    <row r="103" spans="3:56" x14ac:dyDescent="0.25">
      <c r="C103" s="38">
        <f>'Asset Prices'!C103</f>
        <v>43649</v>
      </c>
      <c r="D103" s="1">
        <f>'Asset Prices'!D103/'Asset Prices'!D104-1</f>
        <v>3.2938153360976496E-2</v>
      </c>
      <c r="E103" s="1">
        <f>'Asset Prices'!E103/'Asset Prices'!E104-1</f>
        <v>2.6417803302225318E-2</v>
      </c>
      <c r="F103" s="1">
        <f>'Asset Prices'!F103/'Asset Prices'!F104-1</f>
        <v>3.0360984939038937E-2</v>
      </c>
      <c r="G103" s="1">
        <f>'Asset Prices'!G103/'Asset Prices'!G104-1</f>
        <v>3.6815219305971425E-2</v>
      </c>
      <c r="H103" s="1">
        <f>'Asset Prices'!H103/'Asset Prices'!H104-1</f>
        <v>6.6420664206634505E-4</v>
      </c>
      <c r="I103" s="1">
        <f>'Asset Prices'!I103/'Asset Prices'!I104-1</f>
        <v>4.0633245382585725E-2</v>
      </c>
      <c r="J103" s="1">
        <f>'Asset Prices'!J103/'Asset Prices'!J104-1</f>
        <v>2.3380394512866554E-2</v>
      </c>
      <c r="K103" s="1">
        <f>'Asset Prices'!K103/'Asset Prices'!K104-1</f>
        <v>1.8232612851051266E-2</v>
      </c>
      <c r="L103" s="1">
        <f>'Asset Prices'!L103/'Asset Prices'!L104-1</f>
        <v>3.1619912437165665E-2</v>
      </c>
      <c r="M103" s="1">
        <f>'Asset Prices'!M103/'Asset Prices'!M104-1</f>
        <v>2.4673872530749152E-2</v>
      </c>
      <c r="N103" s="1">
        <f>'Asset Prices'!N103/'Asset Prices'!N104-1</f>
        <v>4.3060289978915645E-2</v>
      </c>
      <c r="O103" s="1">
        <f>'Asset Prices'!O103/'Asset Prices'!O104-1</f>
        <v>2.313167259786475E-2</v>
      </c>
      <c r="P103" s="1">
        <f>'Asset Prices'!P103/'Asset Prices'!P104-1</f>
        <v>6.2111471228946336E-2</v>
      </c>
      <c r="Q103" s="1">
        <f>'Asset Prices'!Q103/'Asset Prices'!Q104-1</f>
        <v>1.8707167994073126E-2</v>
      </c>
      <c r="R103" s="1">
        <f>'Asset Prices'!R103/'Asset Prices'!R104-1</f>
        <v>2.4122807017543879E-2</v>
      </c>
      <c r="S103" s="1">
        <f>'Asset Prices'!S103/'Asset Prices'!S104-1</f>
        <v>-3.206155819172829E-3</v>
      </c>
      <c r="T103" s="1">
        <f>'Asset Prices'!T103/'Asset Prices'!T104-1</f>
        <v>2.5019885747342707E-2</v>
      </c>
      <c r="U103" s="1">
        <f>'Asset Prices'!U103/'Asset Prices'!U104-1</f>
        <v>5.8523307247362988E-2</v>
      </c>
      <c r="V103" s="1">
        <f>'Asset Prices'!V103/'Asset Prices'!V104-1</f>
        <v>1.6312203179847273E-2</v>
      </c>
      <c r="W103" s="1">
        <f>'Asset Prices'!W103/'Asset Prices'!W104-1</f>
        <v>5.1117277639842307E-2</v>
      </c>
      <c r="X103" s="1">
        <f>'Asset Prices'!X103/'Asset Prices'!X104-1</f>
        <v>2.2664564446196245E-2</v>
      </c>
      <c r="Y103" s="1">
        <f>'Asset Prices'!Y103/'Asset Prices'!Y104-1</f>
        <v>7.2892457215296691E-3</v>
      </c>
      <c r="Z103" s="1">
        <f>'Asset Prices'!Z103/'Asset Prices'!Z104-1</f>
        <v>-1.1663732394366244E-2</v>
      </c>
      <c r="AA103" s="1">
        <f>'Asset Prices'!AA103/'Asset Prices'!AA104-1</f>
        <v>4.6766169154228932E-2</v>
      </c>
      <c r="AB103" s="1">
        <f>'Asset Prices'!AB103/'Asset Prices'!AB104-1</f>
        <v>2.6490066225165476E-2</v>
      </c>
      <c r="AC103" s="1">
        <f>'Asset Prices'!AC103/'Asset Prices'!AC104-1</f>
        <v>1.3936911537847818E-2</v>
      </c>
      <c r="AD103" s="1">
        <f>'Asset Prices'!AD103/'Asset Prices'!AD104-1</f>
        <v>4.8855793679622117E-2</v>
      </c>
      <c r="AE103" s="1">
        <f>'Asset Prices'!AE103/'Asset Prices'!AE104-1</f>
        <v>3.7605856179130148E-2</v>
      </c>
      <c r="AF103" s="1">
        <f>'Asset Prices'!AF103/'Asset Prices'!AF104-1</f>
        <v>1.5170151701517032E-2</v>
      </c>
      <c r="AG103" s="1">
        <f>'Asset Prices'!AG103/'Asset Prices'!AG104-1</f>
        <v>-4.4012282497441158E-2</v>
      </c>
      <c r="AH103" s="1">
        <f>'Asset Prices'!AH103/'Asset Prices'!AH104-1</f>
        <v>3.9112667834209081E-2</v>
      </c>
      <c r="AI103" s="1">
        <f>'Asset Prices'!AI103/'Asset Prices'!AI104-1</f>
        <v>4.0703308874428856E-2</v>
      </c>
      <c r="AJ103" s="1">
        <f>'Asset Prices'!AJ103/'Asset Prices'!AJ104-1</f>
        <v>2.3102310231023049E-2</v>
      </c>
      <c r="AK103" s="1">
        <f>'Asset Prices'!AK103/'Asset Prices'!AK104-1</f>
        <v>4.7071702244116054E-2</v>
      </c>
      <c r="AL103" s="1">
        <f>'Asset Prices'!AL103/'Asset Prices'!AL104-1</f>
        <v>3.9465601965601893E-2</v>
      </c>
      <c r="AM103" s="1">
        <f>'Asset Prices'!AM103/'Asset Prices'!AM104-1</f>
        <v>2.1801905861969173E-2</v>
      </c>
      <c r="AN103" s="1">
        <f>'Asset Prices'!AN103/'Asset Prices'!AN104-1</f>
        <v>2.7698232447911586E-2</v>
      </c>
      <c r="AO103" s="1">
        <f>'Asset Prices'!AO103/'Asset Prices'!AO104-1</f>
        <v>1.5371179039301408E-2</v>
      </c>
      <c r="AP103" s="1">
        <f>'Asset Prices'!AP103/'Asset Prices'!AP104-1</f>
        <v>1.9667170953101332E-2</v>
      </c>
      <c r="AQ103" s="1">
        <f>'Asset Prices'!AQ103/'Asset Prices'!AQ104-1</f>
        <v>4.0891894067455414E-2</v>
      </c>
      <c r="AR103" s="1">
        <f>'Asset Prices'!AR103/'Asset Prices'!AR104-1</f>
        <v>1.7857142857142794E-2</v>
      </c>
      <c r="AS103" s="1">
        <f>'Asset Prices'!AS103/'Asset Prices'!AS104-1</f>
        <v>3.7427517132314181E-2</v>
      </c>
      <c r="AT103" s="1">
        <f>'Asset Prices'!AT103/'Asset Prices'!AT104-1</f>
        <v>1.859738784781384E-2</v>
      </c>
      <c r="AU103" s="1">
        <f>'Asset Prices'!AU103/'Asset Prices'!AU104-1</f>
        <v>2.4443106562311856E-2</v>
      </c>
      <c r="AV103" s="1">
        <f>'Asset Prices'!AV103/'Asset Prices'!AV104-1</f>
        <v>1.4888108008137557E-2</v>
      </c>
      <c r="AW103" s="1">
        <f>'Asset Prices'!AW103/'Asset Prices'!AW104-1</f>
        <v>4.9786248664054122E-2</v>
      </c>
      <c r="AX103" s="1">
        <f>'Asset Prices'!AX103/'Asset Prices'!AX104-1</f>
        <v>3.1799729364005547E-2</v>
      </c>
      <c r="AY103" s="1">
        <f>'Asset Prices'!AY103/'Asset Prices'!AY104-1</f>
        <v>3.2537960954446721E-2</v>
      </c>
      <c r="AZ103" s="1">
        <f>'Asset Prices'!AZ103/'Asset Prices'!AZ104-1</f>
        <v>7.4502247912653363E-3</v>
      </c>
      <c r="BA103" s="1">
        <f>'Asset Prices'!BA103/'Asset Prices'!BA104-1</f>
        <v>-1.6379122079056452E-2</v>
      </c>
      <c r="BB103" s="1">
        <f>'Asset Prices'!BB103/'Asset Prices'!BB104-1</f>
        <v>2.5078020508247922E-2</v>
      </c>
      <c r="BC103" s="1">
        <f>'Asset Prices'!BC103/'Asset Prices'!BC104-1</f>
        <v>2.0600185330387211E-2</v>
      </c>
      <c r="BD103" s="1">
        <f>'Asset Prices'!BD103/'Asset Prices'!BD104-1</f>
        <v>5.3468761977769175E-2</v>
      </c>
    </row>
    <row r="104" spans="3:56" x14ac:dyDescent="0.25">
      <c r="C104" s="38">
        <f>'Asset Prices'!C104</f>
        <v>43643</v>
      </c>
      <c r="D104" s="1">
        <f>'Asset Prices'!D104/'Asset Prices'!D105-1</f>
        <v>-1.4446874640267171E-2</v>
      </c>
      <c r="E104" s="1">
        <f>'Asset Prices'!E104/'Asset Prices'!E105-1</f>
        <v>-1.9152232079988729E-2</v>
      </c>
      <c r="F104" s="1">
        <f>'Asset Prices'!F104/'Asset Prices'!F105-1</f>
        <v>-1.8535898639136517E-2</v>
      </c>
      <c r="G104" s="1">
        <f>'Asset Prices'!G104/'Asset Prices'!G105-1</f>
        <v>-3.8603263730478954E-3</v>
      </c>
      <c r="H104" s="1">
        <f>'Asset Prices'!H104/'Asset Prices'!H105-1</f>
        <v>1.3993863653371186E-2</v>
      </c>
      <c r="I104" s="1">
        <f>'Asset Prices'!I104/'Asset Prices'!I105-1</f>
        <v>-1.582862871313262E-4</v>
      </c>
      <c r="J104" s="1">
        <f>'Asset Prices'!J104/'Asset Prices'!J105-1</f>
        <v>1.4037902336307972E-3</v>
      </c>
      <c r="K104" s="1">
        <f>'Asset Prices'!K104/'Asset Prices'!K105-1</f>
        <v>-7.2516278366585585E-3</v>
      </c>
      <c r="L104" s="1">
        <f>'Asset Prices'!L104/'Asset Prices'!L105-1</f>
        <v>1.3170504641165426E-2</v>
      </c>
      <c r="M104" s="1">
        <f>'Asset Prices'!M104/'Asset Prices'!M105-1</f>
        <v>-2.0445418035779372E-2</v>
      </c>
      <c r="N104" s="1">
        <f>'Asset Prices'!N104/'Asset Prices'!N105-1</f>
        <v>-3.2851239669421384E-2</v>
      </c>
      <c r="O104" s="1">
        <f>'Asset Prices'!O104/'Asset Prices'!O105-1</f>
        <v>-2.0052310374890969E-2</v>
      </c>
      <c r="P104" s="1">
        <f>'Asset Prices'!P104/'Asset Prices'!P105-1</f>
        <v>1.329815871648532E-2</v>
      </c>
      <c r="Q104" s="1">
        <f>'Asset Prices'!Q104/'Asset Prices'!Q105-1</f>
        <v>-8.6988872729732547E-2</v>
      </c>
      <c r="R104" s="1">
        <f>'Asset Prices'!R104/'Asset Prices'!R105-1</f>
        <v>-3.3110422443320853E-2</v>
      </c>
      <c r="S104" s="1">
        <f>'Asset Prices'!S104/'Asset Prices'!S105-1</f>
        <v>-1.1097019657577589E-2</v>
      </c>
      <c r="T104" s="1">
        <f>'Asset Prices'!T104/'Asset Prices'!T105-1</f>
        <v>8.0180771193234524E-3</v>
      </c>
      <c r="U104" s="1">
        <f>'Asset Prices'!U104/'Asset Prices'!U105-1</f>
        <v>-1.0937237085646978E-2</v>
      </c>
      <c r="V104" s="1">
        <f>'Asset Prices'!V104/'Asset Prices'!V105-1</f>
        <v>-8.1547506163474281E-2</v>
      </c>
      <c r="W104" s="1">
        <f>'Asset Prices'!W104/'Asset Prices'!W105-1</f>
        <v>1.1697616610615302E-3</v>
      </c>
      <c r="X104" s="1">
        <f>'Asset Prices'!X104/'Asset Prices'!X105-1</f>
        <v>-1.5139751552795011E-2</v>
      </c>
      <c r="Y104" s="1">
        <f>'Asset Prices'!Y104/'Asset Prices'!Y105-1</f>
        <v>3.3406113537117976E-2</v>
      </c>
      <c r="Z104" s="1">
        <f>'Asset Prices'!Z104/'Asset Prices'!Z105-1</f>
        <v>-0.10197628458498031</v>
      </c>
      <c r="AA104" s="1">
        <f>'Asset Prices'!AA104/'Asset Prices'!AA105-1</f>
        <v>-4.363784665579129E-2</v>
      </c>
      <c r="AB104" s="1">
        <f>'Asset Prices'!AB104/'Asset Prices'!AB105-1</f>
        <v>-4.9423393739703725E-3</v>
      </c>
      <c r="AC104" s="1">
        <f>'Asset Prices'!AC104/'Asset Prices'!AC105-1</f>
        <v>1.1297003604282319E-2</v>
      </c>
      <c r="AD104" s="1">
        <f>'Asset Prices'!AD104/'Asset Prices'!AD105-1</f>
        <v>-4.5091918140825471E-2</v>
      </c>
      <c r="AE104" s="1">
        <f>'Asset Prices'!AE104/'Asset Prices'!AE105-1</f>
        <v>3.1677465802735227E-3</v>
      </c>
      <c r="AF104" s="1">
        <f>'Asset Prices'!AF104/'Asset Prices'!AF105-1</f>
        <v>3.2162505289885734E-2</v>
      </c>
      <c r="AG104" s="1">
        <f>'Asset Prices'!AG104/'Asset Prices'!AG105-1</f>
        <v>-4.9302627311060498E-2</v>
      </c>
      <c r="AH104" s="1">
        <f>'Asset Prices'!AH104/'Asset Prices'!AH105-1</f>
        <v>9.1310751104565213E-3</v>
      </c>
      <c r="AI104" s="1">
        <f>'Asset Prices'!AI104/'Asset Prices'!AI105-1</f>
        <v>-1.6877637130801593E-2</v>
      </c>
      <c r="AJ104" s="1">
        <f>'Asset Prices'!AJ104/'Asset Prices'!AJ105-1</f>
        <v>-1.164958061509791E-2</v>
      </c>
      <c r="AK104" s="1">
        <f>'Asset Prices'!AK104/'Asset Prices'!AK105-1</f>
        <v>-3.2309322033898247E-2</v>
      </c>
      <c r="AL104" s="1">
        <f>'Asset Prices'!AL104/'Asset Prices'!AL105-1</f>
        <v>2.1009720915647678E-2</v>
      </c>
      <c r="AM104" s="1">
        <f>'Asset Prices'!AM104/'Asset Prices'!AM105-1</f>
        <v>-2.3766654663304188E-3</v>
      </c>
      <c r="AN104" s="1">
        <f>'Asset Prices'!AN104/'Asset Prices'!AN105-1</f>
        <v>-3.6402990948446456E-3</v>
      </c>
      <c r="AO104" s="1">
        <f>'Asset Prices'!AO104/'Asset Prices'!AO105-1</f>
        <v>-1.5695849319846689E-3</v>
      </c>
      <c r="AP104" s="1">
        <f>'Asset Prices'!AP104/'Asset Prices'!AP105-1</f>
        <v>-1.7648151588333549E-2</v>
      </c>
      <c r="AQ104" s="1">
        <f>'Asset Prices'!AQ104/'Asset Prices'!AQ105-1</f>
        <v>-1.9281754639671744E-3</v>
      </c>
      <c r="AR104" s="1">
        <f>'Asset Prices'!AR104/'Asset Prices'!AR105-1</f>
        <v>1.3304949441192093E-2</v>
      </c>
      <c r="AS104" s="1">
        <f>'Asset Prices'!AS104/'Asset Prices'!AS105-1</f>
        <v>4.1735310269082726E-2</v>
      </c>
      <c r="AT104" s="1">
        <f>'Asset Prices'!AT104/'Asset Prices'!AT105-1</f>
        <v>-4.80361684091557E-3</v>
      </c>
      <c r="AU104" s="1">
        <f>'Asset Prices'!AU104/'Asset Prices'!AU105-1</f>
        <v>1.6440926892950403E-2</v>
      </c>
      <c r="AV104" s="1">
        <f>'Asset Prices'!AV104/'Asset Prices'!AV105-1</f>
        <v>-2.3919126274934643E-2</v>
      </c>
      <c r="AW104" s="1">
        <f>'Asset Prices'!AW104/'Asset Prices'!AW105-1</f>
        <v>-2.4288507495111911E-2</v>
      </c>
      <c r="AX104" s="1">
        <f>'Asset Prices'!AX104/'Asset Prices'!AX105-1</f>
        <v>-5.3835800807536804E-3</v>
      </c>
      <c r="AY104" s="1">
        <f>'Asset Prices'!AY104/'Asset Prices'!AY105-1</f>
        <v>1.4142049025769987E-2</v>
      </c>
      <c r="AZ104" s="1">
        <f>'Asset Prices'!AZ104/'Asset Prices'!AZ105-1</f>
        <v>3.4276604224790619E-2</v>
      </c>
      <c r="BA104" s="1">
        <f>'Asset Prices'!BA104/'Asset Prices'!BA105-1</f>
        <v>1.0147804985660702E-2</v>
      </c>
      <c r="BB104" s="1">
        <f>'Asset Prices'!BB104/'Asset Prices'!BB105-1</f>
        <v>-2.3933855526544812E-2</v>
      </c>
      <c r="BC104" s="1">
        <f>'Asset Prices'!BC104/'Asset Prices'!BC105-1</f>
        <v>5.5909970611425219E-3</v>
      </c>
      <c r="BD104" s="1">
        <f>'Asset Prices'!BD104/'Asset Prices'!BD105-1</f>
        <v>-3.1102033237396687E-2</v>
      </c>
    </row>
    <row r="105" spans="3:56" x14ac:dyDescent="0.25">
      <c r="C105" s="38">
        <f>'Asset Prices'!C105</f>
        <v>43636</v>
      </c>
      <c r="D105" s="1">
        <f>'Asset Prices'!D105/'Asset Prices'!D106-1</f>
        <v>2.5922645408916534E-2</v>
      </c>
      <c r="E105" s="1">
        <f>'Asset Prices'!E105/'Asset Prices'!E106-1</f>
        <v>1.9754480033864485E-3</v>
      </c>
      <c r="F105" s="1">
        <f>'Asset Prices'!F105/'Asset Prices'!F106-1</f>
        <v>1.9495275684726643E-2</v>
      </c>
      <c r="G105" s="1">
        <f>'Asset Prices'!G105/'Asset Prices'!G106-1</f>
        <v>5.8506686478454695E-2</v>
      </c>
      <c r="H105" s="1">
        <f>'Asset Prices'!H105/'Asset Prices'!H106-1</f>
        <v>5.0798144216403163E-2</v>
      </c>
      <c r="I105" s="1">
        <f>'Asset Prices'!I105/'Asset Prices'!I106-1</f>
        <v>6.7955147348847778E-2</v>
      </c>
      <c r="J105" s="1">
        <f>'Asset Prices'!J105/'Asset Prices'!J106-1</f>
        <v>2.7349987123358233E-2</v>
      </c>
      <c r="K105" s="1">
        <f>'Asset Prices'!K105/'Asset Prices'!K106-1</f>
        <v>2.5605517831364111E-2</v>
      </c>
      <c r="L105" s="1">
        <f>'Asset Prices'!L105/'Asset Prices'!L106-1</f>
        <v>6.3419037358413588E-2</v>
      </c>
      <c r="M105" s="1">
        <f>'Asset Prices'!M105/'Asset Prices'!M106-1</f>
        <v>3.4990931076178899E-2</v>
      </c>
      <c r="N105" s="1">
        <f>'Asset Prices'!N105/'Asset Prices'!N106-1</f>
        <v>2.0338951980275244E-2</v>
      </c>
      <c r="O105" s="1">
        <f>'Asset Prices'!O105/'Asset Prices'!O106-1</f>
        <v>7.2658577344952846E-5</v>
      </c>
      <c r="P105" s="1">
        <f>'Asset Prices'!P105/'Asset Prices'!P106-1</f>
        <v>-1.9013415020597835E-2</v>
      </c>
      <c r="Q105" s="1">
        <f>'Asset Prices'!Q105/'Asset Prices'!Q106-1</f>
        <v>-4.9506541935898651E-2</v>
      </c>
      <c r="R105" s="1">
        <f>'Asset Prices'!R105/'Asset Prices'!R106-1</f>
        <v>3.1286795626576991E-2</v>
      </c>
      <c r="S105" s="1">
        <f>'Asset Prices'!S105/'Asset Prices'!S106-1</f>
        <v>1.3821922211507465E-2</v>
      </c>
      <c r="T105" s="1">
        <f>'Asset Prices'!T105/'Asset Prices'!T106-1</f>
        <v>2.6717557251908275E-2</v>
      </c>
      <c r="U105" s="1">
        <f>'Asset Prices'!U105/'Asset Prices'!U106-1</f>
        <v>3.6810886252616859E-2</v>
      </c>
      <c r="V105" s="1">
        <f>'Asset Prices'!V105/'Asset Prices'!V106-1</f>
        <v>-6.5938206480784523E-3</v>
      </c>
      <c r="W105" s="1">
        <f>'Asset Prices'!W105/'Asset Prices'!W106-1</f>
        <v>3.8730255164034055E-2</v>
      </c>
      <c r="X105" s="1">
        <f>'Asset Prices'!X105/'Asset Prices'!X106-1</f>
        <v>-1.6418480336006125E-2</v>
      </c>
      <c r="Y105" s="1">
        <f>'Asset Prices'!Y105/'Asset Prices'!Y106-1</f>
        <v>2.1838829438736163E-4</v>
      </c>
      <c r="Z105" s="1">
        <f>'Asset Prices'!Z105/'Asset Prices'!Z106-1</f>
        <v>8.4673097534833985E-2</v>
      </c>
      <c r="AA105" s="1">
        <f>'Asset Prices'!AA105/'Asset Prices'!AA106-1</f>
        <v>3.3291192583227991E-2</v>
      </c>
      <c r="AB105" s="1">
        <f>'Asset Prices'!AB105/'Asset Prices'!AB106-1</f>
        <v>-2.5682182985553803E-2</v>
      </c>
      <c r="AC105" s="1">
        <f>'Asset Prices'!AC105/'Asset Prices'!AC106-1</f>
        <v>6.9070623418449495E-2</v>
      </c>
      <c r="AD105" s="1">
        <f>'Asset Prices'!AD105/'Asset Prices'!AD106-1</f>
        <v>2.9570360062618484E-3</v>
      </c>
      <c r="AE105" s="1">
        <f>'Asset Prices'!AE105/'Asset Prices'!AE106-1</f>
        <v>-1.9206326790001449E-2</v>
      </c>
      <c r="AF105" s="1">
        <f>'Asset Prices'!AF105/'Asset Prices'!AF106-1</f>
        <v>3.4588441330998254E-2</v>
      </c>
      <c r="AG105" s="1">
        <f>'Asset Prices'!AG105/'Asset Prices'!AG106-1</f>
        <v>-1.4911066141229168E-2</v>
      </c>
      <c r="AH105" s="1">
        <f>'Asset Prices'!AH105/'Asset Prices'!AH106-1</f>
        <v>1.7380881030866213E-2</v>
      </c>
      <c r="AI105" s="1">
        <f>'Asset Prices'!AI105/'Asset Prices'!AI106-1</f>
        <v>7.0211216314639335E-2</v>
      </c>
      <c r="AJ105" s="1">
        <f>'Asset Prices'!AJ105/'Asset Prices'!AJ106-1</f>
        <v>1.3999066728884735E-3</v>
      </c>
      <c r="AK105" s="1">
        <f>'Asset Prices'!AK105/'Asset Prices'!AK106-1</f>
        <v>-2.8806584362140009E-2</v>
      </c>
      <c r="AL105" s="1">
        <f>'Asset Prices'!AL105/'Asset Prices'!AL106-1</f>
        <v>6.5130260521041983E-2</v>
      </c>
      <c r="AM105" s="1">
        <f>'Asset Prices'!AM105/'Asset Prices'!AM106-1</f>
        <v>2.2760754272245221E-2</v>
      </c>
      <c r="AN105" s="1">
        <f>'Asset Prices'!AN105/'Asset Prices'!AN106-1</f>
        <v>3.3031812176034236E-2</v>
      </c>
      <c r="AO105" s="1">
        <f>'Asset Prices'!AO105/'Asset Prices'!AO106-1</f>
        <v>-4.8594238111765442E-3</v>
      </c>
      <c r="AP105" s="1">
        <f>'Asset Prices'!AP105/'Asset Prices'!AP106-1</f>
        <v>1.9121544869367568E-2</v>
      </c>
      <c r="AQ105" s="1">
        <f>'Asset Prices'!AQ105/'Asset Prices'!AQ106-1</f>
        <v>5.2689445196211215E-2</v>
      </c>
      <c r="AR105" s="1">
        <f>'Asset Prices'!AR105/'Asset Prices'!AR106-1</f>
        <v>5.7102672292545842E-2</v>
      </c>
      <c r="AS105" s="1">
        <f>'Asset Prices'!AS105/'Asset Prices'!AS106-1</f>
        <v>4.7756041426927576E-2</v>
      </c>
      <c r="AT105" s="1">
        <f>'Asset Prices'!AT105/'Asset Prices'!AT106-1</f>
        <v>-2.3993381136238168E-2</v>
      </c>
      <c r="AU105" s="1">
        <f>'Asset Prices'!AU105/'Asset Prices'!AU106-1</f>
        <v>3.4087073911576171E-2</v>
      </c>
      <c r="AV105" s="1">
        <f>'Asset Prices'!AV105/'Asset Prices'!AV106-1</f>
        <v>1.9602429596907944E-2</v>
      </c>
      <c r="AW105" s="1">
        <f>'Asset Prices'!AW105/'Asset Prices'!AW106-1</f>
        <v>5.2066191259828143E-2</v>
      </c>
      <c r="AX105" s="1">
        <f>'Asset Prices'!AX105/'Asset Prices'!AX106-1</f>
        <v>1.7808219178082174E-2</v>
      </c>
      <c r="AY105" s="1">
        <f>'Asset Prices'!AY105/'Asset Prices'!AY106-1</f>
        <v>2.4139040875442497E-2</v>
      </c>
      <c r="AZ105" s="1">
        <f>'Asset Prices'!AZ105/'Asset Prices'!AZ106-1</f>
        <v>4.0647034425549622E-2</v>
      </c>
      <c r="BA105" s="1">
        <f>'Asset Prices'!BA105/'Asset Prices'!BA106-1</f>
        <v>3.9202200825309452E-2</v>
      </c>
      <c r="BB105" s="1">
        <f>'Asset Prices'!BB105/'Asset Prices'!BB106-1</f>
        <v>1.2446304659103458E-2</v>
      </c>
      <c r="BC105" s="1">
        <f>'Asset Prices'!BC105/'Asset Prices'!BC106-1</f>
        <v>-4.4255668973076756E-2</v>
      </c>
      <c r="BD105" s="1">
        <f>'Asset Prices'!BD105/'Asset Prices'!BD106-1</f>
        <v>2.5321275583055636E-2</v>
      </c>
    </row>
    <row r="106" spans="3:56" x14ac:dyDescent="0.25">
      <c r="C106" s="38">
        <f>'Asset Prices'!C106</f>
        <v>43629</v>
      </c>
      <c r="D106" s="1">
        <f>'Asset Prices'!D106/'Asset Prices'!D107-1</f>
        <v>1.4557872034507646E-2</v>
      </c>
      <c r="E106" s="1">
        <f>'Asset Prices'!E106/'Asset Prices'!E107-1</f>
        <v>3.301508636396755E-2</v>
      </c>
      <c r="F106" s="1">
        <f>'Asset Prices'!F106/'Asset Prices'!F107-1</f>
        <v>1.406913280776223E-2</v>
      </c>
      <c r="G106" s="1">
        <f>'Asset Prices'!G106/'Asset Prices'!G107-1</f>
        <v>2.3768777334093993E-2</v>
      </c>
      <c r="H106" s="1">
        <f>'Asset Prices'!H106/'Asset Prices'!H107-1</f>
        <v>3.0634573304157531E-2</v>
      </c>
      <c r="I106" s="1">
        <f>'Asset Prices'!I106/'Asset Prices'!I107-1</f>
        <v>5.4298104912968492E-2</v>
      </c>
      <c r="J106" s="1">
        <f>'Asset Prices'!J106/'Asset Prices'!J107-1</f>
        <v>4.8212935968038106E-2</v>
      </c>
      <c r="K106" s="1">
        <f>'Asset Prices'!K106/'Asset Prices'!K107-1</f>
        <v>6.6086778084315734E-2</v>
      </c>
      <c r="L106" s="1">
        <f>'Asset Prices'!L106/'Asset Prices'!L107-1</f>
        <v>-3.8361381009716311E-2</v>
      </c>
      <c r="M106" s="1">
        <f>'Asset Prices'!M106/'Asset Prices'!M107-1</f>
        <v>3.5205758097324402E-2</v>
      </c>
      <c r="N106" s="1">
        <f>'Asset Prices'!N106/'Asset Prices'!N107-1</f>
        <v>4.1278537069557864E-2</v>
      </c>
      <c r="O106" s="1">
        <f>'Asset Prices'!O106/'Asset Prices'!O107-1</f>
        <v>2.8417371028852667E-3</v>
      </c>
      <c r="P106" s="1">
        <f>'Asset Prices'!P106/'Asset Prices'!P107-1</f>
        <v>2.8127715030408451E-2</v>
      </c>
      <c r="Q106" s="1">
        <f>'Asset Prices'!Q106/'Asset Prices'!Q107-1</f>
        <v>1.5374069721895811E-2</v>
      </c>
      <c r="R106" s="1">
        <f>'Asset Prices'!R106/'Asset Prices'!R107-1</f>
        <v>-5.8528428093644891E-3</v>
      </c>
      <c r="S106" s="1">
        <f>'Asset Prices'!S106/'Asset Prices'!S107-1</f>
        <v>-1.300761421319796E-2</v>
      </c>
      <c r="T106" s="1">
        <f>'Asset Prices'!T106/'Asset Prices'!T107-1</f>
        <v>3.9035769828926981E-2</v>
      </c>
      <c r="U106" s="1">
        <f>'Asset Prices'!U106/'Asset Prices'!U107-1</f>
        <v>4.9432442328817272E-2</v>
      </c>
      <c r="V106" s="1">
        <f>'Asset Prices'!V106/'Asset Prices'!V107-1</f>
        <v>7.5930144267273292E-3</v>
      </c>
      <c r="W106" s="1">
        <f>'Asset Prices'!W106/'Asset Prices'!W107-1</f>
        <v>5.6821829855537853E-2</v>
      </c>
      <c r="X106" s="1">
        <f>'Asset Prices'!X106/'Asset Prices'!X107-1</f>
        <v>4.8019207683073439E-2</v>
      </c>
      <c r="Y106" s="1">
        <f>'Asset Prices'!Y106/'Asset Prices'!Y107-1</f>
        <v>2.8873160319065283E-2</v>
      </c>
      <c r="Z106" s="1">
        <f>'Asset Prices'!Z106/'Asset Prices'!Z107-1</f>
        <v>-2.1191775073436836E-2</v>
      </c>
      <c r="AA106" s="1">
        <f>'Asset Prices'!AA106/'Asset Prices'!AA107-1</f>
        <v>1.8294399099352265E-3</v>
      </c>
      <c r="AB106" s="1">
        <f>'Asset Prices'!AB106/'Asset Prices'!AB107-1</f>
        <v>-4.0061633281972209E-2</v>
      </c>
      <c r="AC106" s="1">
        <f>'Asset Prices'!AC106/'Asset Prices'!AC107-1</f>
        <v>0.11027392886788823</v>
      </c>
      <c r="AD106" s="1">
        <f>'Asset Prices'!AD106/'Asset Prices'!AD107-1</f>
        <v>7.8207051762940738E-2</v>
      </c>
      <c r="AE106" s="1">
        <f>'Asset Prices'!AE106/'Asset Prices'!AE107-1</f>
        <v>5.8445440956651717E-2</v>
      </c>
      <c r="AF106" s="1">
        <f>'Asset Prices'!AF106/'Asset Prices'!AF107-1</f>
        <v>1.6918967052537814E-2</v>
      </c>
      <c r="AG106" s="1">
        <f>'Asset Prices'!AG106/'Asset Prices'!AG107-1</f>
        <v>-3.7815126050420145E-2</v>
      </c>
      <c r="AH106" s="1">
        <f>'Asset Prices'!AH106/'Asset Prices'!AH107-1</f>
        <v>-6.631225517627326E-2</v>
      </c>
      <c r="AI106" s="1">
        <f>'Asset Prices'!AI106/'Asset Prices'!AI107-1</f>
        <v>3.1245305693255343E-2</v>
      </c>
      <c r="AJ106" s="1">
        <f>'Asset Prices'!AJ106/'Asset Prices'!AJ107-1</f>
        <v>-3.4249662009914417E-2</v>
      </c>
      <c r="AK106" s="1">
        <f>'Asset Prices'!AK106/'Asset Prices'!AK107-1</f>
        <v>8.4821428571428603E-2</v>
      </c>
      <c r="AL106" s="1">
        <f>'Asset Prices'!AL106/'Asset Prices'!AL107-1</f>
        <v>-5.6710775047258855E-2</v>
      </c>
      <c r="AM106" s="1">
        <f>'Asset Prices'!AM106/'Asset Prices'!AM107-1</f>
        <v>2.6773559219482657E-2</v>
      </c>
      <c r="AN106" s="1">
        <f>'Asset Prices'!AN106/'Asset Prices'!AN107-1</f>
        <v>2.5857574809717399E-2</v>
      </c>
      <c r="AO106" s="1">
        <f>'Asset Prices'!AO106/'Asset Prices'!AO107-1</f>
        <v>1.3903371567605127E-3</v>
      </c>
      <c r="AP106" s="1">
        <f>'Asset Prices'!AP106/'Asset Prices'!AP107-1</f>
        <v>3.7721021611001992E-2</v>
      </c>
      <c r="AQ106" s="1">
        <f>'Asset Prices'!AQ106/'Asset Prices'!AQ107-1</f>
        <v>7.9817351598173492E-2</v>
      </c>
      <c r="AR106" s="1">
        <f>'Asset Prices'!AR106/'Asset Prices'!AR107-1</f>
        <v>6.7969413763804276E-3</v>
      </c>
      <c r="AS106" s="1">
        <f>'Asset Prices'!AS106/'Asset Prices'!AS107-1</f>
        <v>-4.0114613180516345E-3</v>
      </c>
      <c r="AT106" s="1">
        <f>'Asset Prices'!AT106/'Asset Prices'!AT107-1</f>
        <v>2.2128259337561573E-2</v>
      </c>
      <c r="AU106" s="1">
        <f>'Asset Prices'!AU106/'Asset Prices'!AU107-1</f>
        <v>1.7326628069136429E-3</v>
      </c>
      <c r="AV106" s="1">
        <f>'Asset Prices'!AV106/'Asset Prices'!AV107-1</f>
        <v>6.3001369594991141E-2</v>
      </c>
      <c r="AW106" s="1">
        <f>'Asset Prices'!AW106/'Asset Prices'!AW107-1</f>
        <v>-2.0528260572054702E-3</v>
      </c>
      <c r="AX106" s="1">
        <f>'Asset Prices'!AX106/'Asset Prices'!AX107-1</f>
        <v>1.2482662968099856E-2</v>
      </c>
      <c r="AY106" s="1">
        <f>'Asset Prices'!AY106/'Asset Prices'!AY107-1</f>
        <v>3.0172413793103425E-2</v>
      </c>
      <c r="AZ106" s="1">
        <f>'Asset Prices'!AZ106/'Asset Prices'!AZ107-1</f>
        <v>4.5835743204164281E-2</v>
      </c>
      <c r="BA106" s="1">
        <f>'Asset Prices'!BA106/'Asset Prices'!BA107-1</f>
        <v>0.10935910478128186</v>
      </c>
      <c r="BB106" s="1">
        <f>'Asset Prices'!BB106/'Asset Prices'!BB107-1</f>
        <v>1.1587743732590639E-2</v>
      </c>
      <c r="BC106" s="1">
        <f>'Asset Prices'!BC106/'Asset Prices'!BC107-1</f>
        <v>2.5358246698510722E-2</v>
      </c>
      <c r="BD106" s="1">
        <f>'Asset Prices'!BD106/'Asset Prices'!BD107-1</f>
        <v>6.4188541866259108E-3</v>
      </c>
    </row>
    <row r="107" spans="3:56" x14ac:dyDescent="0.25">
      <c r="C107" s="38">
        <f>'Asset Prices'!C107</f>
        <v>43622</v>
      </c>
      <c r="D107" s="1">
        <f>'Asset Prices'!D107/'Asset Prices'!D108-1</f>
        <v>2.5559105431309792E-2</v>
      </c>
      <c r="E107" s="1">
        <f>'Asset Prices'!E107/'Asset Prices'!E108-1</f>
        <v>3.7897125567322387E-2</v>
      </c>
      <c r="F107" s="1">
        <f>'Asset Prices'!F107/'Asset Prices'!F108-1</f>
        <v>4.0247287408528898E-2</v>
      </c>
      <c r="G107" s="1">
        <f>'Asset Prices'!G107/'Asset Prices'!G108-1</f>
        <v>1.6821345707656699E-2</v>
      </c>
      <c r="H107" s="1">
        <f>'Asset Prices'!H107/'Asset Prices'!H108-1</f>
        <v>1.2721602101116281E-2</v>
      </c>
      <c r="I107" s="1">
        <f>'Asset Prices'!I107/'Asset Prices'!I108-1</f>
        <v>-8.0214195945576661E-2</v>
      </c>
      <c r="J107" s="1">
        <f>'Asset Prices'!J107/'Asset Prices'!J108-1</f>
        <v>3.8810992708917524E-2</v>
      </c>
      <c r="K107" s="1">
        <f>'Asset Prices'!K107/'Asset Prices'!K108-1</f>
        <v>-3.4112931642001465E-2</v>
      </c>
      <c r="L107" s="1">
        <f>'Asset Prices'!L107/'Asset Prices'!L108-1</f>
        <v>1.500639477049881E-2</v>
      </c>
      <c r="M107" s="1">
        <f>'Asset Prices'!M107/'Asset Prices'!M108-1</f>
        <v>1.6622922134733153E-2</v>
      </c>
      <c r="N107" s="1">
        <f>'Asset Prices'!N107/'Asset Prices'!N108-1</f>
        <v>-6.5676246867782617E-2</v>
      </c>
      <c r="O107" s="1">
        <f>'Asset Prices'!O107/'Asset Prices'!O108-1</f>
        <v>4.9155263359070389E-2</v>
      </c>
      <c r="P107" s="1">
        <f>'Asset Prices'!P107/'Asset Prices'!P108-1</f>
        <v>-1.671205083026317E-2</v>
      </c>
      <c r="Q107" s="1">
        <f>'Asset Prices'!Q107/'Asset Prices'!Q108-1</f>
        <v>3.2627747067547563E-2</v>
      </c>
      <c r="R107" s="1">
        <f>'Asset Prices'!R107/'Asset Prices'!R108-1</f>
        <v>4.2538354253835342E-2</v>
      </c>
      <c r="S107" s="1">
        <f>'Asset Prices'!S107/'Asset Prices'!S108-1</f>
        <v>5.4533288725326257E-2</v>
      </c>
      <c r="T107" s="1">
        <f>'Asset Prices'!T107/'Asset Prices'!T108-1</f>
        <v>3.1688728439630776E-2</v>
      </c>
      <c r="U107" s="1">
        <f>'Asset Prices'!U107/'Asset Prices'!U108-1</f>
        <v>-1.6564638098667706E-2</v>
      </c>
      <c r="V107" s="1">
        <f>'Asset Prices'!V107/'Asset Prices'!V108-1</f>
        <v>4.7107930828861111E-2</v>
      </c>
      <c r="W107" s="1">
        <f>'Asset Prices'!W107/'Asset Prices'!W108-1</f>
        <v>-4.1685894477772822E-2</v>
      </c>
      <c r="X107" s="1">
        <f>'Asset Prices'!X107/'Asset Prices'!X108-1</f>
        <v>1.1945738003644291E-2</v>
      </c>
      <c r="Y107" s="1">
        <f>'Asset Prices'!Y107/'Asset Prices'!Y108-1</f>
        <v>0.12060934155860514</v>
      </c>
      <c r="Z107" s="1">
        <f>'Asset Prices'!Z107/'Asset Prices'!Z108-1</f>
        <v>2.5166702516670192E-2</v>
      </c>
      <c r="AA107" s="1">
        <f>'Asset Prices'!AA107/'Asset Prices'!AA108-1</f>
        <v>-3.0559345156889406E-2</v>
      </c>
      <c r="AB107" s="1">
        <f>'Asset Prices'!AB107/'Asset Prices'!AB108-1</f>
        <v>3.5087719298245723E-2</v>
      </c>
      <c r="AC107" s="1">
        <f>'Asset Prices'!AC107/'Asset Prices'!AC108-1</f>
        <v>4.8540439207284347E-2</v>
      </c>
      <c r="AD107" s="1">
        <f>'Asset Prices'!AD107/'Asset Prices'!AD108-1</f>
        <v>2.5384615384615339E-2</v>
      </c>
      <c r="AE107" s="1">
        <f>'Asset Prices'!AE107/'Asset Prices'!AE108-1</f>
        <v>0.10761589403973515</v>
      </c>
      <c r="AF107" s="1">
        <f>'Asset Prices'!AF107/'Asset Prices'!AF108-1</f>
        <v>5.5947343676539862E-2</v>
      </c>
      <c r="AG107" s="1">
        <f>'Asset Prices'!AG107/'Asset Prices'!AG108-1</f>
        <v>-1.4442985557014509E-2</v>
      </c>
      <c r="AH107" s="1">
        <f>'Asset Prices'!AH107/'Asset Prices'!AH108-1</f>
        <v>4.3503649635036501E-2</v>
      </c>
      <c r="AI107" s="1">
        <f>'Asset Prices'!AI107/'Asset Prices'!AI108-1</f>
        <v>4.4563000156911947E-2</v>
      </c>
      <c r="AJ107" s="1">
        <f>'Asset Prices'!AJ107/'Asset Prices'!AJ108-1</f>
        <v>-2.5043936731107164E-2</v>
      </c>
      <c r="AK107" s="1">
        <f>'Asset Prices'!AK107/'Asset Prices'!AK108-1</f>
        <v>3.2258064516129226E-2</v>
      </c>
      <c r="AL107" s="1">
        <f>'Asset Prices'!AL107/'Asset Prices'!AL108-1</f>
        <v>6.3316582914572761E-2</v>
      </c>
      <c r="AM107" s="1">
        <f>'Asset Prices'!AM107/'Asset Prices'!AM108-1</f>
        <v>2.0452265184842222E-2</v>
      </c>
      <c r="AN107" s="1">
        <f>'Asset Prices'!AN107/'Asset Prices'!AN108-1</f>
        <v>4.3918367346938769E-2</v>
      </c>
      <c r="AO107" s="1">
        <f>'Asset Prices'!AO107/'Asset Prices'!AO108-1</f>
        <v>1.2493401372514423E-2</v>
      </c>
      <c r="AP107" s="1">
        <f>'Asset Prices'!AP107/'Asset Prices'!AP108-1</f>
        <v>6.7246835443037778E-3</v>
      </c>
      <c r="AQ107" s="1">
        <f>'Asset Prices'!AQ107/'Asset Prices'!AQ108-1</f>
        <v>-6.8877551020408156E-2</v>
      </c>
      <c r="AR107" s="1">
        <f>'Asset Prices'!AR107/'Asset Prices'!AR108-1</f>
        <v>0.1003427859146151</v>
      </c>
      <c r="AS107" s="1">
        <f>'Asset Prices'!AS107/'Asset Prices'!AS108-1</f>
        <v>1.394538059267858E-2</v>
      </c>
      <c r="AT107" s="1">
        <f>'Asset Prices'!AT107/'Asset Prices'!AT108-1</f>
        <v>-4.7906602254428221E-2</v>
      </c>
      <c r="AU107" s="1">
        <f>'Asset Prices'!AU107/'Asset Prices'!AU108-1</f>
        <v>-2.4030354131534537E-3</v>
      </c>
      <c r="AV107" s="1">
        <f>'Asset Prices'!AV107/'Asset Prices'!AV108-1</f>
        <v>3.9772149323568318E-2</v>
      </c>
      <c r="AW107" s="1">
        <f>'Asset Prices'!AW107/'Asset Prices'!AW108-1</f>
        <v>4.8149564884766294E-2</v>
      </c>
      <c r="AX107" s="1">
        <f>'Asset Prices'!AX107/'Asset Prices'!AX108-1</f>
        <v>-4.503311258278142E-2</v>
      </c>
      <c r="AY107" s="1">
        <f>'Asset Prices'!AY107/'Asset Prices'!AY108-1</f>
        <v>6.3845292513504903E-2</v>
      </c>
      <c r="AZ107" s="1">
        <f>'Asset Prices'!AZ107/'Asset Prices'!AZ108-1</f>
        <v>2.5200118588793341E-2</v>
      </c>
      <c r="BA107" s="1">
        <f>'Asset Prices'!BA107/'Asset Prices'!BA108-1</f>
        <v>8.2051282051280872E-3</v>
      </c>
      <c r="BB107" s="1">
        <f>'Asset Prices'!BB107/'Asset Prices'!BB108-1</f>
        <v>3.9856331827134772E-2</v>
      </c>
      <c r="BC107" s="1">
        <f>'Asset Prices'!BC107/'Asset Prices'!BC108-1</f>
        <v>-4.2128914478289925E-4</v>
      </c>
      <c r="BD107" s="1">
        <f>'Asset Prices'!BD107/'Asset Prices'!BD108-1</f>
        <v>3.551587301587289E-2</v>
      </c>
    </row>
    <row r="108" spans="3:56" x14ac:dyDescent="0.25">
      <c r="C108" s="38">
        <f>'Asset Prices'!C108</f>
        <v>43615</v>
      </c>
      <c r="D108" s="1">
        <f>'Asset Prices'!D108/'Asset Prices'!D109-1</f>
        <v>7.7394588570367517E-3</v>
      </c>
      <c r="E108" s="1">
        <f>'Asset Prices'!E108/'Asset Prices'!E109-1</f>
        <v>-3.9930686355760248E-3</v>
      </c>
      <c r="F108" s="1">
        <f>'Asset Prices'!F108/'Asset Prices'!F109-1</f>
        <v>-4.0900290416263307E-2</v>
      </c>
      <c r="G108" s="1">
        <f>'Asset Prices'!G108/'Asset Prices'!G109-1</f>
        <v>-2.5621703089675929E-2</v>
      </c>
      <c r="H108" s="1">
        <f>'Asset Prices'!H108/'Asset Prices'!H109-1</f>
        <v>-3.4353018158024273E-3</v>
      </c>
      <c r="I108" s="1">
        <f>'Asset Prices'!I108/'Asset Prices'!I109-1</f>
        <v>1.1831702327638638E-2</v>
      </c>
      <c r="J108" s="1">
        <f>'Asset Prices'!J108/'Asset Prices'!J109-1</f>
        <v>-7.5698541689858123E-3</v>
      </c>
      <c r="K108" s="1">
        <f>'Asset Prices'!K108/'Asset Prices'!K109-1</f>
        <v>4.626875537048214E-4</v>
      </c>
      <c r="L108" s="1">
        <f>'Asset Prices'!L108/'Asset Prices'!L109-1</f>
        <v>-1.022117486726537E-3</v>
      </c>
      <c r="M108" s="1">
        <f>'Asset Prices'!M108/'Asset Prices'!M109-1</f>
        <v>-3.566333808844524E-3</v>
      </c>
      <c r="N108" s="1">
        <f>'Asset Prices'!N108/'Asset Prices'!N109-1</f>
        <v>-2.0893359177187376E-2</v>
      </c>
      <c r="O108" s="1">
        <f>'Asset Prices'!O108/'Asset Prices'!O109-1</f>
        <v>4.5307940408538805E-3</v>
      </c>
      <c r="P108" s="1">
        <f>'Asset Prices'!P108/'Asset Prices'!P109-1</f>
        <v>-9.1751127491392359E-2</v>
      </c>
      <c r="Q108" s="1">
        <f>'Asset Prices'!Q108/'Asset Prices'!Q109-1</f>
        <v>-3.6283904498944364E-2</v>
      </c>
      <c r="R108" s="1">
        <f>'Asset Prices'!R108/'Asset Prices'!R109-1</f>
        <v>-2.9277373498053927E-2</v>
      </c>
      <c r="S108" s="1">
        <f>'Asset Prices'!S108/'Asset Prices'!S109-1</f>
        <v>-1.5480895915678472E-2</v>
      </c>
      <c r="T108" s="1">
        <f>'Asset Prices'!T108/'Asset Prices'!T109-1</f>
        <v>5.9720765071422655E-3</v>
      </c>
      <c r="U108" s="1">
        <f>'Asset Prices'!U108/'Asset Prices'!U109-1</f>
        <v>-2.5100930314200465E-2</v>
      </c>
      <c r="V108" s="1">
        <f>'Asset Prices'!V108/'Asset Prices'!V109-1</f>
        <v>-1.5074393108848838E-2</v>
      </c>
      <c r="W108" s="1">
        <f>'Asset Prices'!W108/'Asset Prices'!W109-1</f>
        <v>-1.2306289881494847E-2</v>
      </c>
      <c r="X108" s="1">
        <f>'Asset Prices'!X108/'Asset Prices'!X109-1</f>
        <v>-3.0808477237048715E-2</v>
      </c>
      <c r="Y108" s="1">
        <f>'Asset Prices'!Y108/'Asset Prices'!Y109-1</f>
        <v>-1.6955445544554526E-2</v>
      </c>
      <c r="Z108" s="1">
        <f>'Asset Prices'!Z108/'Asset Prices'!Z109-1</f>
        <v>-2.1505376344077565E-4</v>
      </c>
      <c r="AA108" s="1">
        <f>'Asset Prices'!AA108/'Asset Prices'!AA109-1</f>
        <v>4.6600877192983781E-3</v>
      </c>
      <c r="AB108" s="1">
        <f>'Asset Prices'!AB108/'Asset Prices'!AB109-1</f>
        <v>3.2948929159802187E-2</v>
      </c>
      <c r="AC108" s="1">
        <f>'Asset Prices'!AC108/'Asset Prices'!AC109-1</f>
        <v>-6.7167653122297555E-3</v>
      </c>
      <c r="AD108" s="1">
        <f>'Asset Prices'!AD108/'Asset Prices'!AD109-1</f>
        <v>-4.6746104491292351E-2</v>
      </c>
      <c r="AE108" s="1">
        <f>'Asset Prices'!AE108/'Asset Prices'!AE109-1</f>
        <v>-5.6102516018127879E-2</v>
      </c>
      <c r="AF108" s="1">
        <f>'Asset Prices'!AF108/'Asset Prices'!AF109-1</f>
        <v>-1.6188714153561601E-2</v>
      </c>
      <c r="AG108" s="1">
        <f>'Asset Prices'!AG108/'Asset Prices'!AG109-1</f>
        <v>-5.9236947791163619E-3</v>
      </c>
      <c r="AH108" s="1">
        <f>'Asset Prices'!AH108/'Asset Prices'!AH109-1</f>
        <v>-6.8280739934711621E-2</v>
      </c>
      <c r="AI108" s="1">
        <f>'Asset Prices'!AI108/'Asset Prices'!AI109-1</f>
        <v>8.0670673837393014E-3</v>
      </c>
      <c r="AJ108" s="1">
        <f>'Asset Prices'!AJ108/'Asset Prices'!AJ109-1</f>
        <v>-3.6409822184589324E-2</v>
      </c>
      <c r="AK108" s="1">
        <f>'Asset Prices'!AK108/'Asset Prices'!AK109-1</f>
        <v>-1.2514220705346912E-2</v>
      </c>
      <c r="AL108" s="1">
        <f>'Asset Prices'!AL108/'Asset Prices'!AL109-1</f>
        <v>-3.2414910858995172E-2</v>
      </c>
      <c r="AM108" s="1">
        <f>'Asset Prices'!AM108/'Asset Prices'!AM109-1</f>
        <v>-2.1300702469975064E-2</v>
      </c>
      <c r="AN108" s="1">
        <f>'Asset Prices'!AN108/'Asset Prices'!AN109-1</f>
        <v>-4.0650406504064707E-3</v>
      </c>
      <c r="AO108" s="1">
        <f>'Asset Prices'!AO108/'Asset Prices'!AO109-1</f>
        <v>-3.4652624426702916E-2</v>
      </c>
      <c r="AP108" s="1">
        <f>'Asset Prices'!AP108/'Asset Prices'!AP109-1</f>
        <v>-3.0674846625766805E-2</v>
      </c>
      <c r="AQ108" s="1">
        <f>'Asset Prices'!AQ108/'Asset Prices'!AQ109-1</f>
        <v>-8.646003262642743E-2</v>
      </c>
      <c r="AR108" s="1">
        <f>'Asset Prices'!AR108/'Asset Prices'!AR109-1</f>
        <v>1.4222503160556288E-2</v>
      </c>
      <c r="AS108" s="1">
        <f>'Asset Prices'!AS108/'Asset Prices'!AS109-1</f>
        <v>-0.10224308815858119</v>
      </c>
      <c r="AT108" s="1">
        <f>'Asset Prices'!AT108/'Asset Prices'!AT109-1</f>
        <v>-2.1424745581147819E-3</v>
      </c>
      <c r="AU108" s="1">
        <f>'Asset Prices'!AU108/'Asset Prices'!AU109-1</f>
        <v>1.3675213675213627E-2</v>
      </c>
      <c r="AV108" s="1">
        <f>'Asset Prices'!AV108/'Asset Prices'!AV109-1</f>
        <v>8.7215267802176477E-3</v>
      </c>
      <c r="AW108" s="1">
        <f>'Asset Prices'!AW108/'Asset Prices'!AW109-1</f>
        <v>1.1462010930018751E-2</v>
      </c>
      <c r="AX108" s="1">
        <f>'Asset Prices'!AX108/'Asset Prices'!AX109-1</f>
        <v>5.7422969187675088E-2</v>
      </c>
      <c r="AY108" s="1">
        <f>'Asset Prices'!AY108/'Asset Prices'!AY109-1</f>
        <v>-1.8394648829431426E-2</v>
      </c>
      <c r="AZ108" s="1">
        <f>'Asset Prices'!AZ108/'Asset Prices'!AZ109-1</f>
        <v>3.2129742962056396E-2</v>
      </c>
      <c r="BA108" s="1">
        <f>'Asset Prices'!BA108/'Asset Prices'!BA109-1</f>
        <v>6.9665386725178413E-2</v>
      </c>
      <c r="BB108" s="1">
        <f>'Asset Prices'!BB108/'Asset Prices'!BB109-1</f>
        <v>-2.8149983110010157E-2</v>
      </c>
      <c r="BC108" s="1">
        <f>'Asset Prices'!BC108/'Asset Prices'!BC109-1</f>
        <v>-2.0320930558476169E-3</v>
      </c>
      <c r="BD108" s="1">
        <f>'Asset Prices'!BD108/'Asset Prices'!BD109-1</f>
        <v>5.8876359644746135E-3</v>
      </c>
    </row>
    <row r="109" spans="3:56" x14ac:dyDescent="0.25">
      <c r="C109" s="38">
        <f>'Asset Prices'!C109</f>
        <v>43608</v>
      </c>
      <c r="D109" s="1">
        <f>'Asset Prices'!D109/'Asset Prices'!D110-1</f>
        <v>-2.0379693091526763E-2</v>
      </c>
      <c r="E109" s="1">
        <f>'Asset Prices'!E109/'Asset Prices'!E110-1</f>
        <v>-2.0442804428044359E-2</v>
      </c>
      <c r="F109" s="1">
        <f>'Asset Prices'!F109/'Asset Prices'!F110-1</f>
        <v>-1.9458946369245389E-2</v>
      </c>
      <c r="G109" s="1">
        <f>'Asset Prices'!G109/'Asset Prices'!G110-1</f>
        <v>-2.8550512445095211E-2</v>
      </c>
      <c r="H109" s="1">
        <f>'Asset Prices'!H109/'Asset Prices'!H110-1</f>
        <v>-3.4357475712818886E-2</v>
      </c>
      <c r="I109" s="1">
        <f>'Asset Prices'!I109/'Asset Prices'!I110-1</f>
        <v>-3.2729022942403319E-2</v>
      </c>
      <c r="J109" s="1">
        <f>'Asset Prices'!J109/'Asset Prices'!J110-1</f>
        <v>-5.4819023569023684E-2</v>
      </c>
      <c r="K109" s="1">
        <f>'Asset Prices'!K109/'Asset Prices'!K110-1</f>
        <v>-4.8276078990548088E-2</v>
      </c>
      <c r="L109" s="1">
        <f>'Asset Prices'!L109/'Asset Prices'!L110-1</f>
        <v>-1.9760095739055461E-2</v>
      </c>
      <c r="M109" s="1">
        <f>'Asset Prices'!M109/'Asset Prices'!M110-1</f>
        <v>-2.1329403552315163E-2</v>
      </c>
      <c r="N109" s="1">
        <f>'Asset Prices'!N109/'Asset Prices'!N110-1</f>
        <v>-3.3060363022372363E-2</v>
      </c>
      <c r="O109" s="1">
        <f>'Asset Prices'!O109/'Asset Prices'!O110-1</f>
        <v>1.3464082808000599E-2</v>
      </c>
      <c r="P109" s="1">
        <f>'Asset Prices'!P109/'Asset Prices'!P110-1</f>
        <v>-2.8529980657640008E-3</v>
      </c>
      <c r="Q109" s="1">
        <f>'Asset Prices'!Q109/'Asset Prices'!Q110-1</f>
        <v>-6.9574152990600435E-2</v>
      </c>
      <c r="R109" s="1">
        <f>'Asset Prices'!R109/'Asset Prices'!R110-1</f>
        <v>2.3557942144465827E-2</v>
      </c>
      <c r="S109" s="1">
        <f>'Asset Prices'!S109/'Asset Prices'!S110-1</f>
        <v>1.4366855997327121E-2</v>
      </c>
      <c r="T109" s="1">
        <f>'Asset Prices'!T109/'Asset Prices'!T110-1</f>
        <v>-6.4900762206625884E-2</v>
      </c>
      <c r="U109" s="1">
        <f>'Asset Prices'!U109/'Asset Prices'!U110-1</f>
        <v>-0.10141955835962146</v>
      </c>
      <c r="V109" s="1">
        <f>'Asset Prices'!V109/'Asset Prices'!V110-1</f>
        <v>-4.8080506895266439E-2</v>
      </c>
      <c r="W109" s="1">
        <f>'Asset Prices'!W109/'Asset Prices'!W110-1</f>
        <v>-4.2478906022694218E-2</v>
      </c>
      <c r="X109" s="1">
        <f>'Asset Prices'!X109/'Asset Prices'!X110-1</f>
        <v>-3.0994485643658587E-2</v>
      </c>
      <c r="Y109" s="1">
        <f>'Asset Prices'!Y109/'Asset Prices'!Y110-1</f>
        <v>1.9429724955841499E-2</v>
      </c>
      <c r="Z109" s="1">
        <f>'Asset Prices'!Z109/'Asset Prices'!Z110-1</f>
        <v>-2.1052631578947323E-2</v>
      </c>
      <c r="AA109" s="1">
        <f>'Asset Prices'!AA109/'Asset Prices'!AA110-1</f>
        <v>1.2489592006660999E-2</v>
      </c>
      <c r="AB109" s="1">
        <f>'Asset Prices'!AB109/'Asset Prices'!AB110-1</f>
        <v>-2.5682182985553803E-2</v>
      </c>
      <c r="AC109" s="1">
        <f>'Asset Prices'!AC109/'Asset Prices'!AC110-1</f>
        <v>-7.8445792731506869E-2</v>
      </c>
      <c r="AD109" s="1">
        <f>'Asset Prices'!AD109/'Asset Prices'!AD110-1</f>
        <v>-9.2648037258815763E-2</v>
      </c>
      <c r="AE109" s="1">
        <f>'Asset Prices'!AE109/'Asset Prices'!AE110-1</f>
        <v>4.8672566371681381E-2</v>
      </c>
      <c r="AF109" s="1">
        <f>'Asset Prices'!AF109/'Asset Prices'!AF110-1</f>
        <v>-6.6493955094991342E-2</v>
      </c>
      <c r="AG109" s="1">
        <f>'Asset Prices'!AG109/'Asset Prices'!AG110-1</f>
        <v>1.1475576317660163E-2</v>
      </c>
      <c r="AH109" s="1">
        <f>'Asset Prices'!AH109/'Asset Prices'!AH110-1</f>
        <v>1.9694868238557595E-2</v>
      </c>
      <c r="AI109" s="1">
        <f>'Asset Prices'!AI109/'Asset Prices'!AI110-1</f>
        <v>1.2167787383925655E-2</v>
      </c>
      <c r="AJ109" s="1">
        <f>'Asset Prices'!AJ109/'Asset Prices'!AJ110-1</f>
        <v>-7.5630252100840067E-3</v>
      </c>
      <c r="AK109" s="1">
        <f>'Asset Prices'!AK109/'Asset Prices'!AK110-1</f>
        <v>-1.4573991031390232E-2</v>
      </c>
      <c r="AL109" s="1">
        <f>'Asset Prices'!AL109/'Asset Prices'!AL110-1</f>
        <v>2.9190992493744794E-2</v>
      </c>
      <c r="AM109" s="1">
        <f>'Asset Prices'!AM109/'Asset Prices'!AM110-1</f>
        <v>-2.568442743597299E-2</v>
      </c>
      <c r="AN109" s="1">
        <f>'Asset Prices'!AN109/'Asset Prices'!AN110-1</f>
        <v>-6.0873781177611663E-3</v>
      </c>
      <c r="AO109" s="1">
        <f>'Asset Prices'!AO109/'Asset Prices'!AO110-1</f>
        <v>2.5967235970721481E-2</v>
      </c>
      <c r="AP109" s="1">
        <f>'Asset Prices'!AP109/'Asset Prices'!AP110-1</f>
        <v>-1.0058834693490226E-2</v>
      </c>
      <c r="AQ109" s="1">
        <f>'Asset Prices'!AQ109/'Asset Prices'!AQ110-1</f>
        <v>-7.3951514279548269E-2</v>
      </c>
      <c r="AR109" s="1">
        <f>'Asset Prices'!AR109/'Asset Prices'!AR110-1</f>
        <v>3.5679214402618564E-2</v>
      </c>
      <c r="AS109" s="1">
        <f>'Asset Prices'!AS109/'Asset Prices'!AS110-1</f>
        <v>-5.1459673428995489E-2</v>
      </c>
      <c r="AT109" s="1">
        <f>'Asset Prices'!AT109/'Asset Prices'!AT110-1</f>
        <v>5.3590568060024601E-4</v>
      </c>
      <c r="AU109" s="1">
        <f>'Asset Prices'!AU109/'Asset Prices'!AU110-1</f>
        <v>3.5719028017527465E-2</v>
      </c>
      <c r="AV109" s="1">
        <f>'Asset Prices'!AV109/'Asset Prices'!AV110-1</f>
        <v>-3.3997422935870825E-2</v>
      </c>
      <c r="AW109" s="1">
        <f>'Asset Prices'!AW109/'Asset Prices'!AW110-1</f>
        <v>-2.4899787785899519E-2</v>
      </c>
      <c r="AX109" s="1">
        <f>'Asset Prices'!AX109/'Asset Prices'!AX110-1</f>
        <v>-7.5728155339805814E-2</v>
      </c>
      <c r="AY109" s="1">
        <f>'Asset Prices'!AY109/'Asset Prices'!AY110-1</f>
        <v>7.2068841878809575E-2</v>
      </c>
      <c r="AZ109" s="1">
        <f>'Asset Prices'!AZ109/'Asset Prices'!AZ110-1</f>
        <v>-7.1722766652464243E-2</v>
      </c>
      <c r="BA109" s="1">
        <f>'Asset Prices'!BA109/'Asset Prices'!BA110-1</f>
        <v>-4.7046523784631589E-2</v>
      </c>
      <c r="BB109" s="1">
        <f>'Asset Prices'!BB109/'Asset Prices'!BB110-1</f>
        <v>2.2525059128275515E-4</v>
      </c>
      <c r="BC109" s="1">
        <f>'Asset Prices'!BC109/'Asset Prices'!BC110-1</f>
        <v>-1.0744489116872202E-2</v>
      </c>
      <c r="BD109" s="1">
        <f>'Asset Prices'!BD109/'Asset Prices'!BD110-1</f>
        <v>4.157571977964869E-2</v>
      </c>
    </row>
    <row r="110" spans="3:56" x14ac:dyDescent="0.25">
      <c r="C110" s="38">
        <f>'Asset Prices'!C110</f>
        <v>43601</v>
      </c>
      <c r="D110" s="1">
        <f>'Asset Prices'!D110/'Asset Prices'!D111-1</f>
        <v>3.1662599336712338E-2</v>
      </c>
      <c r="E110" s="1">
        <f>'Asset Prices'!E110/'Asset Prices'!E111-1</f>
        <v>1.429747735608955E-2</v>
      </c>
      <c r="F110" s="1">
        <f>'Asset Prices'!F110/'Asset Prices'!F111-1</f>
        <v>1.5666425644733639E-2</v>
      </c>
      <c r="G110" s="1">
        <f>'Asset Prices'!G110/'Asset Prices'!G111-1</f>
        <v>7.188940092165863E-3</v>
      </c>
      <c r="H110" s="1">
        <f>'Asset Prices'!H110/'Asset Prices'!H111-1</f>
        <v>-3.498475609756091E-2</v>
      </c>
      <c r="I110" s="1">
        <f>'Asset Prices'!I110/'Asset Prices'!I111-1</f>
        <v>-8.7993639014046776E-3</v>
      </c>
      <c r="J110" s="1">
        <f>'Asset Prices'!J110/'Asset Prices'!J111-1</f>
        <v>-5.3009166998804202E-2</v>
      </c>
      <c r="K110" s="1">
        <f>'Asset Prices'!K110/'Asset Prices'!K111-1</f>
        <v>4.0529088832395033E-3</v>
      </c>
      <c r="L110" s="1">
        <f>'Asset Prices'!L110/'Asset Prices'!L111-1</f>
        <v>-9.4831150930392294E-3</v>
      </c>
      <c r="M110" s="1">
        <f>'Asset Prices'!M110/'Asset Prices'!M111-1</f>
        <v>2.7330677290836602E-2</v>
      </c>
      <c r="N110" s="1">
        <f>'Asset Prices'!N110/'Asset Prices'!N111-1</f>
        <v>1.4152760772965012E-2</v>
      </c>
      <c r="O110" s="1">
        <f>'Asset Prices'!O110/'Asset Prices'!O111-1</f>
        <v>2.3824701195219289E-2</v>
      </c>
      <c r="P110" s="1">
        <f>'Asset Prices'!P110/'Asset Prices'!P111-1</f>
        <v>2.4320174352370216E-2</v>
      </c>
      <c r="Q110" s="1">
        <f>'Asset Prices'!Q110/'Asset Prices'!Q111-1</f>
        <v>2.3573085846867681E-2</v>
      </c>
      <c r="R110" s="1">
        <f>'Asset Prices'!R110/'Asset Prices'!R111-1</f>
        <v>2.9789511237959143E-2</v>
      </c>
      <c r="S110" s="1">
        <f>'Asset Prices'!S110/'Asset Prices'!S111-1</f>
        <v>-1.0905485789821645E-2</v>
      </c>
      <c r="T110" s="1">
        <f>'Asset Prices'!T110/'Asset Prices'!T111-1</f>
        <v>-2.1849856056691541E-2</v>
      </c>
      <c r="U110" s="1">
        <f>'Asset Prices'!U110/'Asset Prices'!U111-1</f>
        <v>-2.281134401972873E-2</v>
      </c>
      <c r="V110" s="1">
        <f>'Asset Prices'!V110/'Asset Prices'!V111-1</f>
        <v>3.6307454615681634E-2</v>
      </c>
      <c r="W110" s="1">
        <f>'Asset Prices'!W110/'Asset Prices'!W111-1</f>
        <v>-4.9107760409462076E-2</v>
      </c>
      <c r="X110" s="1">
        <f>'Asset Prices'!X110/'Asset Prices'!X111-1</f>
        <v>2.4780785360274393E-3</v>
      </c>
      <c r="Y110" s="1">
        <f>'Asset Prices'!Y110/'Asset Prices'!Y111-1</f>
        <v>-3.7707390648565875E-3</v>
      </c>
      <c r="Z110" s="1">
        <f>'Asset Prices'!Z110/'Asset Prices'!Z111-1</f>
        <v>5.2981600532032713E-2</v>
      </c>
      <c r="AA110" s="1">
        <f>'Asset Prices'!AA110/'Asset Prices'!AA111-1</f>
        <v>4.4650623369092424E-2</v>
      </c>
      <c r="AB110" s="1">
        <f>'Asset Prices'!AB110/'Asset Prices'!AB111-1</f>
        <v>4.8821548821548877E-2</v>
      </c>
      <c r="AC110" s="1">
        <f>'Asset Prices'!AC110/'Asset Prices'!AC111-1</f>
        <v>-2.8113645839537793E-2</v>
      </c>
      <c r="AD110" s="1">
        <f>'Asset Prices'!AD110/'Asset Prices'!AD111-1</f>
        <v>-2.1484375E-2</v>
      </c>
      <c r="AE110" s="1">
        <f>'Asset Prices'!AE110/'Asset Prices'!AE111-1</f>
        <v>-2.3211141347846853E-2</v>
      </c>
      <c r="AF110" s="1">
        <f>'Asset Prices'!AF110/'Asset Prices'!AF111-1</f>
        <v>-2.0718816067653245E-2</v>
      </c>
      <c r="AG110" s="1">
        <f>'Asset Prices'!AG110/'Asset Prices'!AG111-1</f>
        <v>-2.835443037974672E-3</v>
      </c>
      <c r="AH110" s="1">
        <f>'Asset Prices'!AH110/'Asset Prices'!AH111-1</f>
        <v>-3.042035398230114E-3</v>
      </c>
      <c r="AI110" s="1">
        <f>'Asset Prices'!AI110/'Asset Prices'!AI111-1</f>
        <v>7.0944856497903164E-3</v>
      </c>
      <c r="AJ110" s="1">
        <f>'Asset Prices'!AJ110/'Asset Prices'!AJ111-1</f>
        <v>-3.8772213247172838E-2</v>
      </c>
      <c r="AK110" s="1">
        <f>'Asset Prices'!AK110/'Asset Prices'!AK111-1</f>
        <v>-2.7262813522355489E-2</v>
      </c>
      <c r="AL110" s="1">
        <f>'Asset Prices'!AL110/'Asset Prices'!AL111-1</f>
        <v>1.8382352941175295E-3</v>
      </c>
      <c r="AM110" s="1">
        <f>'Asset Prices'!AM110/'Asset Prices'!AM111-1</f>
        <v>3.9899512339292009E-3</v>
      </c>
      <c r="AN110" s="1">
        <f>'Asset Prices'!AN110/'Asset Prices'!AN111-1</f>
        <v>-1.2658901122280741E-2</v>
      </c>
      <c r="AO110" s="1">
        <f>'Asset Prices'!AO110/'Asset Prices'!AO111-1</f>
        <v>1.5934844192634579E-2</v>
      </c>
      <c r="AP110" s="1">
        <f>'Asset Prices'!AP110/'Asset Prices'!AP111-1</f>
        <v>-2.1359583952451855E-2</v>
      </c>
      <c r="AQ110" s="1">
        <f>'Asset Prices'!AQ110/'Asset Prices'!AQ111-1</f>
        <v>4.9686626897228692E-2</v>
      </c>
      <c r="AR110" s="1">
        <f>'Asset Prices'!AR110/'Asset Prices'!AR111-1</f>
        <v>2.0715001670564614E-2</v>
      </c>
      <c r="AS110" s="1">
        <f>'Asset Prices'!AS110/'Asset Prices'!AS111-1</f>
        <v>-0.11203866432337439</v>
      </c>
      <c r="AT110" s="1">
        <f>'Asset Prices'!AT110/'Asset Prices'!AT111-1</f>
        <v>1.4819850441876392E-2</v>
      </c>
      <c r="AU110" s="1">
        <f>'Asset Prices'!AU110/'Asset Prices'!AU111-1</f>
        <v>-1.6840731070496107E-2</v>
      </c>
      <c r="AV110" s="1">
        <f>'Asset Prices'!AV110/'Asset Prices'!AV111-1</f>
        <v>-4.4964028776978471E-2</v>
      </c>
      <c r="AW110" s="1">
        <f>'Asset Prices'!AW110/'Asset Prices'!AW111-1</f>
        <v>2.0010582519601749E-2</v>
      </c>
      <c r="AX110" s="1">
        <f>'Asset Prices'!AX110/'Asset Prices'!AX111-1</f>
        <v>-1.2779552715655007E-2</v>
      </c>
      <c r="AY110" s="1">
        <f>'Asset Prices'!AY110/'Asset Prices'!AY111-1</f>
        <v>7.2228241242324742E-3</v>
      </c>
      <c r="AZ110" s="1">
        <f>'Asset Prices'!AZ110/'Asset Prices'!AZ111-1</f>
        <v>-3.3891328210757354E-2</v>
      </c>
      <c r="BA110" s="1">
        <f>'Asset Prices'!BA110/'Asset Prices'!BA111-1</f>
        <v>3.9359748097613778E-3</v>
      </c>
      <c r="BB110" s="1">
        <f>'Asset Prices'!BB110/'Asset Prices'!BB111-1</f>
        <v>3.280214028149353E-2</v>
      </c>
      <c r="BC110" s="1">
        <f>'Asset Prices'!BC110/'Asset Prices'!BC111-1</f>
        <v>1.3346445630795012E-2</v>
      </c>
      <c r="BD110" s="1">
        <f>'Asset Prices'!BD110/'Asset Prices'!BD111-1</f>
        <v>6.1702572683537404E-3</v>
      </c>
    </row>
    <row r="111" spans="3:56" x14ac:dyDescent="0.25">
      <c r="C111" s="38">
        <f>'Asset Prices'!C111</f>
        <v>43594</v>
      </c>
      <c r="D111" s="1">
        <f>'Asset Prices'!D111/'Asset Prices'!D112-1</f>
        <v>-8.1305858987090751E-3</v>
      </c>
      <c r="E111" s="1">
        <f>'Asset Prices'!E111/'Asset Prices'!E112-1</f>
        <v>-4.1001938273443894E-3</v>
      </c>
      <c r="F111" s="1">
        <f>'Asset Prices'!F111/'Asset Prices'!F112-1</f>
        <v>-2.6855869590711734E-2</v>
      </c>
      <c r="G111" s="1">
        <f>'Asset Prices'!G111/'Asset Prices'!G112-1</f>
        <v>-6.4102564102563875E-3</v>
      </c>
      <c r="H111" s="1">
        <f>'Asset Prices'!H111/'Asset Prices'!H112-1</f>
        <v>-2.9370422431012844E-2</v>
      </c>
      <c r="I111" s="1">
        <f>'Asset Prices'!I111/'Asset Prices'!I112-1</f>
        <v>-2.0152703474783151E-2</v>
      </c>
      <c r="J111" s="1">
        <f>'Asset Prices'!J111/'Asset Prices'!J112-1</f>
        <v>-4.0306000478125825E-2</v>
      </c>
      <c r="K111" s="1">
        <f>'Asset Prices'!K111/'Asset Prices'!K112-1</f>
        <v>-4.9978430361641291E-4</v>
      </c>
      <c r="L111" s="1">
        <f>'Asset Prices'!L111/'Asset Prices'!L112-1</f>
        <v>-4.3027489051865153E-2</v>
      </c>
      <c r="M111" s="1">
        <f>'Asset Prices'!M111/'Asset Prices'!M112-1</f>
        <v>-5.625544727042131E-3</v>
      </c>
      <c r="N111" s="1">
        <f>'Asset Prices'!N111/'Asset Prices'!N112-1</f>
        <v>1.2515966429778036E-3</v>
      </c>
      <c r="O111" s="1">
        <f>'Asset Prices'!O111/'Asset Prices'!O112-1</f>
        <v>2.4155377835808567E-2</v>
      </c>
      <c r="P111" s="1">
        <f>'Asset Prices'!P111/'Asset Prices'!P112-1</f>
        <v>-3.457345065034434E-2</v>
      </c>
      <c r="Q111" s="1">
        <f>'Asset Prices'!Q111/'Asset Prices'!Q112-1</f>
        <v>-8.0704553823492953E-3</v>
      </c>
      <c r="R111" s="1">
        <f>'Asset Prices'!R111/'Asset Prices'!R112-1</f>
        <v>2.5035765379113339E-3</v>
      </c>
      <c r="S111" s="1">
        <f>'Asset Prices'!S111/'Asset Prices'!S112-1</f>
        <v>-1.5614834092387619E-2</v>
      </c>
      <c r="T111" s="1">
        <f>'Asset Prices'!T111/'Asset Prices'!T112-1</f>
        <v>-1.037329242457441E-2</v>
      </c>
      <c r="U111" s="1">
        <f>'Asset Prices'!U111/'Asset Prices'!U112-1</f>
        <v>-3.7816995402639941E-2</v>
      </c>
      <c r="V111" s="1">
        <f>'Asset Prices'!V111/'Asset Prices'!V112-1</f>
        <v>-1.1077158135981646E-2</v>
      </c>
      <c r="W111" s="1">
        <f>'Asset Prices'!W111/'Asset Prices'!W112-1</f>
        <v>-3.8441074753923887E-2</v>
      </c>
      <c r="X111" s="1">
        <f>'Asset Prices'!X111/'Asset Prices'!X112-1</f>
        <v>-1.7050777590406518E-2</v>
      </c>
      <c r="Y111" s="1">
        <f>'Asset Prices'!Y111/'Asset Prices'!Y112-1</f>
        <v>6.5060240963855209E-2</v>
      </c>
      <c r="Z111" s="1">
        <f>'Asset Prices'!Z111/'Asset Prices'!Z112-1</f>
        <v>1.7365809652683639E-2</v>
      </c>
      <c r="AA111" s="1">
        <f>'Asset Prices'!AA111/'Asset Prices'!AA112-1</f>
        <v>-6.6576454668470952E-2</v>
      </c>
      <c r="AB111" s="1">
        <f>'Asset Prices'!AB111/'Asset Prices'!AB112-1</f>
        <v>2.0618556701030855E-2</v>
      </c>
      <c r="AC111" s="1">
        <f>'Asset Prices'!AC111/'Asset Prices'!AC112-1</f>
        <v>7.2094508301404847E-2</v>
      </c>
      <c r="AD111" s="1">
        <f>'Asset Prices'!AD111/'Asset Prices'!AD112-1</f>
        <v>-4.14976599063962E-2</v>
      </c>
      <c r="AE111" s="1">
        <f>'Asset Prices'!AE111/'Asset Prices'!AE112-1</f>
        <v>-3.7442218798151128E-2</v>
      </c>
      <c r="AF111" s="1">
        <f>'Asset Prices'!AF111/'Asset Prices'!AF112-1</f>
        <v>-6.3366336633663423E-2</v>
      </c>
      <c r="AG111" s="1">
        <f>'Asset Prices'!AG111/'Asset Prices'!AG112-1</f>
        <v>3.4789898354814941E-2</v>
      </c>
      <c r="AH111" s="1">
        <f>'Asset Prices'!AH111/'Asset Prices'!AH112-1</f>
        <v>3.8867295946694025E-3</v>
      </c>
      <c r="AI111" s="1">
        <f>'Asset Prices'!AI111/'Asset Prices'!AI112-1</f>
        <v>-6.3566359655745086E-2</v>
      </c>
      <c r="AJ111" s="1">
        <f>'Asset Prices'!AJ111/'Asset Prices'!AJ112-1</f>
        <v>3.1666666666666732E-2</v>
      </c>
      <c r="AK111" s="1">
        <f>'Asset Prices'!AK111/'Asset Prices'!AK112-1</f>
        <v>-1.5566290928609727E-2</v>
      </c>
      <c r="AL111" s="1">
        <f>'Asset Prices'!AL111/'Asset Prices'!AL112-1</f>
        <v>2.3450586264657236E-3</v>
      </c>
      <c r="AM111" s="1">
        <f>'Asset Prices'!AM111/'Asset Prices'!AM112-1</f>
        <v>-3.0446307042051757E-2</v>
      </c>
      <c r="AN111" s="1">
        <f>'Asset Prices'!AN111/'Asset Prices'!AN112-1</f>
        <v>-4.4479745830023898E-3</v>
      </c>
      <c r="AO111" s="1">
        <f>'Asset Prices'!AO111/'Asset Prices'!AO112-1</f>
        <v>-8.9489384102474645E-3</v>
      </c>
      <c r="AP111" s="1">
        <f>'Asset Prices'!AP111/'Asset Prices'!AP112-1</f>
        <v>-1.120293847566578E-2</v>
      </c>
      <c r="AQ111" s="1">
        <f>'Asset Prices'!AQ111/'Asset Prices'!AQ112-1</f>
        <v>-1.5170670037926604E-2</v>
      </c>
      <c r="AR111" s="1">
        <f>'Asset Prices'!AR111/'Asset Prices'!AR112-1</f>
        <v>-5.6478405315615321E-3</v>
      </c>
      <c r="AS111" s="1">
        <f>'Asset Prices'!AS111/'Asset Prices'!AS112-1</f>
        <v>-0.17774566473988429</v>
      </c>
      <c r="AT111" s="1">
        <f>'Asset Prices'!AT111/'Asset Prices'!AT112-1</f>
        <v>3.8401807143865652E-2</v>
      </c>
      <c r="AU111" s="1">
        <f>'Asset Prices'!AU111/'Asset Prices'!AU112-1</f>
        <v>-2.9027760172391837E-2</v>
      </c>
      <c r="AV111" s="1">
        <f>'Asset Prices'!AV111/'Asset Prices'!AV112-1</f>
        <v>-3.481041571493837E-2</v>
      </c>
      <c r="AW111" s="1">
        <f>'Asset Prices'!AW111/'Asset Prices'!AW112-1</f>
        <v>3.1865786469449375E-2</v>
      </c>
      <c r="AX111" s="1">
        <f>'Asset Prices'!AX111/'Asset Prices'!AX112-1</f>
        <v>-2.7346177750155354E-2</v>
      </c>
      <c r="AY111" s="1">
        <f>'Asset Prices'!AY111/'Asset Prices'!AY112-1</f>
        <v>-9.65665236051505E-3</v>
      </c>
      <c r="AZ111" s="1">
        <f>'Asset Prices'!AZ111/'Asset Prices'!AZ112-1</f>
        <v>-2.7358868277058579E-2</v>
      </c>
      <c r="BA111" s="1">
        <f>'Asset Prices'!BA111/'Asset Prices'!BA112-1</f>
        <v>5.3053329649074277E-2</v>
      </c>
      <c r="BB111" s="1">
        <f>'Asset Prices'!BB111/'Asset Prices'!BB112-1</f>
        <v>-1.5911172161172216E-2</v>
      </c>
      <c r="BC111" s="1">
        <f>'Asset Prices'!BC111/'Asset Prices'!BC112-1</f>
        <v>-2.8458336176891974E-2</v>
      </c>
      <c r="BD111" s="1">
        <f>'Asset Prices'!BD111/'Asset Prices'!BD112-1</f>
        <v>1.2709171785638684E-2</v>
      </c>
    </row>
    <row r="112" spans="3:56" x14ac:dyDescent="0.25">
      <c r="C112" s="38">
        <f>'Asset Prices'!C112</f>
        <v>43587</v>
      </c>
      <c r="D112" s="1">
        <f>'Asset Prices'!D112/'Asset Prices'!D113-1</f>
        <v>6.2104086448888651E-4</v>
      </c>
      <c r="E112" s="1">
        <f>'Asset Prices'!E112/'Asset Prices'!E113-1</f>
        <v>-2.2588166715243552E-2</v>
      </c>
      <c r="F112" s="1">
        <f>'Asset Prices'!F112/'Asset Prices'!F113-1</f>
        <v>-2.6153494746459671E-2</v>
      </c>
      <c r="G112" s="1">
        <f>'Asset Prices'!G112/'Asset Prices'!G113-1</f>
        <v>-7.4531903290310231E-3</v>
      </c>
      <c r="H112" s="1">
        <f>'Asset Prices'!H112/'Asset Prices'!H113-1</f>
        <v>-7.0520825681334998E-3</v>
      </c>
      <c r="I112" s="1">
        <f>'Asset Prices'!I112/'Asset Prices'!I113-1</f>
        <v>-3.7772948359722225E-3</v>
      </c>
      <c r="J112" s="1">
        <f>'Asset Prices'!J112/'Asset Prices'!J113-1</f>
        <v>1.8852299298519171E-2</v>
      </c>
      <c r="K112" s="1">
        <f>'Asset Prices'!K112/'Asset Prices'!K113-1</f>
        <v>-7.5174135891709071E-4</v>
      </c>
      <c r="L112" s="1">
        <f>'Asset Prices'!L112/'Asset Prices'!L113-1</f>
        <v>2.9131485352808628E-2</v>
      </c>
      <c r="M112" s="1">
        <f>'Asset Prices'!M112/'Asset Prices'!M113-1</f>
        <v>-2.276422764227648E-2</v>
      </c>
      <c r="N112" s="1">
        <f>'Asset Prices'!N112/'Asset Prices'!N113-1</f>
        <v>-7.9560338977701317E-2</v>
      </c>
      <c r="O112" s="1">
        <f>'Asset Prices'!O112/'Asset Prices'!O113-1</f>
        <v>8.1672655994768917E-4</v>
      </c>
      <c r="P112" s="1">
        <f>'Asset Prices'!P112/'Asset Prices'!P113-1</f>
        <v>-1.4328808446455454E-2</v>
      </c>
      <c r="Q112" s="1">
        <f>'Asset Prices'!Q112/'Asset Prices'!Q113-1</f>
        <v>9.8200444833861145E-2</v>
      </c>
      <c r="R112" s="1">
        <f>'Asset Prices'!R112/'Asset Prices'!R113-1</f>
        <v>-1.2502232541525826E-3</v>
      </c>
      <c r="S112" s="1">
        <f>'Asset Prices'!S112/'Asset Prices'!S113-1</f>
        <v>-1.948051948052032E-3</v>
      </c>
      <c r="T112" s="1">
        <f>'Asset Prices'!T112/'Asset Prices'!T113-1</f>
        <v>8.9180424528301216E-3</v>
      </c>
      <c r="U112" s="1">
        <f>'Asset Prices'!U112/'Asset Prices'!U113-1</f>
        <v>4.3193327375634638E-3</v>
      </c>
      <c r="V112" s="1">
        <f>'Asset Prices'!V112/'Asset Prices'!V113-1</f>
        <v>1.5515903801396336E-2</v>
      </c>
      <c r="W112" s="1">
        <f>'Asset Prices'!W112/'Asset Prices'!W113-1</f>
        <v>1.8837240818539103E-2</v>
      </c>
      <c r="X112" s="1">
        <f>'Asset Prices'!X112/'Asset Prices'!X113-1</f>
        <v>3.7488284910947023E-4</v>
      </c>
      <c r="Y112" s="1">
        <f>'Asset Prices'!Y112/'Asset Prices'!Y113-1</f>
        <v>-3.9228295819935588E-2</v>
      </c>
      <c r="Z112" s="1">
        <f>'Asset Prices'!Z112/'Asset Prices'!Z113-1</f>
        <v>5.2142371344368055E-3</v>
      </c>
      <c r="AA112" s="1">
        <f>'Asset Prices'!AA112/'Asset Prices'!AA113-1</f>
        <v>-1.0046885465505695E-2</v>
      </c>
      <c r="AB112" s="1">
        <f>'Asset Prices'!AB112/'Asset Prices'!AB113-1</f>
        <v>6.5934065934065922E-2</v>
      </c>
      <c r="AC112" s="1">
        <f>'Asset Prices'!AC112/'Asset Prices'!AC113-1</f>
        <v>-4.1263621892984048E-2</v>
      </c>
      <c r="AD112" s="1">
        <f>'Asset Prices'!AD112/'Asset Prices'!AD113-1</f>
        <v>-3.6380036079374678E-2</v>
      </c>
      <c r="AE112" s="1">
        <f>'Asset Prices'!AE112/'Asset Prices'!AE113-1</f>
        <v>-0.14974453032883528</v>
      </c>
      <c r="AF112" s="1">
        <f>'Asset Prices'!AF112/'Asset Prices'!AF113-1</f>
        <v>-3.0710172744721764E-2</v>
      </c>
      <c r="AG112" s="1">
        <f>'Asset Prices'!AG112/'Asset Prices'!AG113-1</f>
        <v>2.7319533466430013E-3</v>
      </c>
      <c r="AH112" s="1">
        <f>'Asset Prices'!AH112/'Asset Prices'!AH113-1</f>
        <v>-5.8054393305439267E-2</v>
      </c>
      <c r="AI112" s="1">
        <f>'Asset Prices'!AI112/'Asset Prices'!AI113-1</f>
        <v>8.3074407195421252E-2</v>
      </c>
      <c r="AJ112" s="1">
        <f>'Asset Prices'!AJ112/'Asset Prices'!AJ113-1</f>
        <v>-3.7304452466907279E-2</v>
      </c>
      <c r="AK112" s="1">
        <f>'Asset Prices'!AK112/'Asset Prices'!AK113-1</f>
        <v>3.3277870216306127E-2</v>
      </c>
      <c r="AL112" s="1">
        <f>'Asset Prices'!AL112/'Asset Prices'!AL113-1</f>
        <v>-6.1025479710600794E-2</v>
      </c>
      <c r="AM112" s="1">
        <f>'Asset Prices'!AM112/'Asset Prices'!AM113-1</f>
        <v>6.9249080285653797E-3</v>
      </c>
      <c r="AN112" s="1">
        <f>'Asset Prices'!AN112/'Asset Prices'!AN113-1</f>
        <v>8.9757974034301302E-3</v>
      </c>
      <c r="AO112" s="1">
        <f>'Asset Prices'!AO112/'Asset Prices'!AO113-1</f>
        <v>2.0411817367949947E-2</v>
      </c>
      <c r="AP112" s="1">
        <f>'Asset Prices'!AP112/'Asset Prices'!AP113-1</f>
        <v>-1.1437908496731986E-2</v>
      </c>
      <c r="AQ112" s="1">
        <f>'Asset Prices'!AQ112/'Asset Prices'!AQ113-1</f>
        <v>-9.5020624631702022E-3</v>
      </c>
      <c r="AR112" s="1">
        <f>'Asset Prices'!AR112/'Asset Prices'!AR113-1</f>
        <v>-4.8371798925071041E-2</v>
      </c>
      <c r="AS112" s="1">
        <f>'Asset Prices'!AS112/'Asset Prices'!AS113-1</f>
        <v>3.7481259370314879E-2</v>
      </c>
      <c r="AT112" s="1">
        <f>'Asset Prices'!AT112/'Asset Prices'!AT113-1</f>
        <v>2.1046561914372042E-2</v>
      </c>
      <c r="AU112" s="1">
        <f>'Asset Prices'!AU112/'Asset Prices'!AU113-1</f>
        <v>-3.200943435960113E-3</v>
      </c>
      <c r="AV112" s="1">
        <f>'Asset Prices'!AV112/'Asset Prices'!AV113-1</f>
        <v>-1.1827374503430854E-2</v>
      </c>
      <c r="AW112" s="1">
        <f>'Asset Prices'!AW112/'Asset Prices'!AW113-1</f>
        <v>2.5083952376106611E-2</v>
      </c>
      <c r="AX112" s="1">
        <f>'Asset Prices'!AX112/'Asset Prices'!AX113-1</f>
        <v>1.7710309930423662E-2</v>
      </c>
      <c r="AY112" s="1">
        <f>'Asset Prices'!AY112/'Asset Prices'!AY113-1</f>
        <v>1.2676566461427008E-2</v>
      </c>
      <c r="AZ112" s="1">
        <f>'Asset Prices'!AZ112/'Asset Prices'!AZ113-1</f>
        <v>7.6271186440677763E-2</v>
      </c>
      <c r="BA112" s="1">
        <f>'Asset Prices'!BA112/'Asset Prices'!BA113-1</f>
        <v>3.6072144288577412E-2</v>
      </c>
      <c r="BB112" s="1">
        <f>'Asset Prices'!BB112/'Asset Prices'!BB113-1</f>
        <v>-3.6496350364964014E-3</v>
      </c>
      <c r="BC112" s="1">
        <f>'Asset Prices'!BC112/'Asset Prices'!BC113-1</f>
        <v>4.6792398914130784E-2</v>
      </c>
      <c r="BD112" s="1">
        <f>'Asset Prices'!BD112/'Asset Prices'!BD113-1</f>
        <v>2.285776188928601E-2</v>
      </c>
    </row>
    <row r="113" spans="3:56" x14ac:dyDescent="0.25">
      <c r="C113" s="38">
        <f>'Asset Prices'!C113</f>
        <v>43580</v>
      </c>
      <c r="D113" s="1">
        <f>'Asset Prices'!D113/'Asset Prices'!D114-1</f>
        <v>5.3696303696304515E-3</v>
      </c>
      <c r="E113" s="1">
        <f>'Asset Prices'!E113/'Asset Prices'!E114-1</f>
        <v>3.6164590411476238E-2</v>
      </c>
      <c r="F113" s="1">
        <f>'Asset Prices'!F113/'Asset Prices'!F114-1</f>
        <v>-1.8385650224215233E-2</v>
      </c>
      <c r="G113" s="1">
        <f>'Asset Prices'!G113/'Asset Prices'!G114-1</f>
        <v>8.9875275128392662E-3</v>
      </c>
      <c r="H113" s="1">
        <f>'Asset Prices'!H113/'Asset Prices'!H114-1</f>
        <v>-5.0432477678571508E-2</v>
      </c>
      <c r="I113" s="1">
        <f>'Asset Prices'!I113/'Asset Prices'!I114-1</f>
        <v>8.4025129010545152E-2</v>
      </c>
      <c r="J113" s="1">
        <f>'Asset Prices'!J113/'Asset Prices'!J114-1</f>
        <v>6.9655646031590024E-3</v>
      </c>
      <c r="K113" s="1">
        <f>'Asset Prices'!K113/'Asset Prices'!K114-1</f>
        <v>2.1786656210217581E-2</v>
      </c>
      <c r="L113" s="1">
        <f>'Asset Prices'!L113/'Asset Prices'!L114-1</f>
        <v>2.2145136672679255E-2</v>
      </c>
      <c r="M113" s="1">
        <f>'Asset Prices'!M113/'Asset Prices'!M114-1</f>
        <v>4.6850936208154392E-2</v>
      </c>
      <c r="N113" s="1">
        <f>'Asset Prices'!N113/'Asset Prices'!N114-1</f>
        <v>2.0838199875953478E-2</v>
      </c>
      <c r="O113" s="1">
        <f>'Asset Prices'!O113/'Asset Prices'!O114-1</f>
        <v>4.6853625170998559E-2</v>
      </c>
      <c r="P113" s="1">
        <f>'Asset Prices'!P113/'Asset Prices'!P114-1</f>
        <v>6.7203219315895346E-2</v>
      </c>
      <c r="Q113" s="1">
        <f>'Asset Prices'!Q113/'Asset Prices'!Q114-1</f>
        <v>5.4175992042346133E-2</v>
      </c>
      <c r="R113" s="1">
        <f>'Asset Prices'!R113/'Asset Prices'!R114-1</f>
        <v>2.3957571324067395E-2</v>
      </c>
      <c r="S113" s="1">
        <f>'Asset Prices'!S113/'Asset Prices'!S114-1</f>
        <v>-5.4891830804003616E-3</v>
      </c>
      <c r="T113" s="1">
        <f>'Asset Prices'!T113/'Asset Prices'!T114-1</f>
        <v>9.4487017335020962E-3</v>
      </c>
      <c r="U113" s="1">
        <f>'Asset Prices'!U113/'Asset Prices'!U114-1</f>
        <v>-1.5831134564643801E-2</v>
      </c>
      <c r="V113" s="1">
        <f>'Asset Prices'!V113/'Asset Prices'!V114-1</f>
        <v>-2.551502551502538E-2</v>
      </c>
      <c r="W113" s="1">
        <f>'Asset Prices'!W113/'Asset Prices'!W114-1</f>
        <v>2.0369364475829599E-3</v>
      </c>
      <c r="X113" s="1">
        <f>'Asset Prices'!X113/'Asset Prices'!X114-1</f>
        <v>2.2422384055193589E-2</v>
      </c>
      <c r="Y113" s="1">
        <f>'Asset Prices'!Y113/'Asset Prices'!Y114-1</f>
        <v>-2.6936890713187278E-3</v>
      </c>
      <c r="Z113" s="1">
        <f>'Asset Prices'!Z113/'Asset Prices'!Z114-1</f>
        <v>5.2493438320210029E-2</v>
      </c>
      <c r="AA113" s="1">
        <f>'Asset Prices'!AA113/'Asset Prices'!AA114-1</f>
        <v>6.2936067207745916E-2</v>
      </c>
      <c r="AB113" s="1">
        <f>'Asset Prices'!AB113/'Asset Prices'!AB114-1</f>
        <v>3.6764705882352811E-3</v>
      </c>
      <c r="AC113" s="1">
        <f>'Asset Prices'!AC113/'Asset Prices'!AC114-1</f>
        <v>-3.3376730974079671E-2</v>
      </c>
      <c r="AD113" s="1">
        <f>'Asset Prices'!AD113/'Asset Prices'!AD114-1</f>
        <v>7.4208693018325E-3</v>
      </c>
      <c r="AE113" s="1">
        <f>'Asset Prices'!AE113/'Asset Prices'!AE114-1</f>
        <v>0</v>
      </c>
      <c r="AF113" s="1">
        <f>'Asset Prices'!AF113/'Asset Prices'!AF114-1</f>
        <v>-3.7680088659032163E-2</v>
      </c>
      <c r="AG113" s="1">
        <f>'Asset Prices'!AG113/'Asset Prices'!AG114-1</f>
        <v>2.587043225180552E-2</v>
      </c>
      <c r="AH113" s="1">
        <f>'Asset Prices'!AH113/'Asset Prices'!AH114-1</f>
        <v>-1.57014157014157E-2</v>
      </c>
      <c r="AI113" s="1">
        <f>'Asset Prices'!AI113/'Asset Prices'!AI114-1</f>
        <v>-1.6326530612245094E-3</v>
      </c>
      <c r="AJ113" s="1">
        <f>'Asset Prices'!AJ113/'Asset Prices'!AJ114-1</f>
        <v>-1.1498810467882592E-2</v>
      </c>
      <c r="AK113" s="1">
        <f>'Asset Prices'!AK113/'Asset Prices'!AK114-1</f>
        <v>6.3089622641509413E-2</v>
      </c>
      <c r="AL113" s="1">
        <f>'Asset Prices'!AL113/'Asset Prices'!AL114-1</f>
        <v>7.7666825170390474E-3</v>
      </c>
      <c r="AM113" s="1">
        <f>'Asset Prices'!AM113/'Asset Prices'!AM114-1</f>
        <v>-1.2114302002423027E-2</v>
      </c>
      <c r="AN113" s="1">
        <f>'Asset Prices'!AN113/'Asset Prices'!AN114-1</f>
        <v>3.8333518251414622E-2</v>
      </c>
      <c r="AO113" s="1">
        <f>'Asset Prices'!AO113/'Asset Prices'!AO114-1</f>
        <v>-3.773259820813224E-2</v>
      </c>
      <c r="AP113" s="1">
        <f>'Asset Prices'!AP113/'Asset Prices'!AP114-1</f>
        <v>-7.2568940493467071E-4</v>
      </c>
      <c r="AQ113" s="1">
        <f>'Asset Prices'!AQ113/'Asset Prices'!AQ114-1</f>
        <v>5.9962523422860459E-2</v>
      </c>
      <c r="AR113" s="1">
        <f>'Asset Prices'!AR113/'Asset Prices'!AR114-1</f>
        <v>-4.2675544794188891E-2</v>
      </c>
      <c r="AS113" s="1">
        <f>'Asset Prices'!AS113/'Asset Prices'!AS114-1</f>
        <v>-6.3314711359404585E-3</v>
      </c>
      <c r="AT113" s="1">
        <f>'Asset Prices'!AT113/'Asset Prices'!AT114-1</f>
        <v>-2.2820115509226468E-2</v>
      </c>
      <c r="AU113" s="1">
        <f>'Asset Prices'!AU113/'Asset Prices'!AU114-1</f>
        <v>4.1862301987801276E-2</v>
      </c>
      <c r="AV113" s="1">
        <f>'Asset Prices'!AV113/'Asset Prices'!AV114-1</f>
        <v>1.923253887917542E-2</v>
      </c>
      <c r="AW113" s="1">
        <f>'Asset Prices'!AW113/'Asset Prices'!AW114-1</f>
        <v>4.0169356972744152E-2</v>
      </c>
      <c r="AX113" s="1">
        <f>'Asset Prices'!AX113/'Asset Prices'!AX114-1</f>
        <v>2.59571706683972E-2</v>
      </c>
      <c r="AY113" s="1">
        <f>'Asset Prices'!AY113/'Asset Prices'!AY114-1</f>
        <v>5.0964688751364839E-3</v>
      </c>
      <c r="AZ113" s="1">
        <f>'Asset Prices'!AZ113/'Asset Prices'!AZ114-1</f>
        <v>-4.0385940730530479E-2</v>
      </c>
      <c r="BA113" s="1">
        <f>'Asset Prices'!BA113/'Asset Prices'!BA114-1</f>
        <v>-1.2998022040124457E-2</v>
      </c>
      <c r="BB113" s="1">
        <f>'Asset Prices'!BB113/'Asset Prices'!BB114-1</f>
        <v>1.4345210550671172E-2</v>
      </c>
      <c r="BC113" s="1">
        <f>'Asset Prices'!BC113/'Asset Prices'!BC114-1</f>
        <v>6.7327487609607273E-2</v>
      </c>
      <c r="BD113" s="1">
        <f>'Asset Prices'!BD113/'Asset Prices'!BD114-1</f>
        <v>-9.8680682183847068E-3</v>
      </c>
    </row>
    <row r="114" spans="3:56" x14ac:dyDescent="0.25">
      <c r="C114" s="38">
        <f>'Asset Prices'!C114</f>
        <v>43573</v>
      </c>
      <c r="D114" s="1">
        <f>'Asset Prices'!D114/'Asset Prices'!D115-1</f>
        <v>1.4569872038515008E-2</v>
      </c>
      <c r="E114" s="1">
        <f>'Asset Prices'!E114/'Asset Prices'!E115-1</f>
        <v>0.135934819897084</v>
      </c>
      <c r="F114" s="1">
        <f>'Asset Prices'!F114/'Asset Prices'!F115-1</f>
        <v>4.9411764705882488E-2</v>
      </c>
      <c r="G114" s="1">
        <f>'Asset Prices'!G114/'Asset Prices'!G115-1</f>
        <v>1.3571295779884807E-2</v>
      </c>
      <c r="H114" s="1">
        <f>'Asset Prices'!H114/'Asset Prices'!H115-1</f>
        <v>3.2332397206020103E-2</v>
      </c>
      <c r="I114" s="1">
        <f>'Asset Prices'!I114/'Asset Prices'!I115-1</f>
        <v>4.3377837868290303E-3</v>
      </c>
      <c r="J114" s="1">
        <f>'Asset Prices'!J114/'Asset Prices'!J115-1</f>
        <v>2.4679567730585772E-2</v>
      </c>
      <c r="K114" s="1">
        <f>'Asset Prices'!K114/'Asset Prices'!K115-1</f>
        <v>9.5549518185318316E-3</v>
      </c>
      <c r="L114" s="1">
        <f>'Asset Prices'!L114/'Asset Prices'!L115-1</f>
        <v>-1.9855841153270659E-2</v>
      </c>
      <c r="M114" s="1">
        <f>'Asset Prices'!M114/'Asset Prices'!M115-1</f>
        <v>2.5263857724590721E-2</v>
      </c>
      <c r="N114" s="1">
        <f>'Asset Prices'!N114/'Asset Prices'!N115-1</f>
        <v>2.6356037996345894E-2</v>
      </c>
      <c r="O114" s="1">
        <f>'Asset Prices'!O114/'Asset Prices'!O115-1</f>
        <v>8.9717046238784182E-3</v>
      </c>
      <c r="P114" s="1">
        <f>'Asset Prices'!P114/'Asset Prices'!P115-1</f>
        <v>3.991212010252676E-2</v>
      </c>
      <c r="Q114" s="1">
        <f>'Asset Prices'!Q114/'Asset Prices'!Q115-1</f>
        <v>-2.8205482289580974E-2</v>
      </c>
      <c r="R114" s="1">
        <f>'Asset Prices'!R114/'Asset Prices'!R115-1</f>
        <v>-1.778336626549315E-2</v>
      </c>
      <c r="S114" s="1">
        <f>'Asset Prices'!S114/'Asset Prices'!S115-1</f>
        <v>-3.1279324366593642E-2</v>
      </c>
      <c r="T114" s="1">
        <f>'Asset Prices'!T114/'Asset Prices'!T115-1</f>
        <v>8.7054409005629108E-3</v>
      </c>
      <c r="U114" s="1">
        <f>'Asset Prices'!U114/'Asset Prices'!U115-1</f>
        <v>3.2384987893462558E-2</v>
      </c>
      <c r="V114" s="1">
        <f>'Asset Prices'!V114/'Asset Prices'!V115-1</f>
        <v>3.1384015594541959E-2</v>
      </c>
      <c r="W114" s="1">
        <f>'Asset Prices'!W114/'Asset Prices'!W115-1</f>
        <v>-4.5958367126250899E-3</v>
      </c>
      <c r="X114" s="1">
        <f>'Asset Prices'!X114/'Asset Prices'!X115-1</f>
        <v>-1.5471698113207588E-2</v>
      </c>
      <c r="Y114" s="1">
        <f>'Asset Prices'!Y114/'Asset Prices'!Y115-1</f>
        <v>7.755946225439514E-3</v>
      </c>
      <c r="Z114" s="1">
        <f>'Asset Prices'!Z114/'Asset Prices'!Z115-1</f>
        <v>-6.8720379146920418E-3</v>
      </c>
      <c r="AA114" s="1">
        <f>'Asset Prices'!AA114/'Asset Prices'!AA115-1</f>
        <v>2.8107158541941235E-2</v>
      </c>
      <c r="AB114" s="1">
        <f>'Asset Prices'!AB114/'Asset Prices'!AB115-1</f>
        <v>-7.2992700729926918E-3</v>
      </c>
      <c r="AC114" s="1">
        <f>'Asset Prices'!AC114/'Asset Prices'!AC115-1</f>
        <v>6.6122594865072326E-3</v>
      </c>
      <c r="AD114" s="1">
        <f>'Asset Prices'!AD114/'Asset Prices'!AD115-1</f>
        <v>6.7582861762328195E-2</v>
      </c>
      <c r="AE114" s="1">
        <f>'Asset Prices'!AE114/'Asset Prices'!AE115-1</f>
        <v>4.5616438356164357E-2</v>
      </c>
      <c r="AF114" s="1">
        <f>'Asset Prices'!AF114/'Asset Prices'!AF115-1</f>
        <v>2.5925925925927018E-3</v>
      </c>
      <c r="AG114" s="1">
        <f>'Asset Prices'!AG114/'Asset Prices'!AG115-1</f>
        <v>2.3951434878587197E-2</v>
      </c>
      <c r="AH114" s="1">
        <f>'Asset Prices'!AH114/'Asset Prices'!AH115-1</f>
        <v>-4.5219955763086683E-2</v>
      </c>
      <c r="AI114" s="1">
        <f>'Asset Prices'!AI114/'Asset Prices'!AI115-1</f>
        <v>-4.7137523335407661E-2</v>
      </c>
      <c r="AJ114" s="1">
        <f>'Asset Prices'!AJ114/'Asset Prices'!AJ115-1</f>
        <v>2.3954526999593995E-2</v>
      </c>
      <c r="AK114" s="1">
        <f>'Asset Prices'!AK114/'Asset Prices'!AK115-1</f>
        <v>-1.0501750291715295E-2</v>
      </c>
      <c r="AL114" s="1">
        <f>'Asset Prices'!AL114/'Asset Prices'!AL115-1</f>
        <v>7.8274760383387765E-3</v>
      </c>
      <c r="AM114" s="1">
        <f>'Asset Prices'!AM114/'Asset Prices'!AM115-1</f>
        <v>-2.3994992349422595E-2</v>
      </c>
      <c r="AN114" s="1">
        <f>'Asset Prices'!AN114/'Asset Prices'!AN115-1</f>
        <v>-7.7151487226744586E-2</v>
      </c>
      <c r="AO114" s="1">
        <f>'Asset Prices'!AO114/'Asset Prices'!AO115-1</f>
        <v>-8.8797814207650649E-3</v>
      </c>
      <c r="AP114" s="1">
        <f>'Asset Prices'!AP114/'Asset Prices'!AP115-1</f>
        <v>2.2824271664501738E-2</v>
      </c>
      <c r="AQ114" s="1">
        <f>'Asset Prices'!AQ114/'Asset Prices'!AQ115-1</f>
        <v>-5.3922292805436478E-2</v>
      </c>
      <c r="AR114" s="1">
        <f>'Asset Prices'!AR114/'Asset Prices'!AR115-1</f>
        <v>-5.8551323224209084E-2</v>
      </c>
      <c r="AS114" s="1">
        <f>'Asset Prices'!AS114/'Asset Prices'!AS115-1</f>
        <v>-5.9237319511291631E-3</v>
      </c>
      <c r="AT114" s="1">
        <f>'Asset Prices'!AT114/'Asset Prices'!AT115-1</f>
        <v>4.2131532589547716E-2</v>
      </c>
      <c r="AU114" s="1">
        <f>'Asset Prices'!AU114/'Asset Prices'!AU115-1</f>
        <v>-9.4704643864457982E-2</v>
      </c>
      <c r="AV114" s="1">
        <f>'Asset Prices'!AV114/'Asset Prices'!AV115-1</f>
        <v>3.8413760152890442E-2</v>
      </c>
      <c r="AW114" s="1">
        <f>'Asset Prices'!AW114/'Asset Prices'!AW115-1</f>
        <v>1.9620320288471493E-3</v>
      </c>
      <c r="AX114" s="1">
        <f>'Asset Prices'!AX114/'Asset Prices'!AX115-1</f>
        <v>-3.2642812303829261E-2</v>
      </c>
      <c r="AY114" s="1">
        <f>'Asset Prices'!AY114/'Asset Prices'!AY115-1</f>
        <v>-2.5417574437182067E-3</v>
      </c>
      <c r="AZ114" s="1">
        <f>'Asset Prices'!AZ114/'Asset Prices'!AZ115-1</f>
        <v>1.9390192496838488E-2</v>
      </c>
      <c r="BA114" s="1">
        <f>'Asset Prices'!BA114/'Asset Prices'!BA115-1</f>
        <v>-1.3381655979927354E-2</v>
      </c>
      <c r="BB114" s="1">
        <f>'Asset Prices'!BB114/'Asset Prices'!BB115-1</f>
        <v>-1.3242009132420018E-2</v>
      </c>
      <c r="BC114" s="1">
        <f>'Asset Prices'!BC114/'Asset Prices'!BC115-1</f>
        <v>-3.8419238947136725E-2</v>
      </c>
      <c r="BD114" s="1">
        <f>'Asset Prices'!BD114/'Asset Prices'!BD115-1</f>
        <v>-2.3155909471919478E-2</v>
      </c>
    </row>
    <row r="115" spans="3:56" x14ac:dyDescent="0.25">
      <c r="C115" s="38">
        <f>'Asset Prices'!C115</f>
        <v>43566</v>
      </c>
      <c r="D115" s="1">
        <f>'Asset Prices'!D115/'Asset Prices'!D116-1</f>
        <v>1.3955848769349188E-3</v>
      </c>
      <c r="E115" s="1">
        <f>'Asset Prices'!E115/'Asset Prices'!E116-1</f>
        <v>1.6122004357298492E-2</v>
      </c>
      <c r="F115" s="1">
        <f>'Asset Prices'!F115/'Asset Prices'!F116-1</f>
        <v>-3.2833020637899057E-3</v>
      </c>
      <c r="G115" s="1">
        <f>'Asset Prices'!G115/'Asset Prices'!G116-1</f>
        <v>-5.574136008918984E-4</v>
      </c>
      <c r="H115" s="1">
        <f>'Asset Prices'!H115/'Asset Prices'!H116-1</f>
        <v>-8.9916506101476168E-3</v>
      </c>
      <c r="I115" s="1">
        <f>'Asset Prices'!I115/'Asset Prices'!I116-1</f>
        <v>8.4649471650948271E-3</v>
      </c>
      <c r="J115" s="1">
        <f>'Asset Prices'!J115/'Asset Prices'!J116-1</f>
        <v>1.6659001481935665E-2</v>
      </c>
      <c r="K115" s="1">
        <f>'Asset Prices'!K115/'Asset Prices'!K116-1</f>
        <v>1.3860330096873819E-2</v>
      </c>
      <c r="L115" s="1">
        <f>'Asset Prices'!L115/'Asset Prices'!L116-1</f>
        <v>-6.2520387082753981E-4</v>
      </c>
      <c r="M115" s="1">
        <f>'Asset Prices'!M115/'Asset Prices'!M116-1</f>
        <v>8.126675603217226E-3</v>
      </c>
      <c r="N115" s="1">
        <f>'Asset Prices'!N115/'Asset Prices'!N116-1</f>
        <v>-8.0856123662307322E-3</v>
      </c>
      <c r="O115" s="1">
        <f>'Asset Prices'!O115/'Asset Prices'!O116-1</f>
        <v>8.7894874249412336E-3</v>
      </c>
      <c r="P115" s="1">
        <f>'Asset Prices'!P115/'Asset Prices'!P116-1</f>
        <v>-1.4625228519196121E-3</v>
      </c>
      <c r="Q115" s="1">
        <f>'Asset Prices'!Q115/'Asset Prices'!Q116-1</f>
        <v>5.9035977219059621E-3</v>
      </c>
      <c r="R115" s="1">
        <f>'Asset Prices'!R115/'Asset Prices'!R116-1</f>
        <v>7.0549927641099242E-3</v>
      </c>
      <c r="S115" s="1">
        <f>'Asset Prices'!S115/'Asset Prices'!S116-1</f>
        <v>9.4726870855699197E-3</v>
      </c>
      <c r="T115" s="1">
        <f>'Asset Prices'!T115/'Asset Prices'!T116-1</f>
        <v>7.9425113464448582E-3</v>
      </c>
      <c r="U115" s="1">
        <f>'Asset Prices'!U115/'Asset Prices'!U116-1</f>
        <v>7.1635421429658841E-3</v>
      </c>
      <c r="V115" s="1">
        <f>'Asset Prices'!V115/'Asset Prices'!V116-1</f>
        <v>1.2033931741960879E-2</v>
      </c>
      <c r="W115" s="1">
        <f>'Asset Prices'!W115/'Asset Prices'!W116-1</f>
        <v>-7.9120289660720156E-3</v>
      </c>
      <c r="X115" s="1">
        <f>'Asset Prices'!X115/'Asset Prices'!X116-1</f>
        <v>-3.3847311019180593E-3</v>
      </c>
      <c r="Y115" s="1">
        <f>'Asset Prices'!Y115/'Asset Prices'!Y116-1</f>
        <v>5.1229786655795584E-2</v>
      </c>
      <c r="Z115" s="1">
        <f>'Asset Prices'!Z115/'Asset Prices'!Z116-1</f>
        <v>2.4023295316670801E-2</v>
      </c>
      <c r="AA115" s="1">
        <f>'Asset Prices'!AA115/'Asset Prices'!AA116-1</f>
        <v>1.6971862438588614E-2</v>
      </c>
      <c r="AB115" s="1">
        <f>'Asset Prices'!AB115/'Asset Prices'!AB116-1</f>
        <v>2.621722846441954E-2</v>
      </c>
      <c r="AC115" s="1">
        <f>'Asset Prices'!AC115/'Asset Prices'!AC116-1</f>
        <v>2.7104747919725947E-2</v>
      </c>
      <c r="AD115" s="1">
        <f>'Asset Prices'!AD115/'Asset Prices'!AD116-1</f>
        <v>5.6001365886972909E-2</v>
      </c>
      <c r="AE115" s="1">
        <f>'Asset Prices'!AE115/'Asset Prices'!AE116-1</f>
        <v>7.7013868397757479E-2</v>
      </c>
      <c r="AF115" s="1">
        <f>'Asset Prices'!AF115/'Asset Prices'!AF116-1</f>
        <v>-2.5974025974025983E-2</v>
      </c>
      <c r="AG115" s="1">
        <f>'Asset Prices'!AG115/'Asset Prices'!AG116-1</f>
        <v>3.3302919708029011E-2</v>
      </c>
      <c r="AH115" s="1">
        <f>'Asset Prices'!AH115/'Asset Prices'!AH116-1</f>
        <v>2.6229508196721207E-2</v>
      </c>
      <c r="AI115" s="1">
        <f>'Asset Prices'!AI115/'Asset Prices'!AI116-1</f>
        <v>0.11519777931991682</v>
      </c>
      <c r="AJ115" s="1">
        <f>'Asset Prices'!AJ115/'Asset Prices'!AJ116-1</f>
        <v>-3.4117647058823586E-2</v>
      </c>
      <c r="AK115" s="1">
        <f>'Asset Prices'!AK115/'Asset Prices'!AK116-1</f>
        <v>3.2530120481927716E-2</v>
      </c>
      <c r="AL115" s="1">
        <f>'Asset Prices'!AL115/'Asset Prices'!AL116-1</f>
        <v>-1.7114146647825401E-2</v>
      </c>
      <c r="AM115" s="1">
        <f>'Asset Prices'!AM115/'Asset Prices'!AM116-1</f>
        <v>7.0037820423027863E-3</v>
      </c>
      <c r="AN115" s="1">
        <f>'Asset Prices'!AN115/'Asset Prices'!AN116-1</f>
        <v>8.3630168809045724E-3</v>
      </c>
      <c r="AO115" s="1">
        <f>'Asset Prices'!AO115/'Asset Prices'!AO116-1</f>
        <v>-7.2893710798440647E-3</v>
      </c>
      <c r="AP115" s="1">
        <f>'Asset Prices'!AP115/'Asset Prices'!AP116-1</f>
        <v>-6.6359447004608052E-3</v>
      </c>
      <c r="AQ115" s="1">
        <f>'Asset Prices'!AQ115/'Asset Prices'!AQ116-1</f>
        <v>7.4870980547836474E-2</v>
      </c>
      <c r="AR115" s="1">
        <f>'Asset Prices'!AR115/'Asset Prices'!AR116-1</f>
        <v>-1.3980263157894801E-2</v>
      </c>
      <c r="AS115" s="1">
        <f>'Asset Prices'!AS115/'Asset Prices'!AS116-1</f>
        <v>-1.4952589350838763E-2</v>
      </c>
      <c r="AT115" s="1">
        <f>'Asset Prices'!AT115/'Asset Prices'!AT116-1</f>
        <v>1.8845348489380909E-2</v>
      </c>
      <c r="AU115" s="1">
        <f>'Asset Prices'!AU115/'Asset Prices'!AU116-1</f>
        <v>5.5646090862104813E-4</v>
      </c>
      <c r="AV115" s="1">
        <f>'Asset Prices'!AV115/'Asset Prices'!AV116-1</f>
        <v>-9.2776673293570866E-3</v>
      </c>
      <c r="AW115" s="1">
        <f>'Asset Prices'!AW115/'Asset Prices'!AW116-1</f>
        <v>2.6620937448962989E-2</v>
      </c>
      <c r="AX115" s="1">
        <f>'Asset Prices'!AX115/'Asset Prices'!AX116-1</f>
        <v>-2.9841656516443438E-2</v>
      </c>
      <c r="AY115" s="1">
        <f>'Asset Prices'!AY115/'Asset Prices'!AY116-1</f>
        <v>3.4560480841472563E-2</v>
      </c>
      <c r="AZ115" s="1">
        <f>'Asset Prices'!AZ115/'Asset Prices'!AZ116-1</f>
        <v>2.8180921516134383E-3</v>
      </c>
      <c r="BA115" s="1">
        <f>'Asset Prices'!BA115/'Asset Prices'!BA116-1</f>
        <v>-1.238986784140983E-2</v>
      </c>
      <c r="BB115" s="1">
        <f>'Asset Prices'!BB115/'Asset Prices'!BB116-1</f>
        <v>2.4030209406109559E-3</v>
      </c>
      <c r="BC115" s="1">
        <f>'Asset Prices'!BC115/'Asset Prices'!BC116-1</f>
        <v>3.2364840014711405E-3</v>
      </c>
      <c r="BD115" s="1">
        <f>'Asset Prices'!BD115/'Asset Prices'!BD116-1</f>
        <v>-4.9004274840996898E-3</v>
      </c>
    </row>
    <row r="116" spans="3:56" x14ac:dyDescent="0.25">
      <c r="C116" s="38">
        <f>'Asset Prices'!C116</f>
        <v>43559</v>
      </c>
      <c r="D116" s="1">
        <f>'Asset Prices'!D116/'Asset Prices'!D117-1</f>
        <v>1.9202172366974857E-2</v>
      </c>
      <c r="E116" s="1">
        <f>'Asset Prices'!E116/'Asset Prices'!E117-1</f>
        <v>3.6491735163941996E-2</v>
      </c>
      <c r="F116" s="1">
        <f>'Asset Prices'!F116/'Asset Prices'!F117-1</f>
        <v>1.47548786292242E-2</v>
      </c>
      <c r="G116" s="1">
        <f>'Asset Prices'!G116/'Asset Prices'!G117-1</f>
        <v>1.1844331641285955E-2</v>
      </c>
      <c r="H116" s="1">
        <f>'Asset Prices'!H116/'Asset Prices'!H117-1</f>
        <v>5.8623555186220422E-2</v>
      </c>
      <c r="I116" s="1">
        <f>'Asset Prices'!I116/'Asset Prices'!I117-1</f>
        <v>6.3243733011174808E-2</v>
      </c>
      <c r="J116" s="1">
        <f>'Asset Prices'!J116/'Asset Prices'!J117-1</f>
        <v>3.6933022467147136E-2</v>
      </c>
      <c r="K116" s="1">
        <f>'Asset Prices'!K116/'Asset Prices'!K117-1</f>
        <v>2.5622807907884182E-2</v>
      </c>
      <c r="L116" s="1">
        <f>'Asset Prices'!L116/'Asset Prices'!L117-1</f>
        <v>3.7421392515721408E-2</v>
      </c>
      <c r="M116" s="1">
        <f>'Asset Prices'!M116/'Asset Prices'!M117-1</f>
        <v>2.0781664243564535E-2</v>
      </c>
      <c r="N116" s="1">
        <f>'Asset Prices'!N116/'Asset Prices'!N117-1</f>
        <v>4.0246700845368411E-2</v>
      </c>
      <c r="O116" s="1">
        <f>'Asset Prices'!O116/'Asset Prices'!O117-1</f>
        <v>5.0730341992477612E-3</v>
      </c>
      <c r="P116" s="1">
        <f>'Asset Prices'!P116/'Asset Prices'!P117-1</f>
        <v>0.10985507246376813</v>
      </c>
      <c r="Q116" s="1">
        <f>'Asset Prices'!Q116/'Asset Prices'!Q117-1</f>
        <v>5.1294220729436457E-2</v>
      </c>
      <c r="R116" s="1">
        <f>'Asset Prices'!R116/'Asset Prices'!R117-1</f>
        <v>-1.5669515669515577E-2</v>
      </c>
      <c r="S116" s="1">
        <f>'Asset Prices'!S116/'Asset Prices'!S117-1</f>
        <v>2.5324469768914781E-3</v>
      </c>
      <c r="T116" s="1">
        <f>'Asset Prices'!T116/'Asset Prices'!T117-1</f>
        <v>6.5441650548033525E-2</v>
      </c>
      <c r="U116" s="1">
        <f>'Asset Prices'!U116/'Asset Prices'!U117-1</f>
        <v>8.7518647439084996E-2</v>
      </c>
      <c r="V116" s="1">
        <f>'Asset Prices'!V116/'Asset Prices'!V117-1</f>
        <v>1.8689710610932497E-2</v>
      </c>
      <c r="W116" s="1">
        <f>'Asset Prices'!W116/'Asset Prices'!W117-1</f>
        <v>4.8804500703234943E-2</v>
      </c>
      <c r="X116" s="1">
        <f>'Asset Prices'!X116/'Asset Prices'!X117-1</f>
        <v>5.4112983151635152E-2</v>
      </c>
      <c r="Y116" s="1">
        <f>'Asset Prices'!Y116/'Asset Prices'!Y117-1</f>
        <v>-2.1019023546627547E-2</v>
      </c>
      <c r="Z116" s="1">
        <f>'Asset Prices'!Z116/'Asset Prices'!Z117-1</f>
        <v>-4.4959443800695165E-2</v>
      </c>
      <c r="AA116" s="1">
        <f>'Asset Prices'!AA116/'Asset Prices'!AA117-1</f>
        <v>4.2364990689013116E-2</v>
      </c>
      <c r="AB116" s="1">
        <f>'Asset Prices'!AB116/'Asset Prices'!AB117-1</f>
        <v>1.5209125475285079E-2</v>
      </c>
      <c r="AC116" s="1">
        <f>'Asset Prices'!AC116/'Asset Prices'!AC117-1</f>
        <v>7.4061904448971649E-2</v>
      </c>
      <c r="AD116" s="1">
        <f>'Asset Prices'!AD116/'Asset Prices'!AD117-1</f>
        <v>9.9286786786786818E-2</v>
      </c>
      <c r="AE116" s="1">
        <f>'Asset Prices'!AE116/'Asset Prices'!AE117-1</f>
        <v>7.2129073078139871E-2</v>
      </c>
      <c r="AF116" s="1">
        <f>'Asset Prices'!AF116/'Asset Prices'!AF117-1</f>
        <v>2.0242914979756943E-2</v>
      </c>
      <c r="AG116" s="1">
        <f>'Asset Prices'!AG116/'Asset Prices'!AG117-1</f>
        <v>2.8383767300023566E-2</v>
      </c>
      <c r="AH116" s="1">
        <f>'Asset Prices'!AH116/'Asset Prices'!AH117-1</f>
        <v>8.9884551951621594E-2</v>
      </c>
      <c r="AI116" s="1">
        <f>'Asset Prices'!AI116/'Asset Prices'!AI117-1</f>
        <v>-1.5037593984962405E-2</v>
      </c>
      <c r="AJ116" s="1">
        <f>'Asset Prices'!AJ116/'Asset Prices'!AJ117-1</f>
        <v>6.649937264742789E-2</v>
      </c>
      <c r="AK116" s="1">
        <f>'Asset Prices'!AK116/'Asset Prices'!AK117-1</f>
        <v>2.5957972805933371E-2</v>
      </c>
      <c r="AL116" s="1">
        <f>'Asset Prices'!AL116/'Asset Prices'!AL117-1</f>
        <v>2.4613899613899592E-2</v>
      </c>
      <c r="AM116" s="1">
        <f>'Asset Prices'!AM116/'Asset Prices'!AM117-1</f>
        <v>2.0440251572327206E-2</v>
      </c>
      <c r="AN116" s="1">
        <f>'Asset Prices'!AN116/'Asset Prices'!AN117-1</f>
        <v>-1.2288394860289653E-2</v>
      </c>
      <c r="AO116" s="1">
        <f>'Asset Prices'!AO116/'Asset Prices'!AO117-1</f>
        <v>-1.5233581584291889E-3</v>
      </c>
      <c r="AP116" s="1">
        <f>'Asset Prices'!AP116/'Asset Prices'!AP117-1</f>
        <v>2.2427440633245421E-2</v>
      </c>
      <c r="AQ116" s="1">
        <f>'Asset Prices'!AQ116/'Asset Prices'!AQ117-1</f>
        <v>3.3817614709020782E-2</v>
      </c>
      <c r="AR116" s="1">
        <f>'Asset Prices'!AR116/'Asset Prices'!AR117-1</f>
        <v>2.5583356761315734E-2</v>
      </c>
      <c r="AS116" s="1">
        <f>'Asset Prices'!AS116/'Asset Prices'!AS117-1</f>
        <v>-2.9036827195467296E-2</v>
      </c>
      <c r="AT116" s="1">
        <f>'Asset Prices'!AT116/'Asset Prices'!AT117-1</f>
        <v>9.0552369453666959E-3</v>
      </c>
      <c r="AU116" s="1">
        <f>'Asset Prices'!AU116/'Asset Prices'!AU117-1</f>
        <v>1.8582995951416992E-2</v>
      </c>
      <c r="AV116" s="1">
        <f>'Asset Prices'!AV116/'Asset Prices'!AV117-1</f>
        <v>2.0875616120614726E-2</v>
      </c>
      <c r="AW116" s="1">
        <f>'Asset Prices'!AW116/'Asset Prices'!AW117-1</f>
        <v>-1.6069419893941839E-2</v>
      </c>
      <c r="AX116" s="1">
        <f>'Asset Prices'!AX116/'Asset Prices'!AX117-1</f>
        <v>-7.2551390568317276E-3</v>
      </c>
      <c r="AY116" s="1">
        <f>'Asset Prices'!AY116/'Asset Prices'!AY117-1</f>
        <v>4.228660924040728E-2</v>
      </c>
      <c r="AZ116" s="1">
        <f>'Asset Prices'!AZ116/'Asset Prices'!AZ117-1</f>
        <v>3.00435413642961E-2</v>
      </c>
      <c r="BA116" s="1">
        <f>'Asset Prices'!BA116/'Asset Prices'!BA117-1</f>
        <v>1.4525139664804509E-2</v>
      </c>
      <c r="BB116" s="1">
        <f>'Asset Prices'!BB116/'Asset Prices'!BB117-1</f>
        <v>-1.9081827365585391E-2</v>
      </c>
      <c r="BC116" s="1">
        <f>'Asset Prices'!BC116/'Asset Prices'!BC117-1</f>
        <v>7.2330020507966442E-2</v>
      </c>
      <c r="BD116" s="1">
        <f>'Asset Prices'!BD116/'Asset Prices'!BD117-1</f>
        <v>1.2029123140234299E-2</v>
      </c>
    </row>
    <row r="117" spans="3:56" x14ac:dyDescent="0.25">
      <c r="C117" s="38">
        <f>'Asset Prices'!C117</f>
        <v>43552</v>
      </c>
      <c r="D117" s="1">
        <f>'Asset Prices'!D117/'Asset Prices'!D118-1</f>
        <v>-7.2528883183570203E-3</v>
      </c>
      <c r="E117" s="1">
        <f>'Asset Prices'!E117/'Asset Prices'!E118-1</f>
        <v>1.8866188109699866E-2</v>
      </c>
      <c r="F117" s="1">
        <f>'Asset Prices'!F117/'Asset Prices'!F118-1</f>
        <v>-4.5108510396545842E-2</v>
      </c>
      <c r="G117" s="1">
        <f>'Asset Prices'!G117/'Asset Prices'!G118-1</f>
        <v>-1.5729089563286447E-2</v>
      </c>
      <c r="H117" s="1">
        <f>'Asset Prices'!H117/'Asset Prices'!H118-1</f>
        <v>-1.2606295688497693E-2</v>
      </c>
      <c r="I117" s="1">
        <f>'Asset Prices'!I117/'Asset Prices'!I118-1</f>
        <v>-3.1912331406550587E-3</v>
      </c>
      <c r="J117" s="1">
        <f>'Asset Prices'!J117/'Asset Prices'!J118-1</f>
        <v>-3.2651596698959451E-2</v>
      </c>
      <c r="K117" s="1">
        <f>'Asset Prices'!K117/'Asset Prices'!K118-1</f>
        <v>-2.5197058144520224E-2</v>
      </c>
      <c r="L117" s="1">
        <f>'Asset Prices'!L117/'Asset Prices'!L118-1</f>
        <v>-6.1555561436472783E-2</v>
      </c>
      <c r="M117" s="1">
        <f>'Asset Prices'!M117/'Asset Prices'!M118-1</f>
        <v>-2.7366494759607285E-2</v>
      </c>
      <c r="N117" s="1">
        <f>'Asset Prices'!N117/'Asset Prices'!N118-1</f>
        <v>-5.1661233041832233E-2</v>
      </c>
      <c r="O117" s="1">
        <f>'Asset Prices'!O117/'Asset Prices'!O118-1</f>
        <v>2.5381165919282411E-2</v>
      </c>
      <c r="P117" s="1">
        <f>'Asset Prices'!P117/'Asset Prices'!P118-1</f>
        <v>1.8359997638585535E-2</v>
      </c>
      <c r="Q117" s="1">
        <f>'Asset Prices'!Q117/'Asset Prices'!Q118-1</f>
        <v>-2.4293805435828042E-2</v>
      </c>
      <c r="R117" s="1">
        <f>'Asset Prices'!R117/'Asset Prices'!R118-1</f>
        <v>-5.6657223796033884E-3</v>
      </c>
      <c r="S117" s="1">
        <f>'Asset Prices'!S117/'Asset Prices'!S118-1</f>
        <v>-2.198142414860671E-2</v>
      </c>
      <c r="T117" s="1">
        <f>'Asset Prices'!T117/'Asset Prices'!T118-1</f>
        <v>-7.8362386054694477E-3</v>
      </c>
      <c r="U117" s="1">
        <f>'Asset Prices'!U117/'Asset Prices'!U118-1</f>
        <v>-1.4215686274509864E-2</v>
      </c>
      <c r="V117" s="1">
        <f>'Asset Prices'!V117/'Asset Prices'!V118-1</f>
        <v>4.6037418541097219E-2</v>
      </c>
      <c r="W117" s="1">
        <f>'Asset Prices'!W117/'Asset Prices'!W118-1</f>
        <v>7.6530612244896101E-3</v>
      </c>
      <c r="X117" s="1">
        <f>'Asset Prices'!X117/'Asset Prices'!X118-1</f>
        <v>-5.7154119038234086E-3</v>
      </c>
      <c r="Y117" s="1">
        <f>'Asset Prices'!Y117/'Asset Prices'!Y118-1</f>
        <v>3.1421514818880336E-2</v>
      </c>
      <c r="Z117" s="1">
        <f>'Asset Prices'!Z117/'Asset Prices'!Z118-1</f>
        <v>-1.1228230980751652E-2</v>
      </c>
      <c r="AA117" s="1">
        <f>'Asset Prices'!AA117/'Asset Prices'!AA118-1</f>
        <v>-1.3623144037961166E-2</v>
      </c>
      <c r="AB117" s="1">
        <f>'Asset Prices'!AB117/'Asset Prices'!AB118-1</f>
        <v>-2.9520295202952074E-2</v>
      </c>
      <c r="AC117" s="1">
        <f>'Asset Prices'!AC117/'Asset Prices'!AC118-1</f>
        <v>-5.8470486325949866E-2</v>
      </c>
      <c r="AD117" s="1">
        <f>'Asset Prices'!AD117/'Asset Prices'!AD118-1</f>
        <v>3.4965034965035002E-2</v>
      </c>
      <c r="AE117" s="1">
        <f>'Asset Prices'!AE117/'Asset Prices'!AE118-1</f>
        <v>-3.421937060800484E-2</v>
      </c>
      <c r="AF117" s="1">
        <f>'Asset Prices'!AF117/'Asset Prices'!AF118-1</f>
        <v>-3.9929328621908122E-2</v>
      </c>
      <c r="AG117" s="1">
        <f>'Asset Prices'!AG117/'Asset Prices'!AG118-1</f>
        <v>5.6505576208178532E-2</v>
      </c>
      <c r="AH117" s="1">
        <f>'Asset Prices'!AH117/'Asset Prices'!AH118-1</f>
        <v>3.2056737588652462E-2</v>
      </c>
      <c r="AI117" s="1">
        <f>'Asset Prices'!AI117/'Asset Prices'!AI118-1</f>
        <v>1.6325112886419024E-2</v>
      </c>
      <c r="AJ117" s="1">
        <f>'Asset Prices'!AJ117/'Asset Prices'!AJ118-1</f>
        <v>5.0441361916773175E-3</v>
      </c>
      <c r="AK117" s="1">
        <f>'Asset Prices'!AK117/'Asset Prices'!AK118-1</f>
        <v>-7.3619631901841176E-3</v>
      </c>
      <c r="AL117" s="1">
        <f>'Asset Prices'!AL117/'Asset Prices'!AL118-1</f>
        <v>-4.3397968605724979E-2</v>
      </c>
      <c r="AM117" s="1">
        <f>'Asset Prices'!AM117/'Asset Prices'!AM118-1</f>
        <v>-1.0746606334841702E-2</v>
      </c>
      <c r="AN117" s="1">
        <f>'Asset Prices'!AN117/'Asset Prices'!AN118-1</f>
        <v>-9.4949494949494451E-3</v>
      </c>
      <c r="AO117" s="1">
        <f>'Asset Prices'!AO117/'Asset Prices'!AO118-1</f>
        <v>1.3552925030022367E-2</v>
      </c>
      <c r="AP117" s="1">
        <f>'Asset Prices'!AP117/'Asset Prices'!AP118-1</f>
        <v>1.0859211278338776E-2</v>
      </c>
      <c r="AQ117" s="1">
        <f>'Asset Prices'!AQ117/'Asset Prices'!AQ118-1</f>
        <v>-8.0320072469238335E-2</v>
      </c>
      <c r="AR117" s="1">
        <f>'Asset Prices'!AR117/'Asset Prices'!AR118-1</f>
        <v>3.6120011651616712E-2</v>
      </c>
      <c r="AS117" s="1">
        <f>'Asset Prices'!AS117/'Asset Prices'!AS118-1</f>
        <v>-3.4529914529914607E-2</v>
      </c>
      <c r="AT117" s="1">
        <f>'Asset Prices'!AT117/'Asset Prices'!AT118-1</f>
        <v>5.3102715824611124E-3</v>
      </c>
      <c r="AU117" s="1">
        <f>'Asset Prices'!AU117/'Asset Prices'!AU118-1</f>
        <v>6.4379431179204527E-3</v>
      </c>
      <c r="AV117" s="1">
        <f>'Asset Prices'!AV117/'Asset Prices'!AV118-1</f>
        <v>2.0313578542550115E-2</v>
      </c>
      <c r="AW117" s="1">
        <f>'Asset Prices'!AW117/'Asset Prices'!AW118-1</f>
        <v>-1.7679558011049812E-2</v>
      </c>
      <c r="AX117" s="1">
        <f>'Asset Prices'!AX117/'Asset Prices'!AX118-1</f>
        <v>-4.7783534830167063E-2</v>
      </c>
      <c r="AY117" s="1">
        <f>'Asset Prices'!AY117/'Asset Prices'!AY118-1</f>
        <v>-4.6765393608729777E-3</v>
      </c>
      <c r="AZ117" s="1">
        <f>'Asset Prices'!AZ117/'Asset Prices'!AZ118-1</f>
        <v>3.9341395891010489E-3</v>
      </c>
      <c r="BA117" s="1">
        <f>'Asset Prices'!BA117/'Asset Prices'!BA118-1</f>
        <v>-1.2686155543298439E-2</v>
      </c>
      <c r="BB117" s="1">
        <f>'Asset Prices'!BB117/'Asset Prices'!BB118-1</f>
        <v>-4.0245947456679643E-3</v>
      </c>
      <c r="BC117" s="1">
        <f>'Asset Prices'!BC117/'Asset Prices'!BC118-1</f>
        <v>-2.2822066577475875E-3</v>
      </c>
      <c r="BD117" s="1">
        <f>'Asset Prices'!BD117/'Asset Prices'!BD118-1</f>
        <v>-1.1576971214017462E-2</v>
      </c>
    </row>
    <row r="118" spans="3:56" x14ac:dyDescent="0.25">
      <c r="C118" s="38">
        <f>'Asset Prices'!C118</f>
        <v>43545</v>
      </c>
      <c r="D118" s="1">
        <f>'Asset Prices'!D118/'Asset Prices'!D119-1</f>
        <v>1.0376134889753752E-2</v>
      </c>
      <c r="E118" s="1">
        <f>'Asset Prices'!E118/'Asset Prices'!E119-1</f>
        <v>-5.0838574423480165E-2</v>
      </c>
      <c r="F118" s="1">
        <f>'Asset Prices'!F118/'Asset Prices'!F119-1</f>
        <v>1.3123057442155028E-2</v>
      </c>
      <c r="G118" s="1">
        <f>'Asset Prices'!G118/'Asset Prices'!G119-1</f>
        <v>1.8661639962299859E-2</v>
      </c>
      <c r="H118" s="1">
        <f>'Asset Prices'!H118/'Asset Prices'!H119-1</f>
        <v>2.7675966788840434E-3</v>
      </c>
      <c r="I118" s="1">
        <f>'Asset Prices'!I118/'Asset Prices'!I119-1</f>
        <v>-2.4034788740670998E-2</v>
      </c>
      <c r="J118" s="1">
        <f>'Asset Prices'!J118/'Asset Prices'!J119-1</f>
        <v>6.1829859032275669E-2</v>
      </c>
      <c r="K118" s="1">
        <f>'Asset Prices'!K118/'Asset Prices'!K119-1</f>
        <v>7.8898364388988451E-2</v>
      </c>
      <c r="L118" s="1">
        <f>'Asset Prices'!L118/'Asset Prices'!L119-1</f>
        <v>5.3090686137896581E-2</v>
      </c>
      <c r="M118" s="1">
        <f>'Asset Prices'!M118/'Asset Prices'!M119-1</f>
        <v>4.9131686883672199E-2</v>
      </c>
      <c r="N118" s="1">
        <f>'Asset Prices'!N118/'Asset Prices'!N119-1</f>
        <v>3.6560925092031349E-2</v>
      </c>
      <c r="O118" s="1">
        <f>'Asset Prices'!O118/'Asset Prices'!O119-1</f>
        <v>1.014676571842732E-2</v>
      </c>
      <c r="P118" s="1">
        <f>'Asset Prices'!P118/'Asset Prices'!P119-1</f>
        <v>-7.1508117929782733E-3</v>
      </c>
      <c r="Q118" s="1">
        <f>'Asset Prices'!Q118/'Asset Prices'!Q119-1</f>
        <v>0.13385031705642403</v>
      </c>
      <c r="R118" s="1">
        <f>'Asset Prices'!R118/'Asset Prices'!R119-1</f>
        <v>5.6980056980056037E-3</v>
      </c>
      <c r="S118" s="1">
        <f>'Asset Prices'!S118/'Asset Prices'!S119-1</f>
        <v>-8.8984351027924236E-3</v>
      </c>
      <c r="T118" s="1">
        <f>'Asset Prices'!T118/'Asset Prices'!T119-1</f>
        <v>4.5477344925597629E-2</v>
      </c>
      <c r="U118" s="1">
        <f>'Asset Prices'!U118/'Asset Prices'!U119-1</f>
        <v>2.9956243688993522E-2</v>
      </c>
      <c r="V118" s="1">
        <f>'Asset Prices'!V118/'Asset Prices'!V119-1</f>
        <v>-9.371095376926375E-3</v>
      </c>
      <c r="W118" s="1">
        <f>'Asset Prices'!W118/'Asset Prices'!W119-1</f>
        <v>2.4836601307189676E-2</v>
      </c>
      <c r="X118" s="1">
        <f>'Asset Prices'!X118/'Asset Prices'!X119-1</f>
        <v>-8.2095387021109412E-3</v>
      </c>
      <c r="Y118" s="1">
        <f>'Asset Prices'!Y118/'Asset Prices'!Y119-1</f>
        <v>4.4275684195443477E-2</v>
      </c>
      <c r="Z118" s="1">
        <f>'Asset Prices'!Z118/'Asset Prices'!Z119-1</f>
        <v>6.54296875E-2</v>
      </c>
      <c r="AA118" s="1">
        <f>'Asset Prices'!AA118/'Asset Prices'!AA119-1</f>
        <v>2.301319423135828E-3</v>
      </c>
      <c r="AB118" s="1">
        <f>'Asset Prices'!AB118/'Asset Prices'!AB119-1</f>
        <v>3.7037037037035425E-3</v>
      </c>
      <c r="AC118" s="1">
        <f>'Asset Prices'!AC118/'Asset Prices'!AC119-1</f>
        <v>4.4056847545219657E-2</v>
      </c>
      <c r="AD118" s="1">
        <f>'Asset Prices'!AD118/'Asset Prices'!AD119-1</f>
        <v>2.5089605734766929E-2</v>
      </c>
      <c r="AE118" s="1">
        <f>'Asset Prices'!AE118/'Asset Prices'!AE119-1</f>
        <v>-6.5791351505637197E-2</v>
      </c>
      <c r="AF118" s="1">
        <f>'Asset Prices'!AF118/'Asset Prices'!AF119-1</f>
        <v>-2.8188865398167673E-3</v>
      </c>
      <c r="AG118" s="1">
        <f>'Asset Prices'!AG118/'Asset Prices'!AG119-1</f>
        <v>8.6816321468452529E-4</v>
      </c>
      <c r="AH118" s="1">
        <f>'Asset Prices'!AH118/'Asset Prices'!AH119-1</f>
        <v>7.718696397941871E-3</v>
      </c>
      <c r="AI118" s="1">
        <f>'Asset Prices'!AI118/'Asset Prices'!AI119-1</f>
        <v>1.0175438596491171E-2</v>
      </c>
      <c r="AJ118" s="1">
        <f>'Asset Prices'!AJ118/'Asset Prices'!AJ119-1</f>
        <v>-5.557761016276308E-2</v>
      </c>
      <c r="AK118" s="1">
        <f>'Asset Prices'!AK118/'Asset Prices'!AK119-1</f>
        <v>-2.4536205864751692E-2</v>
      </c>
      <c r="AL118" s="1">
        <f>'Asset Prices'!AL118/'Asset Prices'!AL119-1</f>
        <v>1.4519906323185117E-2</v>
      </c>
      <c r="AM118" s="1">
        <f>'Asset Prices'!AM118/'Asset Prices'!AM119-1</f>
        <v>1.9093594639383316E-2</v>
      </c>
      <c r="AN118" s="1">
        <f>'Asset Prices'!AN118/'Asset Prices'!AN119-1</f>
        <v>2.4049650892164598E-2</v>
      </c>
      <c r="AO118" s="1">
        <f>'Asset Prices'!AO118/'Asset Prices'!AO119-1</f>
        <v>5.8671268334771209E-3</v>
      </c>
      <c r="AP118" s="1">
        <f>'Asset Prices'!AP118/'Asset Prices'!AP119-1</f>
        <v>7.4856046065259196E-3</v>
      </c>
      <c r="AQ118" s="1">
        <f>'Asset Prices'!AQ118/'Asset Prices'!AQ119-1</f>
        <v>4.7856351843062805E-2</v>
      </c>
      <c r="AR118" s="1">
        <f>'Asset Prices'!AR118/'Asset Prices'!AR119-1</f>
        <v>2.7229204069419533E-2</v>
      </c>
      <c r="AS118" s="1">
        <f>'Asset Prices'!AS118/'Asset Prices'!AS119-1</f>
        <v>4.4642857142857206E-2</v>
      </c>
      <c r="AT118" s="1">
        <f>'Asset Prices'!AT118/'Asset Prices'!AT119-1</f>
        <v>-3.1760435571689394E-3</v>
      </c>
      <c r="AU118" s="1">
        <f>'Asset Prices'!AU118/'Asset Prices'!AU119-1</f>
        <v>-2.7114881471497654E-2</v>
      </c>
      <c r="AV118" s="1">
        <f>'Asset Prices'!AV118/'Asset Prices'!AV119-1</f>
        <v>7.5509190263287618E-3</v>
      </c>
      <c r="AW118" s="1">
        <f>'Asset Prices'!AW118/'Asset Prices'!AW119-1</f>
        <v>3.6542132533406102E-2</v>
      </c>
      <c r="AX118" s="1">
        <f>'Asset Prices'!AX118/'Asset Prices'!AX119-1</f>
        <v>3.1472684085510849E-2</v>
      </c>
      <c r="AY118" s="1">
        <f>'Asset Prices'!AY118/'Asset Prices'!AY119-1</f>
        <v>8.6477987421385016E-3</v>
      </c>
      <c r="AZ118" s="1">
        <f>'Asset Prices'!AZ118/'Asset Prices'!AZ119-1</f>
        <v>4.0163685965444174E-2</v>
      </c>
      <c r="BA118" s="1">
        <f>'Asset Prices'!BA118/'Asset Prices'!BA119-1</f>
        <v>5.468295520651556E-2</v>
      </c>
      <c r="BB118" s="1">
        <f>'Asset Prices'!BB118/'Asset Prices'!BB119-1</f>
        <v>8.5691735257640289E-3</v>
      </c>
      <c r="BC118" s="1">
        <f>'Asset Prices'!BC118/'Asset Prices'!BC119-1</f>
        <v>-2.2770100502512713E-3</v>
      </c>
      <c r="BD118" s="1">
        <f>'Asset Prices'!BD118/'Asset Prices'!BD119-1</f>
        <v>-2.3625254582484767E-2</v>
      </c>
    </row>
    <row r="119" spans="3:56" x14ac:dyDescent="0.25">
      <c r="C119" s="38">
        <f>'Asset Prices'!C119</f>
        <v>43538</v>
      </c>
      <c r="D119" s="1">
        <f>'Asset Prices'!D119/'Asset Prices'!D120-1</f>
        <v>5.0194102022747211E-2</v>
      </c>
      <c r="E119" s="1">
        <f>'Asset Prices'!E119/'Asset Prices'!E120-1</f>
        <v>4.122445399526331E-3</v>
      </c>
      <c r="F119" s="1">
        <f>'Asset Prices'!F119/'Asset Prices'!F120-1</f>
        <v>1.8883415435139606E-2</v>
      </c>
      <c r="G119" s="1">
        <f>'Asset Prices'!G119/'Asset Prices'!G120-1</f>
        <v>8.9387599847849941E-3</v>
      </c>
      <c r="H119" s="1">
        <f>'Asset Prices'!H119/'Asset Prices'!H120-1</f>
        <v>6.7018072289155572E-3</v>
      </c>
      <c r="I119" s="1">
        <f>'Asset Prices'!I119/'Asset Prices'!I120-1</f>
        <v>6.1491160645656961E-3</v>
      </c>
      <c r="J119" s="1">
        <f>'Asset Prices'!J119/'Asset Prices'!J120-1</f>
        <v>6.5101449275362322E-2</v>
      </c>
      <c r="K119" s="1">
        <f>'Asset Prices'!K119/'Asset Prices'!K120-1</f>
        <v>3.7067560503090569E-2</v>
      </c>
      <c r="L119" s="1">
        <f>'Asset Prices'!L119/'Asset Prices'!L120-1</f>
        <v>1.7640385706182649E-2</v>
      </c>
      <c r="M119" s="1">
        <f>'Asset Prices'!M119/'Asset Prices'!M120-1</f>
        <v>3.8046924540266369E-2</v>
      </c>
      <c r="N119" s="1">
        <f>'Asset Prices'!N119/'Asset Prices'!N120-1</f>
        <v>3.6216709388712687E-2</v>
      </c>
      <c r="O119" s="1">
        <f>'Asset Prices'!O119/'Asset Prices'!O120-1</f>
        <v>-1.384794067720907E-2</v>
      </c>
      <c r="P119" s="1">
        <f>'Asset Prices'!P119/'Asset Prices'!P120-1</f>
        <v>1.7716535433071057E-2</v>
      </c>
      <c r="Q119" s="1">
        <f>'Asset Prices'!Q119/'Asset Prices'!Q120-1</f>
        <v>7.2979414951245936E-2</v>
      </c>
      <c r="R119" s="1">
        <f>'Asset Prices'!R119/'Asset Prices'!R120-1</f>
        <v>1.1527377521613813E-2</v>
      </c>
      <c r="S119" s="1">
        <f>'Asset Prices'!S119/'Asset Prices'!S120-1</f>
        <v>1.6214530714063091E-2</v>
      </c>
      <c r="T119" s="1">
        <f>'Asset Prices'!T119/'Asset Prices'!T120-1</f>
        <v>-2.1273114056619136E-2</v>
      </c>
      <c r="U119" s="1">
        <f>'Asset Prices'!U119/'Asset Prices'!U120-1</f>
        <v>-9.5015835972661611E-3</v>
      </c>
      <c r="V119" s="1">
        <f>'Asset Prices'!V119/'Asset Prices'!V120-1</f>
        <v>9.8843322818087387E-3</v>
      </c>
      <c r="W119" s="1">
        <f>'Asset Prices'!W119/'Asset Prices'!W120-1</f>
        <v>1.7888823181549274E-2</v>
      </c>
      <c r="X119" s="1">
        <f>'Asset Prices'!X119/'Asset Prices'!X120-1</f>
        <v>-2.4222773221438176E-2</v>
      </c>
      <c r="Y119" s="1">
        <f>'Asset Prices'!Y119/'Asset Prices'!Y120-1</f>
        <v>6.6636099648479163E-2</v>
      </c>
      <c r="Z119" s="1">
        <f>'Asset Prices'!Z119/'Asset Prices'!Z120-1</f>
        <v>3.5127621935809872E-2</v>
      </c>
      <c r="AA119" s="1">
        <f>'Asset Prices'!AA119/'Asset Prices'!AA120-1</f>
        <v>1.3528222671435275E-2</v>
      </c>
      <c r="AB119" s="1">
        <f>'Asset Prices'!AB119/'Asset Prices'!AB120-1</f>
        <v>6.2992125984252079E-2</v>
      </c>
      <c r="AC119" s="1">
        <f>'Asset Prices'!AC119/'Asset Prices'!AC120-1</f>
        <v>4.5451475653407236E-2</v>
      </c>
      <c r="AD119" s="1">
        <f>'Asset Prices'!AD119/'Asset Prices'!AD120-1</f>
        <v>5.5263710863626692E-2</v>
      </c>
      <c r="AE119" s="1">
        <f>'Asset Prices'!AE119/'Asset Prices'!AE120-1</f>
        <v>-1.3098591549295824E-2</v>
      </c>
      <c r="AF119" s="1">
        <f>'Asset Prices'!AF119/'Asset Prices'!AF120-1</f>
        <v>1.6475644699140313E-2</v>
      </c>
      <c r="AG119" s="1">
        <f>'Asset Prices'!AG119/'Asset Prices'!AG120-1</f>
        <v>-4.5679012345679615E-3</v>
      </c>
      <c r="AH119" s="1">
        <f>'Asset Prices'!AH119/'Asset Prices'!AH120-1</f>
        <v>-7.4847923829674867E-2</v>
      </c>
      <c r="AI119" s="1">
        <f>'Asset Prices'!AI119/'Asset Prices'!AI120-1</f>
        <v>-1.5764582238571023E-3</v>
      </c>
      <c r="AJ119" s="1">
        <f>'Asset Prices'!AJ119/'Asset Prices'!AJ120-1</f>
        <v>-1.5854141894570128E-3</v>
      </c>
      <c r="AK119" s="1">
        <f>'Asset Prices'!AK119/'Asset Prices'!AK120-1</f>
        <v>3.2118591723286016E-2</v>
      </c>
      <c r="AL119" s="1">
        <f>'Asset Prices'!AL119/'Asset Prices'!AL120-1</f>
        <v>2.9742765273311766E-2</v>
      </c>
      <c r="AM119" s="1">
        <f>'Asset Prices'!AM119/'Asset Prices'!AM120-1</f>
        <v>2.5339834515366366E-2</v>
      </c>
      <c r="AN119" s="1">
        <f>'Asset Prices'!AN119/'Asset Prices'!AN120-1</f>
        <v>3.3625574681920289E-2</v>
      </c>
      <c r="AO119" s="1">
        <f>'Asset Prices'!AO119/'Asset Prices'!AO120-1</f>
        <v>2.9307282415630631E-2</v>
      </c>
      <c r="AP119" s="1">
        <f>'Asset Prices'!AP119/'Asset Prices'!AP120-1</f>
        <v>6.763285024154575E-3</v>
      </c>
      <c r="AQ119" s="1">
        <f>'Asset Prices'!AQ119/'Asset Prices'!AQ120-1</f>
        <v>2.505473120895152E-2</v>
      </c>
      <c r="AR119" s="1">
        <f>'Asset Prices'!AR119/'Asset Prices'!AR120-1</f>
        <v>6.0204695966286081E-3</v>
      </c>
      <c r="AS119" s="1">
        <f>'Asset Prices'!AS119/'Asset Prices'!AS120-1</f>
        <v>4.3997017151379492E-2</v>
      </c>
      <c r="AT119" s="1">
        <f>'Asset Prices'!AT119/'Asset Prices'!AT120-1</f>
        <v>3.7953544861089039E-3</v>
      </c>
      <c r="AU119" s="1">
        <f>'Asset Prices'!AU119/'Asset Prices'!AU120-1</f>
        <v>2.2661855920866003E-2</v>
      </c>
      <c r="AV119" s="1">
        <f>'Asset Prices'!AV119/'Asset Prices'!AV120-1</f>
        <v>-2.4331136099263184E-2</v>
      </c>
      <c r="AW119" s="1">
        <f>'Asset Prices'!AW119/'Asset Prices'!AW120-1</f>
        <v>4.0401747716052983E-2</v>
      </c>
      <c r="AX119" s="1">
        <f>'Asset Prices'!AX119/'Asset Prices'!AX120-1</f>
        <v>4.1434755720469951E-2</v>
      </c>
      <c r="AY119" s="1">
        <f>'Asset Prices'!AY119/'Asset Prices'!AY120-1</f>
        <v>4.562268803945746E-2</v>
      </c>
      <c r="AZ119" s="1">
        <f>'Asset Prices'!AZ119/'Asset Prices'!AZ120-1</f>
        <v>-4.9766249434473053E-3</v>
      </c>
      <c r="BA119" s="1">
        <f>'Asset Prices'!BA119/'Asset Prices'!BA120-1</f>
        <v>1.6257759385161163E-2</v>
      </c>
      <c r="BB119" s="1">
        <f>'Asset Prices'!BB119/'Asset Prices'!BB120-1</f>
        <v>2.0950846091861264E-2</v>
      </c>
      <c r="BC119" s="1">
        <f>'Asset Prices'!BC119/'Asset Prices'!BC120-1</f>
        <v>2.7556885284623078E-3</v>
      </c>
      <c r="BD119" s="1">
        <f>'Asset Prices'!BD119/'Asset Prices'!BD120-1</f>
        <v>-2.1425012456402492E-2</v>
      </c>
    </row>
    <row r="120" spans="3:56" x14ac:dyDescent="0.25">
      <c r="C120" s="38">
        <f>'Asset Prices'!C120</f>
        <v>43531</v>
      </c>
      <c r="D120" s="1">
        <f>'Asset Prices'!D120/'Asset Prices'!D121-1</f>
        <v>-8.709154739400482E-3</v>
      </c>
      <c r="E120" s="1">
        <f>'Asset Prices'!E120/'Asset Prices'!E121-1</f>
        <v>1.0368663594469973E-2</v>
      </c>
      <c r="F120" s="1">
        <f>'Asset Prices'!F120/'Asset Prices'!F121-1</f>
        <v>-5.4823282398226425E-3</v>
      </c>
      <c r="G120" s="1">
        <f>'Asset Prices'!G120/'Asset Prices'!G121-1</f>
        <v>8.6322654901207496E-3</v>
      </c>
      <c r="H120" s="1">
        <f>'Asset Prices'!H120/'Asset Prices'!H121-1</f>
        <v>-3.3056647735546729E-2</v>
      </c>
      <c r="I120" s="1">
        <f>'Asset Prices'!I120/'Asset Prices'!I121-1</f>
        <v>4.7568906782285536E-2</v>
      </c>
      <c r="J120" s="1">
        <f>'Asset Prices'!J120/'Asset Prices'!J121-1</f>
        <v>-3.7539705457696471E-3</v>
      </c>
      <c r="K120" s="1">
        <f>'Asset Prices'!K120/'Asset Prices'!K121-1</f>
        <v>-8.4642920302713254E-3</v>
      </c>
      <c r="L120" s="1">
        <f>'Asset Prices'!L120/'Asset Prices'!L121-1</f>
        <v>-1.53588383133203E-2</v>
      </c>
      <c r="M120" s="1">
        <f>'Asset Prices'!M120/'Asset Prices'!M121-1</f>
        <v>-1.4638935999285896E-2</v>
      </c>
      <c r="N120" s="1">
        <f>'Asset Prices'!N120/'Asset Prices'!N121-1</f>
        <v>2.1570280946251685E-2</v>
      </c>
      <c r="O120" s="1">
        <f>'Asset Prices'!O120/'Asset Prices'!O121-1</f>
        <v>1.1293820021684109E-2</v>
      </c>
      <c r="P120" s="1">
        <f>'Asset Prices'!P120/'Asset Prices'!P121-1</f>
        <v>-8.9855757862379315E-3</v>
      </c>
      <c r="Q120" s="1">
        <f>'Asset Prices'!Q120/'Asset Prices'!Q121-1</f>
        <v>-0.10897015098273943</v>
      </c>
      <c r="R120" s="1">
        <f>'Asset Prices'!R120/'Asset Prices'!R121-1</f>
        <v>1.2030623405031138E-2</v>
      </c>
      <c r="S120" s="1">
        <f>'Asset Prices'!S120/'Asset Prices'!S121-1</f>
        <v>-3.1084861672365793E-3</v>
      </c>
      <c r="T120" s="1">
        <f>'Asset Prices'!T120/'Asset Prices'!T121-1</f>
        <v>-2.434740959527415E-2</v>
      </c>
      <c r="U120" s="1">
        <f>'Asset Prices'!U120/'Asset Prices'!U121-1</f>
        <v>-2.3441315318248335E-2</v>
      </c>
      <c r="V120" s="1">
        <f>'Asset Prices'!V120/'Asset Prices'!V121-1</f>
        <v>-8.9620675281366635E-3</v>
      </c>
      <c r="W120" s="1">
        <f>'Asset Prices'!W120/'Asset Prices'!W121-1</f>
        <v>-1.7431725740848392E-2</v>
      </c>
      <c r="X120" s="1">
        <f>'Asset Prices'!X120/'Asset Prices'!X121-1</f>
        <v>-6.441827266238398E-2</v>
      </c>
      <c r="Y120" s="1">
        <f>'Asset Prices'!Y120/'Asset Prices'!Y121-1</f>
        <v>-1.7715057799129186E-2</v>
      </c>
      <c r="Z120" s="1">
        <f>'Asset Prices'!Z120/'Asset Prices'!Z121-1</f>
        <v>-4.0029112081513829E-2</v>
      </c>
      <c r="AA120" s="1">
        <f>'Asset Prices'!AA120/'Asset Prices'!AA121-1</f>
        <v>-2.1305737330695407E-2</v>
      </c>
      <c r="AB120" s="1">
        <f>'Asset Prices'!AB120/'Asset Prices'!AB121-1</f>
        <v>-2.6819923371647403E-2</v>
      </c>
      <c r="AC120" s="1">
        <f>'Asset Prices'!AC120/'Asset Prices'!AC121-1</f>
        <v>-7.8397212543555028E-3</v>
      </c>
      <c r="AD120" s="1">
        <f>'Asset Prices'!AD120/'Asset Prices'!AD121-1</f>
        <v>-5.4816285998013914E-2</v>
      </c>
      <c r="AE120" s="1">
        <f>'Asset Prices'!AE120/'Asset Prices'!AE121-1</f>
        <v>-5.2701801200800591E-2</v>
      </c>
      <c r="AF120" s="1">
        <f>'Asset Prices'!AF120/'Asset Prices'!AF121-1</f>
        <v>-0.10713143588103602</v>
      </c>
      <c r="AG120" s="1">
        <f>'Asset Prices'!AG120/'Asset Prices'!AG121-1</f>
        <v>-8.1840852414418519E-2</v>
      </c>
      <c r="AH120" s="1">
        <f>'Asset Prices'!AH120/'Asset Prices'!AH121-1</f>
        <v>-3.2002048131080429E-2</v>
      </c>
      <c r="AI120" s="1">
        <f>'Asset Prices'!AI120/'Asset Prices'!AI121-1</f>
        <v>-1.9240680295481871E-2</v>
      </c>
      <c r="AJ120" s="1">
        <f>'Asset Prices'!AJ120/'Asset Prices'!AJ121-1</f>
        <v>3.5799522673030104E-3</v>
      </c>
      <c r="AK120" s="1">
        <f>'Asset Prices'!AK120/'Asset Prices'!AK121-1</f>
        <v>-3.0538922155688542E-2</v>
      </c>
      <c r="AL120" s="1">
        <f>'Asset Prices'!AL120/'Asset Prices'!AL121-1</f>
        <v>3.8570712973785337E-2</v>
      </c>
      <c r="AM120" s="1">
        <f>'Asset Prices'!AM120/'Asset Prices'!AM121-1</f>
        <v>-2.0053572721349333E-2</v>
      </c>
      <c r="AN120" s="1">
        <f>'Asset Prices'!AN120/'Asset Prices'!AN121-1</f>
        <v>-7.691899633971655E-3</v>
      </c>
      <c r="AO120" s="1">
        <f>'Asset Prices'!AO120/'Asset Prices'!AO121-1</f>
        <v>-1.0892480674631111E-2</v>
      </c>
      <c r="AP120" s="1">
        <f>'Asset Prices'!AP120/'Asset Prices'!AP121-1</f>
        <v>8.9686098654708779E-3</v>
      </c>
      <c r="AQ120" s="1">
        <f>'Asset Prices'!AQ120/'Asset Prices'!AQ121-1</f>
        <v>-9.2360906682366739E-2</v>
      </c>
      <c r="AR120" s="1">
        <f>'Asset Prices'!AR120/'Asset Prices'!AR121-1</f>
        <v>-2.637749120750299E-2</v>
      </c>
      <c r="AS120" s="1">
        <f>'Asset Prices'!AS120/'Asset Prices'!AS121-1</f>
        <v>1.6294050776809454E-2</v>
      </c>
      <c r="AT120" s="1">
        <f>'Asset Prices'!AT120/'Asset Prices'!AT121-1</f>
        <v>-2.4870466321243456E-2</v>
      </c>
      <c r="AU120" s="1">
        <f>'Asset Prices'!AU120/'Asset Prices'!AU121-1</f>
        <v>-8.5212428152257047E-3</v>
      </c>
      <c r="AV120" s="1">
        <f>'Asset Prices'!AV120/'Asset Prices'!AV121-1</f>
        <v>7.0902107339354314E-2</v>
      </c>
      <c r="AW120" s="1">
        <f>'Asset Prices'!AW120/'Asset Prices'!AW121-1</f>
        <v>-3.0264678369008924E-2</v>
      </c>
      <c r="AX120" s="1">
        <f>'Asset Prices'!AX120/'Asset Prices'!AX121-1</f>
        <v>-3.5202863961813824E-2</v>
      </c>
      <c r="AY120" s="1">
        <f>'Asset Prices'!AY120/'Asset Prices'!AY121-1</f>
        <v>-4.2879622344610513E-2</v>
      </c>
      <c r="AZ120" s="1">
        <f>'Asset Prices'!AZ120/'Asset Prices'!AZ121-1</f>
        <v>-1.8792542172240356E-2</v>
      </c>
      <c r="BA120" s="1">
        <f>'Asset Prices'!BA120/'Asset Prices'!BA121-1</f>
        <v>-1.2551079976649282E-2</v>
      </c>
      <c r="BB120" s="1">
        <f>'Asset Prices'!BB120/'Asset Prices'!BB121-1</f>
        <v>4.858299595141613E-3</v>
      </c>
      <c r="BC120" s="1">
        <f>'Asset Prices'!BC120/'Asset Prices'!BC121-1</f>
        <v>-3.8531415594246665E-2</v>
      </c>
      <c r="BD120" s="1">
        <f>'Asset Prices'!BD120/'Asset Prices'!BD121-1</f>
        <v>-2.563355665598599E-2</v>
      </c>
    </row>
    <row r="121" spans="3:56" x14ac:dyDescent="0.25">
      <c r="C121" s="38">
        <f>'Asset Prices'!C121</f>
        <v>43524</v>
      </c>
      <c r="D121" s="1">
        <f>'Asset Prices'!D121/'Asset Prices'!D122-1</f>
        <v>2.8611111111111143E-2</v>
      </c>
      <c r="E121" s="1">
        <f>'Asset Prices'!E121/'Asset Prices'!E122-1</f>
        <v>-1.2687024236591182E-2</v>
      </c>
      <c r="F121" s="1">
        <f>'Asset Prices'!F121/'Asset Prices'!F122-1</f>
        <v>2.1203097081596178E-2</v>
      </c>
      <c r="G121" s="1">
        <f>'Asset Prices'!G121/'Asset Prices'!G122-1</f>
        <v>3.8380349261180058E-4</v>
      </c>
      <c r="H121" s="1">
        <f>'Asset Prices'!H121/'Asset Prices'!H122-1</f>
        <v>-1.1088709677419262E-2</v>
      </c>
      <c r="I121" s="1">
        <f>'Asset Prices'!I121/'Asset Prices'!I122-1</f>
        <v>8.8102974256436539E-3</v>
      </c>
      <c r="J121" s="1">
        <f>'Asset Prices'!J121/'Asset Prices'!J122-1</f>
        <v>1.2217935227405663E-2</v>
      </c>
      <c r="K121" s="1">
        <f>'Asset Prices'!K121/'Asset Prices'!K122-1</f>
        <v>1.2590772118757032E-2</v>
      </c>
      <c r="L121" s="1">
        <f>'Asset Prices'!L121/'Asset Prices'!L122-1</f>
        <v>3.1655321175447781E-3</v>
      </c>
      <c r="M121" s="1">
        <f>'Asset Prices'!M121/'Asset Prices'!M122-1</f>
        <v>2.3946622794991379E-2</v>
      </c>
      <c r="N121" s="1">
        <f>'Asset Prices'!N121/'Asset Prices'!N122-1</f>
        <v>2.0231658833011812E-2</v>
      </c>
      <c r="O121" s="1">
        <f>'Asset Prices'!O121/'Asset Prices'!O122-1</f>
        <v>-4.6762589928057707E-3</v>
      </c>
      <c r="P121" s="1">
        <f>'Asset Prices'!P121/'Asset Prices'!P122-1</f>
        <v>2.1189254452158135E-2</v>
      </c>
      <c r="Q121" s="1">
        <f>'Asset Prices'!Q121/'Asset Prices'!Q122-1</f>
        <v>3.4927866362946203E-2</v>
      </c>
      <c r="R121" s="1">
        <f>'Asset Prices'!R121/'Asset Prices'!R122-1</f>
        <v>1.4603870025555743E-3</v>
      </c>
      <c r="S121" s="1">
        <f>'Asset Prices'!S121/'Asset Prices'!S122-1</f>
        <v>2.3870146403564663E-2</v>
      </c>
      <c r="T121" s="1">
        <f>'Asset Prices'!T121/'Asset Prices'!T122-1</f>
        <v>-1.6487398916542384E-2</v>
      </c>
      <c r="U121" s="1">
        <f>'Asset Prices'!U121/'Asset Prices'!U122-1</f>
        <v>-1.3006015282067684E-3</v>
      </c>
      <c r="V121" s="1">
        <f>'Asset Prices'!V121/'Asset Prices'!V122-1</f>
        <v>-2.5193010971150009E-2</v>
      </c>
      <c r="W121" s="1">
        <f>'Asset Prices'!W121/'Asset Prices'!W122-1</f>
        <v>0.15174836874686304</v>
      </c>
      <c r="X121" s="1">
        <f>'Asset Prices'!X121/'Asset Prices'!X122-1</f>
        <v>3.185417050266981E-2</v>
      </c>
      <c r="Y121" s="1">
        <f>'Asset Prices'!Y121/'Asset Prices'!Y122-1</f>
        <v>-8.6322369400207988E-3</v>
      </c>
      <c r="Z121" s="1">
        <f>'Asset Prices'!Z121/'Asset Prices'!Z122-1</f>
        <v>4.2225031605562569E-2</v>
      </c>
      <c r="AA121" s="1">
        <f>'Asset Prices'!AA121/'Asset Prices'!AA122-1</f>
        <v>2.8647463994990519E-2</v>
      </c>
      <c r="AB121" s="1">
        <f>'Asset Prices'!AB121/'Asset Prices'!AB122-1</f>
        <v>5.2419354838709742E-2</v>
      </c>
      <c r="AC121" s="1">
        <f>'Asset Prices'!AC121/'Asset Prices'!AC122-1</f>
        <v>0.25962187711006091</v>
      </c>
      <c r="AD121" s="1">
        <f>'Asset Prices'!AD121/'Asset Prices'!AD122-1</f>
        <v>-6.8627450980392135E-2</v>
      </c>
      <c r="AE121" s="1">
        <f>'Asset Prices'!AE121/'Asset Prices'!AE122-1</f>
        <v>-9.1221575885774842E-3</v>
      </c>
      <c r="AF121" s="1">
        <f>'Asset Prices'!AF121/'Asset Prices'!AF122-1</f>
        <v>-5.7280675309014262E-2</v>
      </c>
      <c r="AG121" s="1">
        <f>'Asset Prices'!AG121/'Asset Prices'!AG122-1</f>
        <v>7.3076044759077252E-3</v>
      </c>
      <c r="AH121" s="1">
        <f>'Asset Prices'!AH121/'Asset Prices'!AH122-1</f>
        <v>3.1423290203327348E-2</v>
      </c>
      <c r="AI121" s="1">
        <f>'Asset Prices'!AI121/'Asset Prices'!AI122-1</f>
        <v>-4.9572649572648952E-3</v>
      </c>
      <c r="AJ121" s="1">
        <f>'Asset Prices'!AJ121/'Asset Prices'!AJ122-1</f>
        <v>-1.1014948859166096E-2</v>
      </c>
      <c r="AK121" s="1">
        <f>'Asset Prices'!AK121/'Asset Prices'!AK122-1</f>
        <v>-4.5168667810177254E-2</v>
      </c>
      <c r="AL121" s="1">
        <f>'Asset Prices'!AL121/'Asset Prices'!AL122-1</f>
        <v>-2.2363695723147226E-2</v>
      </c>
      <c r="AM121" s="1">
        <f>'Asset Prices'!AM121/'Asset Prices'!AM122-1</f>
        <v>2.1038885664537155E-3</v>
      </c>
      <c r="AN121" s="1">
        <f>'Asset Prices'!AN121/'Asset Prices'!AN122-1</f>
        <v>4.957884635888643E-3</v>
      </c>
      <c r="AO121" s="1">
        <f>'Asset Prices'!AO121/'Asset Prices'!AO122-1</f>
        <v>1.371326803205708E-2</v>
      </c>
      <c r="AP121" s="1">
        <f>'Asset Prices'!AP121/'Asset Prices'!AP122-1</f>
        <v>2.3139836425294158E-2</v>
      </c>
      <c r="AQ121" s="1">
        <f>'Asset Prices'!AQ121/'Asset Prices'!AQ122-1</f>
        <v>2.6128983537230033E-2</v>
      </c>
      <c r="AR121" s="1">
        <f>'Asset Prices'!AR121/'Asset Prices'!AR122-1</f>
        <v>-3.6430386896356914E-2</v>
      </c>
      <c r="AS121" s="1">
        <f>'Asset Prices'!AS121/'Asset Prices'!AS122-1</f>
        <v>-0.15035415325177071</v>
      </c>
      <c r="AT121" s="1">
        <f>'Asset Prices'!AT121/'Asset Prices'!AT122-1</f>
        <v>4.6103509815587085E-3</v>
      </c>
      <c r="AU121" s="1">
        <f>'Asset Prices'!AU121/'Asset Prices'!AU122-1</f>
        <v>4.4410351649237789E-3</v>
      </c>
      <c r="AV121" s="1">
        <f>'Asset Prices'!AV121/'Asset Prices'!AV122-1</f>
        <v>-1.8242967794537379E-2</v>
      </c>
      <c r="AW121" s="1">
        <f>'Asset Prices'!AW121/'Asset Prices'!AW122-1</f>
        <v>1.564857765606642E-2</v>
      </c>
      <c r="AX121" s="1">
        <f>'Asset Prices'!AX121/'Asset Prices'!AX122-1</f>
        <v>1.2688821752265822E-2</v>
      </c>
      <c r="AY121" s="1">
        <f>'Asset Prices'!AY121/'Asset Prices'!AY122-1</f>
        <v>-2.0046260601387811E-2</v>
      </c>
      <c r="AZ121" s="1">
        <f>'Asset Prices'!AZ121/'Asset Prices'!AZ122-1</f>
        <v>1.7617828640265065E-2</v>
      </c>
      <c r="BA121" s="1">
        <f>'Asset Prices'!BA121/'Asset Prices'!BA122-1</f>
        <v>-2.4487471526195903E-2</v>
      </c>
      <c r="BB121" s="1">
        <f>'Asset Prices'!BB121/'Asset Prices'!BB122-1</f>
        <v>2.1264028352037778E-2</v>
      </c>
      <c r="BC121" s="1">
        <f>'Asset Prices'!BC121/'Asset Prices'!BC122-1</f>
        <v>-3.5907166836958271E-2</v>
      </c>
      <c r="BD121" s="1">
        <f>'Asset Prices'!BD121/'Asset Prices'!BD122-1</f>
        <v>4.9098502597534788E-2</v>
      </c>
    </row>
    <row r="122" spans="3:56" x14ac:dyDescent="0.25">
      <c r="C122" s="38">
        <f>'Asset Prices'!C122</f>
        <v>43517</v>
      </c>
      <c r="D122" s="1">
        <f>'Asset Prices'!D122/'Asset Prices'!D123-1</f>
        <v>5.8675607711651256E-3</v>
      </c>
      <c r="E122" s="1">
        <f>'Asset Prices'!E122/'Asset Prices'!E123-1</f>
        <v>3.2803180914513064E-2</v>
      </c>
      <c r="F122" s="1">
        <f>'Asset Prices'!F122/'Asset Prices'!F123-1</f>
        <v>-8.6206896551724865E-3</v>
      </c>
      <c r="G122" s="1">
        <f>'Asset Prices'!G122/'Asset Prices'!G123-1</f>
        <v>1.2237762237762295E-2</v>
      </c>
      <c r="H122" s="1">
        <f>'Asset Prices'!H122/'Asset Prices'!H123-1</f>
        <v>4.7202533554516535E-2</v>
      </c>
      <c r="I122" s="1">
        <f>'Asset Prices'!I122/'Asset Prices'!I123-1</f>
        <v>-2.3848734370234825E-2</v>
      </c>
      <c r="J122" s="1">
        <f>'Asset Prices'!J122/'Asset Prices'!J123-1</f>
        <v>1.5222482435597318E-3</v>
      </c>
      <c r="K122" s="1">
        <f>'Asset Prices'!K122/'Asset Prices'!K123-1</f>
        <v>-1.9782454626691148E-3</v>
      </c>
      <c r="L122" s="1">
        <f>'Asset Prices'!L122/'Asset Prices'!L123-1</f>
        <v>-5.8484418080039235E-3</v>
      </c>
      <c r="M122" s="1">
        <f>'Asset Prices'!M122/'Asset Prices'!M123-1</f>
        <v>2.3479887745556427E-2</v>
      </c>
      <c r="N122" s="1">
        <f>'Asset Prices'!N122/'Asset Prices'!N123-1</f>
        <v>-2.2130712008501585E-2</v>
      </c>
      <c r="O122" s="1">
        <f>'Asset Prices'!O122/'Asset Prices'!O123-1</f>
        <v>2.7726432532347411E-2</v>
      </c>
      <c r="P122" s="1">
        <f>'Asset Prices'!P122/'Asset Prices'!P123-1</f>
        <v>-4.7769602207404005E-2</v>
      </c>
      <c r="Q122" s="1">
        <f>'Asset Prices'!Q122/'Asset Prices'!Q123-1</f>
        <v>-2.0737786640080413E-3</v>
      </c>
      <c r="R122" s="1">
        <f>'Asset Prices'!R122/'Asset Prices'!R123-1</f>
        <v>2.8346161066266085E-2</v>
      </c>
      <c r="S122" s="1">
        <f>'Asset Prices'!S122/'Asset Prices'!S123-1</f>
        <v>2.847790507364989E-2</v>
      </c>
      <c r="T122" s="1">
        <f>'Asset Prices'!T122/'Asset Prices'!T123-1</f>
        <v>7.3764963749789247E-2</v>
      </c>
      <c r="U122" s="1">
        <f>'Asset Prices'!U122/'Asset Prices'!U123-1</f>
        <v>3.6045140643422569E-2</v>
      </c>
      <c r="V122" s="1">
        <f>'Asset Prices'!V122/'Asset Prices'!V123-1</f>
        <v>2.0315091210613589E-2</v>
      </c>
      <c r="W122" s="1">
        <f>'Asset Prices'!W122/'Asset Prices'!W123-1</f>
        <v>3.3573946617424522E-3</v>
      </c>
      <c r="X122" s="1">
        <f>'Asset Prices'!X122/'Asset Prices'!X123-1</f>
        <v>-6.3620689655172424E-2</v>
      </c>
      <c r="Y122" s="1">
        <f>'Asset Prices'!Y122/'Asset Prices'!Y123-1</f>
        <v>-2.0982077808538557E-2</v>
      </c>
      <c r="Z122" s="1">
        <f>'Asset Prices'!Z122/'Asset Prices'!Z123-1</f>
        <v>2.5142560912389866E-2</v>
      </c>
      <c r="AA122" s="1">
        <f>'Asset Prices'!AA122/'Asset Prices'!AA123-1</f>
        <v>0.11717383700594608</v>
      </c>
      <c r="AB122" s="1">
        <f>'Asset Prices'!AB122/'Asset Prices'!AB123-1</f>
        <v>-4.0160642570281624E-3</v>
      </c>
      <c r="AC122" s="1">
        <f>'Asset Prices'!AC122/'Asset Prices'!AC123-1</f>
        <v>9.4572718752663487E-3</v>
      </c>
      <c r="AD122" s="1">
        <f>'Asset Prices'!AD122/'Asset Prices'!AD123-1</f>
        <v>-9.2191435768261831E-2</v>
      </c>
      <c r="AE122" s="1">
        <f>'Asset Prices'!AE122/'Asset Prices'!AE123-1</f>
        <v>-3.4465151901965863E-2</v>
      </c>
      <c r="AF122" s="1">
        <f>'Asset Prices'!AF122/'Asset Prices'!AF123-1</f>
        <v>3.8509705698184016E-2</v>
      </c>
      <c r="AG122" s="1">
        <f>'Asset Prices'!AG122/'Asset Prices'!AG123-1</f>
        <v>5.0493458801927904E-3</v>
      </c>
      <c r="AH122" s="1">
        <f>'Asset Prices'!AH122/'Asset Prices'!AH123-1</f>
        <v>4.1242782513060128E-2</v>
      </c>
      <c r="AI122" s="1">
        <f>'Asset Prices'!AI122/'Asset Prices'!AI123-1</f>
        <v>4.3152639087018496E-2</v>
      </c>
      <c r="AJ122" s="1">
        <f>'Asset Prices'!AJ122/'Asset Prices'!AJ123-1</f>
        <v>-1.1664074650077683E-2</v>
      </c>
      <c r="AK122" s="1">
        <f>'Asset Prices'!AK122/'Asset Prices'!AK123-1</f>
        <v>-3.263274336283184E-2</v>
      </c>
      <c r="AL122" s="1">
        <f>'Asset Prices'!AL122/'Asset Prices'!AL123-1</f>
        <v>1.2227362855254276E-2</v>
      </c>
      <c r="AM122" s="1">
        <f>'Asset Prices'!AM122/'Asset Prices'!AM123-1</f>
        <v>9.9648300117234356E-3</v>
      </c>
      <c r="AN122" s="1">
        <f>'Asset Prices'!AN122/'Asset Prices'!AN123-1</f>
        <v>1.0994933707017429E-2</v>
      </c>
      <c r="AO122" s="1">
        <f>'Asset Prices'!AO122/'Asset Prices'!AO123-1</f>
        <v>3.9237460669998114E-2</v>
      </c>
      <c r="AP122" s="1">
        <f>'Asset Prices'!AP122/'Asset Prices'!AP123-1</f>
        <v>1.2727272727272698E-2</v>
      </c>
      <c r="AQ122" s="1">
        <f>'Asset Prices'!AQ122/'Asset Prices'!AQ123-1</f>
        <v>-1.5684233999851416E-2</v>
      </c>
      <c r="AR122" s="1">
        <f>'Asset Prices'!AR122/'Asset Prices'!AR123-1</f>
        <v>6.9465418302627757E-2</v>
      </c>
      <c r="AS122" s="1">
        <f>'Asset Prices'!AS122/'Asset Prices'!AS123-1</f>
        <v>-1.4593908629441654E-2</v>
      </c>
      <c r="AT122" s="1">
        <f>'Asset Prices'!AT122/'Asset Prices'!AT123-1</f>
        <v>1.0216346153846034E-2</v>
      </c>
      <c r="AU122" s="1">
        <f>'Asset Prices'!AU122/'Asset Prices'!AU123-1</f>
        <v>1.300560304282028E-2</v>
      </c>
      <c r="AV122" s="1">
        <f>'Asset Prices'!AV122/'Asset Prices'!AV123-1</f>
        <v>-4.1611691870495626E-3</v>
      </c>
      <c r="AW122" s="1">
        <f>'Asset Prices'!AW122/'Asset Prices'!AW123-1</f>
        <v>3.0833053032852664E-3</v>
      </c>
      <c r="AX122" s="1">
        <f>'Asset Prices'!AX122/'Asset Prices'!AX123-1</f>
        <v>-5.6980056980056926E-2</v>
      </c>
      <c r="AY122" s="1">
        <f>'Asset Prices'!AY122/'Asset Prices'!AY123-1</f>
        <v>1.6059537798668311E-2</v>
      </c>
      <c r="AZ122" s="1">
        <f>'Asset Prices'!AZ122/'Asset Prices'!AZ123-1</f>
        <v>3.4746026799626017E-2</v>
      </c>
      <c r="BA122" s="1">
        <f>'Asset Prices'!BA122/'Asset Prices'!BA123-1</f>
        <v>1.8266164105537719E-2</v>
      </c>
      <c r="BB122" s="1">
        <f>'Asset Prices'!BB122/'Asset Prices'!BB123-1</f>
        <v>2.2960725075528821E-2</v>
      </c>
      <c r="BC122" s="1">
        <f>'Asset Prices'!BC122/'Asset Prices'!BC123-1</f>
        <v>-1.9464720194647178E-2</v>
      </c>
      <c r="BD122" s="1">
        <f>'Asset Prices'!BD122/'Asset Prices'!BD123-1</f>
        <v>1.0707299495521516E-2</v>
      </c>
    </row>
    <row r="123" spans="3:56" x14ac:dyDescent="0.25">
      <c r="C123" s="38">
        <f>'Asset Prices'!C123</f>
        <v>43510</v>
      </c>
      <c r="D123" s="1">
        <f>'Asset Prices'!D123/'Asset Prices'!D124-1</f>
        <v>2.1331240636370152E-2</v>
      </c>
      <c r="E123" s="1">
        <f>'Asset Prices'!E123/'Asset Prices'!E124-1</f>
        <v>-2.613789995493554E-3</v>
      </c>
      <c r="F123" s="1">
        <f>'Asset Prices'!F123/'Asset Prices'!F124-1</f>
        <v>2.7794635271270796E-2</v>
      </c>
      <c r="G123" s="1">
        <f>'Asset Prices'!G123/'Asset Prices'!G124-1</f>
        <v>2.5089605734766929E-2</v>
      </c>
      <c r="H123" s="1">
        <f>'Asset Prices'!H123/'Asset Prices'!H124-1</f>
        <v>2.9818294766268183E-2</v>
      </c>
      <c r="I123" s="1">
        <f>'Asset Prices'!I123/'Asset Prices'!I124-1</f>
        <v>-1.4605120807789418E-2</v>
      </c>
      <c r="J123" s="1">
        <f>'Asset Prices'!J123/'Asset Prices'!J124-1</f>
        <v>-8.1900081900077026E-4</v>
      </c>
      <c r="K123" s="1">
        <f>'Asset Prices'!K123/'Asset Prices'!K124-1</f>
        <v>5.1289357458328411E-3</v>
      </c>
      <c r="L123" s="1">
        <f>'Asset Prices'!L123/'Asset Prices'!L124-1</f>
        <v>4.1658205448057872E-2</v>
      </c>
      <c r="M123" s="1">
        <f>'Asset Prices'!M123/'Asset Prices'!M124-1</f>
        <v>1.5483993540420071E-2</v>
      </c>
      <c r="N123" s="1">
        <f>'Asset Prices'!N123/'Asset Prices'!N124-1</f>
        <v>2.1059579893481395E-2</v>
      </c>
      <c r="O123" s="1">
        <f>'Asset Prices'!O123/'Asset Prices'!O124-1</f>
        <v>1.1593118922961887E-2</v>
      </c>
      <c r="P123" s="1">
        <f>'Asset Prices'!P123/'Asset Prices'!P124-1</f>
        <v>-5.1709278942835279E-4</v>
      </c>
      <c r="Q123" s="1">
        <f>'Asset Prices'!Q123/'Asset Prices'!Q124-1</f>
        <v>4.7191480476091119E-2</v>
      </c>
      <c r="R123" s="1">
        <f>'Asset Prices'!R123/'Asset Prices'!R124-1</f>
        <v>2.6350461133068936E-3</v>
      </c>
      <c r="S123" s="1">
        <f>'Asset Prices'!S123/'Asset Prices'!S124-1</f>
        <v>-1.6103059581320411E-2</v>
      </c>
      <c r="T123" s="1">
        <f>'Asset Prices'!T123/'Asset Prices'!T124-1</f>
        <v>2.6835180055401642E-2</v>
      </c>
      <c r="U123" s="1">
        <f>'Asset Prices'!U123/'Asset Prices'!U124-1</f>
        <v>-1.3456686291001274E-3</v>
      </c>
      <c r="V123" s="1">
        <f>'Asset Prices'!V123/'Asset Prices'!V124-1</f>
        <v>4.4381900844338684E-2</v>
      </c>
      <c r="W123" s="1">
        <f>'Asset Prices'!W123/'Asset Prices'!W124-1</f>
        <v>1.2062521236833268E-2</v>
      </c>
      <c r="X123" s="1">
        <f>'Asset Prices'!X123/'Asset Prices'!X124-1</f>
        <v>9.0466249130132237E-3</v>
      </c>
      <c r="Y123" s="1">
        <f>'Asset Prices'!Y123/'Asset Prices'!Y124-1</f>
        <v>1.239120814279393E-2</v>
      </c>
      <c r="Z123" s="1">
        <f>'Asset Prices'!Z123/'Asset Prices'!Z124-1</f>
        <v>5.2947598253274997E-2</v>
      </c>
      <c r="AA123" s="1">
        <f>'Asset Prices'!AA123/'Asset Prices'!AA124-1</f>
        <v>1.6714082503556105E-2</v>
      </c>
      <c r="AB123" s="1">
        <f>'Asset Prices'!AB123/'Asset Prices'!AB124-1</f>
        <v>5.0632911392405111E-2</v>
      </c>
      <c r="AC123" s="1">
        <f>'Asset Prices'!AC123/'Asset Prices'!AC124-1</f>
        <v>6.6515220354384397E-2</v>
      </c>
      <c r="AD123" s="1">
        <f>'Asset Prices'!AD123/'Asset Prices'!AD124-1</f>
        <v>9.6642929806713962E-3</v>
      </c>
      <c r="AE123" s="1">
        <f>'Asset Prices'!AE123/'Asset Prices'!AE124-1</f>
        <v>8.3990590839906121E-2</v>
      </c>
      <c r="AF123" s="1">
        <f>'Asset Prices'!AF123/'Asset Prices'!AF124-1</f>
        <v>1.719745222929947E-2</v>
      </c>
      <c r="AG123" s="1">
        <f>'Asset Prices'!AG123/'Asset Prices'!AG124-1</f>
        <v>5.958171206225682E-2</v>
      </c>
      <c r="AH123" s="1">
        <f>'Asset Prices'!AH123/'Asset Prices'!AH124-1</f>
        <v>1.563808991901694E-2</v>
      </c>
      <c r="AI123" s="1">
        <f>'Asset Prices'!AI123/'Asset Prices'!AI124-1</f>
        <v>5.8712478761563158E-2</v>
      </c>
      <c r="AJ123" s="1">
        <f>'Asset Prices'!AJ123/'Asset Prices'!AJ124-1</f>
        <v>-4.5994065281899199E-2</v>
      </c>
      <c r="AK123" s="1">
        <f>'Asset Prices'!AK123/'Asset Prices'!AK124-1</f>
        <v>-1.1049723756907381E-3</v>
      </c>
      <c r="AL123" s="1">
        <f>'Asset Prices'!AL123/'Asset Prices'!AL124-1</f>
        <v>4.9055295545155309E-2</v>
      </c>
      <c r="AM123" s="1">
        <f>'Asset Prices'!AM123/'Asset Prices'!AM124-1</f>
        <v>2.4701554170733386E-2</v>
      </c>
      <c r="AN123" s="1">
        <f>'Asset Prices'!AN123/'Asset Prices'!AN124-1</f>
        <v>2.6500691562932222E-2</v>
      </c>
      <c r="AO123" s="1">
        <f>'Asset Prices'!AO123/'Asset Prices'!AO124-1</f>
        <v>8.5868956505505967E-3</v>
      </c>
      <c r="AP123" s="1">
        <f>'Asset Prices'!AP123/'Asset Prices'!AP124-1</f>
        <v>2.0197856553998195E-2</v>
      </c>
      <c r="AQ123" s="1">
        <f>'Asset Prices'!AQ123/'Asset Prices'!AQ124-1</f>
        <v>4.9294126823180573E-2</v>
      </c>
      <c r="AR123" s="1">
        <f>'Asset Prices'!AR123/'Asset Prices'!AR124-1</f>
        <v>-1.8381262970649348E-2</v>
      </c>
      <c r="AS123" s="1">
        <f>'Asset Prices'!AS123/'Asset Prices'!AS124-1</f>
        <v>3.8550247116968528E-2</v>
      </c>
      <c r="AT123" s="1">
        <f>'Asset Prices'!AT123/'Asset Prices'!AT124-1</f>
        <v>2.2270004607587213E-2</v>
      </c>
      <c r="AU123" s="1">
        <f>'Asset Prices'!AU123/'Asset Prices'!AU124-1</f>
        <v>1.2212286802450789E-2</v>
      </c>
      <c r="AV123" s="1">
        <f>'Asset Prices'!AV123/'Asset Prices'!AV124-1</f>
        <v>2.4417539932850563E-3</v>
      </c>
      <c r="AW123" s="1">
        <f>'Asset Prices'!AW123/'Asset Prices'!AW124-1</f>
        <v>6.0712374383064871E-2</v>
      </c>
      <c r="AX123" s="1">
        <f>'Asset Prices'!AX123/'Asset Prices'!AX124-1</f>
        <v>8.4002470660901718E-2</v>
      </c>
      <c r="AY123" s="1">
        <f>'Asset Prices'!AY123/'Asset Prices'!AY124-1</f>
        <v>1.7536867277800017E-2</v>
      </c>
      <c r="AZ123" s="1">
        <f>'Asset Prices'!AZ123/'Asset Prices'!AZ124-1</f>
        <v>1.2302839116719255E-2</v>
      </c>
      <c r="BA123" s="1">
        <f>'Asset Prices'!BA123/'Asset Prices'!BA124-1</f>
        <v>2.679368859779685E-2</v>
      </c>
      <c r="BB123" s="1">
        <f>'Asset Prices'!BB123/'Asset Prices'!BB124-1</f>
        <v>-6.125390343502346E-3</v>
      </c>
      <c r="BC123" s="1">
        <f>'Asset Prices'!BC123/'Asset Prices'!BC124-1</f>
        <v>2.6594181604466582E-2</v>
      </c>
      <c r="BD123" s="1">
        <f>'Asset Prices'!BD123/'Asset Prices'!BD124-1</f>
        <v>-1.84975850375102E-3</v>
      </c>
    </row>
    <row r="124" spans="3:56" x14ac:dyDescent="0.25">
      <c r="C124" s="38">
        <f>'Asset Prices'!C124</f>
        <v>43503</v>
      </c>
      <c r="D124" s="1">
        <f>'Asset Prices'!D124/'Asset Prices'!D125-1</f>
        <v>3.8219391156210536E-2</v>
      </c>
      <c r="E124" s="1">
        <f>'Asset Prices'!E124/'Asset Prices'!E125-1</f>
        <v>-5.1111908177904342E-3</v>
      </c>
      <c r="F124" s="1">
        <f>'Asset Prices'!F124/'Asset Prices'!F125-1</f>
        <v>6.2286272594040959E-3</v>
      </c>
      <c r="G124" s="1">
        <f>'Asset Prices'!G124/'Asset Prices'!G125-1</f>
        <v>-1.990842126219361E-4</v>
      </c>
      <c r="H124" s="1">
        <f>'Asset Prices'!H124/'Asset Prices'!H125-1</f>
        <v>-3.2892760588765335E-2</v>
      </c>
      <c r="I124" s="1">
        <f>'Asset Prices'!I124/'Asset Prices'!I125-1</f>
        <v>-1.8597396364509189E-3</v>
      </c>
      <c r="J124" s="1">
        <f>'Asset Prices'!J124/'Asset Prices'!J125-1</f>
        <v>2.7036770007209832E-2</v>
      </c>
      <c r="K124" s="1">
        <f>'Asset Prices'!K124/'Asset Prices'!K125-1</f>
        <v>-6.0719252005841606E-2</v>
      </c>
      <c r="L124" s="1">
        <f>'Asset Prices'!L124/'Asset Prices'!L125-1</f>
        <v>1.5346097201767162E-2</v>
      </c>
      <c r="M124" s="1">
        <f>'Asset Prices'!M124/'Asset Prices'!M125-1</f>
        <v>8.0436656133293649E-3</v>
      </c>
      <c r="N124" s="1">
        <f>'Asset Prices'!N124/'Asset Prices'!N125-1</f>
        <v>-1.7745960973096886E-2</v>
      </c>
      <c r="O124" s="1">
        <f>'Asset Prices'!O124/'Asset Prices'!O125-1</f>
        <v>8.1055607917059902E-3</v>
      </c>
      <c r="P124" s="1">
        <f>'Asset Prices'!P124/'Asset Prices'!P125-1</f>
        <v>2.2457675918461373E-3</v>
      </c>
      <c r="Q124" s="1">
        <f>'Asset Prices'!Q124/'Asset Prices'!Q125-1</f>
        <v>-3.8160273147218371E-2</v>
      </c>
      <c r="R124" s="1">
        <f>'Asset Prices'!R124/'Asset Prices'!R125-1</f>
        <v>1.4705882352941346E-2</v>
      </c>
      <c r="S124" s="1">
        <f>'Asset Prices'!S124/'Asset Prices'!S125-1</f>
        <v>-8.6206896551723755E-3</v>
      </c>
      <c r="T124" s="1">
        <f>'Asset Prices'!T124/'Asset Prices'!T125-1</f>
        <v>8.6440233999824923E-3</v>
      </c>
      <c r="U124" s="1">
        <f>'Asset Prices'!U124/'Asset Prices'!U125-1</f>
        <v>1.8677176148046648E-2</v>
      </c>
      <c r="V124" s="1">
        <f>'Asset Prices'!V124/'Asset Prices'!V125-1</f>
        <v>-2.5938422606495259E-2</v>
      </c>
      <c r="W124" s="1">
        <f>'Asset Prices'!W124/'Asset Prices'!W125-1</f>
        <v>-6.4145847400405298E-3</v>
      </c>
      <c r="X124" s="1">
        <f>'Asset Prices'!X124/'Asset Prices'!X125-1</f>
        <v>1.2684989429175397E-2</v>
      </c>
      <c r="Y124" s="1">
        <f>'Asset Prices'!Y124/'Asset Prices'!Y125-1</f>
        <v>3.2597105864432541E-2</v>
      </c>
      <c r="Z124" s="1">
        <f>'Asset Prices'!Z124/'Asset Prices'!Z125-1</f>
        <v>1.8626633305532492E-2</v>
      </c>
      <c r="AA124" s="1">
        <f>'Asset Prices'!AA124/'Asset Prices'!AA125-1</f>
        <v>-8.8825723929641942E-4</v>
      </c>
      <c r="AB124" s="1">
        <f>'Asset Prices'!AB124/'Asset Prices'!AB125-1</f>
        <v>5.8035714285714191E-2</v>
      </c>
      <c r="AC124" s="1">
        <f>'Asset Prices'!AC124/'Asset Prices'!AC125-1</f>
        <v>5.9905614947510344E-2</v>
      </c>
      <c r="AD124" s="1">
        <f>'Asset Prices'!AD124/'Asset Prices'!AD125-1</f>
        <v>-2.9615004935834244E-2</v>
      </c>
      <c r="AE124" s="1">
        <f>'Asset Prices'!AE124/'Asset Prices'!AE125-1</f>
        <v>3.5980504587155737E-2</v>
      </c>
      <c r="AF124" s="1">
        <f>'Asset Prices'!AF124/'Asset Prices'!AF125-1</f>
        <v>-2.7261462205700249E-2</v>
      </c>
      <c r="AG124" s="1">
        <f>'Asset Prices'!AG124/'Asset Prices'!AG125-1</f>
        <v>5.2066009978252392E-2</v>
      </c>
      <c r="AH124" s="1">
        <f>'Asset Prices'!AH124/'Asset Prices'!AH125-1</f>
        <v>1.4160294534126372E-2</v>
      </c>
      <c r="AI124" s="1">
        <f>'Asset Prices'!AI124/'Asset Prices'!AI125-1</f>
        <v>-9.4304036212755626E-4</v>
      </c>
      <c r="AJ124" s="1">
        <f>'Asset Prices'!AJ124/'Asset Prices'!AJ125-1</f>
        <v>5.5185909980430603E-2</v>
      </c>
      <c r="AK124" s="1">
        <f>'Asset Prices'!AK124/'Asset Prices'!AK125-1</f>
        <v>6.1145080600335522E-3</v>
      </c>
      <c r="AL124" s="1">
        <f>'Asset Prices'!AL124/'Asset Prices'!AL125-1</f>
        <v>1.2638230647709303E-2</v>
      </c>
      <c r="AM124" s="1">
        <f>'Asset Prices'!AM124/'Asset Prices'!AM125-1</f>
        <v>-9.1504240440409834E-3</v>
      </c>
      <c r="AN124" s="1">
        <f>'Asset Prices'!AN124/'Asset Prices'!AN125-1</f>
        <v>1.7908430478121407E-2</v>
      </c>
      <c r="AO124" s="1">
        <f>'Asset Prices'!AO124/'Asset Prices'!AO125-1</f>
        <v>-2.7061387577188567E-2</v>
      </c>
      <c r="AP124" s="1">
        <f>'Asset Prices'!AP124/'Asset Prices'!AP125-1</f>
        <v>-2.4331389503317813E-2</v>
      </c>
      <c r="AQ124" s="1">
        <f>'Asset Prices'!AQ124/'Asset Prices'!AQ125-1</f>
        <v>2.6994553027875678E-2</v>
      </c>
      <c r="AR124" s="1">
        <f>'Asset Prices'!AR124/'Asset Prices'!AR125-1</f>
        <v>-1.1140428026971461E-2</v>
      </c>
      <c r="AS124" s="1">
        <f>'Asset Prices'!AS124/'Asset Prices'!AS125-1</f>
        <v>1.3355592654424209E-2</v>
      </c>
      <c r="AT124" s="1">
        <f>'Asset Prices'!AT124/'Asset Prices'!AT125-1</f>
        <v>1.9733750978856657E-2</v>
      </c>
      <c r="AU124" s="1">
        <f>'Asset Prices'!AU124/'Asset Prices'!AU125-1</f>
        <v>-3.1668403752104557E-2</v>
      </c>
      <c r="AV124" s="1">
        <f>'Asset Prices'!AV124/'Asset Prices'!AV125-1</f>
        <v>1.5077971702984749E-2</v>
      </c>
      <c r="AW124" s="1">
        <f>'Asset Prices'!AW124/'Asset Prices'!AW125-1</f>
        <v>0.13444414463032905</v>
      </c>
      <c r="AX124" s="1">
        <f>'Asset Prices'!AX124/'Asset Prices'!AX125-1</f>
        <v>-8.4276018099547434E-2</v>
      </c>
      <c r="AY124" s="1">
        <f>'Asset Prices'!AY124/'Asset Prices'!AY125-1</f>
        <v>-1.607843137254894E-2</v>
      </c>
      <c r="AZ124" s="1">
        <f>'Asset Prices'!AZ124/'Asset Prices'!AZ125-1</f>
        <v>-1.2461059190031154E-2</v>
      </c>
      <c r="BA124" s="1">
        <f>'Asset Prices'!BA124/'Asset Prices'!BA125-1</f>
        <v>4.7861202512713419E-3</v>
      </c>
      <c r="BB124" s="1">
        <f>'Asset Prices'!BB124/'Asset Prices'!BB125-1</f>
        <v>1.351186853317099E-2</v>
      </c>
      <c r="BC124" s="1">
        <f>'Asset Prices'!BC124/'Asset Prices'!BC125-1</f>
        <v>4.7076923076923016E-2</v>
      </c>
      <c r="BD124" s="1">
        <f>'Asset Prices'!BD124/'Asset Prices'!BD125-1</f>
        <v>9.5445585641664721E-3</v>
      </c>
    </row>
    <row r="125" spans="3:56" x14ac:dyDescent="0.25">
      <c r="C125" s="38">
        <f>'Asset Prices'!C125</f>
        <v>43496</v>
      </c>
      <c r="D125" s="1">
        <f>'Asset Prices'!D125/'Asset Prices'!D126-1</f>
        <v>-1.9535221496005839E-2</v>
      </c>
      <c r="E125" s="1">
        <f>'Asset Prices'!E125/'Asset Prices'!E126-1</f>
        <v>8.774310266847607E-3</v>
      </c>
      <c r="F125" s="1">
        <f>'Asset Prices'!F125/'Asset Prices'!F126-1</f>
        <v>1.7901541521631037E-2</v>
      </c>
      <c r="G125" s="1">
        <f>'Asset Prices'!G125/'Asset Prices'!G126-1</f>
        <v>2.0934959349593329E-2</v>
      </c>
      <c r="H125" s="1">
        <f>'Asset Prices'!H125/'Asset Prices'!H126-1</f>
        <v>3.2396594590522465E-3</v>
      </c>
      <c r="I125" s="1">
        <f>'Asset Prices'!I125/'Asset Prices'!I126-1</f>
        <v>0.14304326956044688</v>
      </c>
      <c r="J125" s="1">
        <f>'Asset Prices'!J125/'Asset Prices'!J126-1</f>
        <v>8.998035363457757E-2</v>
      </c>
      <c r="K125" s="1">
        <f>'Asset Prices'!K125/'Asset Prices'!K126-1</f>
        <v>3.8551479518771137E-2</v>
      </c>
      <c r="L125" s="1">
        <f>'Asset Prices'!L125/'Asset Prices'!L126-1</f>
        <v>3.9275109437658662E-2</v>
      </c>
      <c r="M125" s="1">
        <f>'Asset Prices'!M125/'Asset Prices'!M126-1</f>
        <v>-1.6666666666666607E-2</v>
      </c>
      <c r="N125" s="1">
        <f>'Asset Prices'!N125/'Asset Prices'!N126-1</f>
        <v>3.8643911439114387E-2</v>
      </c>
      <c r="O125" s="1">
        <f>'Asset Prices'!O125/'Asset Prices'!O126-1</f>
        <v>6.9279681123659564E-3</v>
      </c>
      <c r="P125" s="1">
        <f>'Asset Prices'!P125/'Asset Prices'!P126-1</f>
        <v>5.3826081679713589E-2</v>
      </c>
      <c r="Q125" s="1">
        <f>'Asset Prices'!Q125/'Asset Prices'!Q126-1</f>
        <v>0.12815516381927772</v>
      </c>
      <c r="R125" s="1">
        <f>'Asset Prices'!R125/'Asset Prices'!R126-1</f>
        <v>1.8875267561782483E-2</v>
      </c>
      <c r="S125" s="1">
        <f>'Asset Prices'!S125/'Asset Prices'!S126-1</f>
        <v>1.7543859649122862E-2</v>
      </c>
      <c r="T125" s="1">
        <f>'Asset Prices'!T125/'Asset Prices'!T126-1</f>
        <v>5.8111603843311155E-2</v>
      </c>
      <c r="U125" s="1">
        <f>'Asset Prices'!U125/'Asset Prices'!U126-1</f>
        <v>3.5302465850629794E-2</v>
      </c>
      <c r="V125" s="1">
        <f>'Asset Prices'!V125/'Asset Prices'!V126-1</f>
        <v>5.6830844662357993E-2</v>
      </c>
      <c r="W125" s="1">
        <f>'Asset Prices'!W125/'Asset Prices'!W126-1</f>
        <v>2.8472222222222232E-2</v>
      </c>
      <c r="X125" s="1">
        <f>'Asset Prices'!X125/'Asset Prices'!X126-1</f>
        <v>4.7039291643608205E-2</v>
      </c>
      <c r="Y125" s="1">
        <f>'Asset Prices'!Y125/'Asset Prices'!Y126-1</f>
        <v>-3.1425199173797602E-2</v>
      </c>
      <c r="Z125" s="1">
        <f>'Asset Prices'!Z125/'Asset Prices'!Z126-1</f>
        <v>-2.7723870252287508E-3</v>
      </c>
      <c r="AA125" s="1">
        <f>'Asset Prices'!AA125/'Asset Prices'!AA126-1</f>
        <v>3.2465150403521603E-2</v>
      </c>
      <c r="AB125" s="1">
        <f>'Asset Prices'!AB125/'Asset Prices'!AB126-1</f>
        <v>1.5873015873016039E-2</v>
      </c>
      <c r="AC125" s="1">
        <f>'Asset Prices'!AC125/'Asset Prices'!AC126-1</f>
        <v>5.027311349382968E-2</v>
      </c>
      <c r="AD125" s="1">
        <f>'Asset Prices'!AD125/'Asset Prices'!AD126-1</f>
        <v>-1.6425755584756896E-3</v>
      </c>
      <c r="AE125" s="1">
        <f>'Asset Prices'!AE125/'Asset Prices'!AE126-1</f>
        <v>4.6033888139151324E-2</v>
      </c>
      <c r="AF125" s="1">
        <f>'Asset Prices'!AF125/'Asset Prices'!AF126-1</f>
        <v>4.0954530796517341E-2</v>
      </c>
      <c r="AG125" s="1">
        <f>'Asset Prices'!AG125/'Asset Prices'!AG126-1</f>
        <v>4.0186294078509599E-2</v>
      </c>
      <c r="AH125" s="1">
        <f>'Asset Prices'!AH125/'Asset Prices'!AH126-1</f>
        <v>2.8846153846153966E-2</v>
      </c>
      <c r="AI125" s="1">
        <f>'Asset Prices'!AI125/'Asset Prices'!AI126-1</f>
        <v>-2.8211397404551697E-3</v>
      </c>
      <c r="AJ125" s="1">
        <f>'Asset Prices'!AJ125/'Asset Prices'!AJ126-1</f>
        <v>-2.1072796934865967E-2</v>
      </c>
      <c r="AK125" s="1">
        <f>'Asset Prices'!AK125/'Asset Prices'!AK126-1</f>
        <v>-7.1743929359824321E-3</v>
      </c>
      <c r="AL125" s="1">
        <f>'Asset Prices'!AL125/'Asset Prices'!AL126-1</f>
        <v>3.3188248095756157E-2</v>
      </c>
      <c r="AM125" s="1">
        <f>'Asset Prices'!AM125/'Asset Prices'!AM126-1</f>
        <v>1.426092205538354E-2</v>
      </c>
      <c r="AN125" s="1">
        <f>'Asset Prices'!AN125/'Asset Prices'!AN126-1</f>
        <v>6.1386730424387137E-2</v>
      </c>
      <c r="AO125" s="1">
        <f>'Asset Prices'!AO125/'Asset Prices'!AO126-1</f>
        <v>-3.5219905379358596E-2</v>
      </c>
      <c r="AP125" s="1">
        <f>'Asset Prices'!AP125/'Asset Prices'!AP126-1</f>
        <v>2.1569433032045948E-2</v>
      </c>
      <c r="AQ125" s="1">
        <f>'Asset Prices'!AQ125/'Asset Prices'!AQ126-1</f>
        <v>4.0766986244268555E-2</v>
      </c>
      <c r="AR125" s="1">
        <f>'Asset Prices'!AR125/'Asset Prices'!AR126-1</f>
        <v>5.9975139838408964E-2</v>
      </c>
      <c r="AS125" s="1">
        <f>'Asset Prices'!AS125/'Asset Prices'!AS126-1</f>
        <v>6.1680255228642178E-2</v>
      </c>
      <c r="AT125" s="1">
        <f>'Asset Prices'!AT125/'Asset Prices'!AT126-1</f>
        <v>2.1109867263713333E-2</v>
      </c>
      <c r="AU125" s="1">
        <f>'Asset Prices'!AU125/'Asset Prices'!AU126-1</f>
        <v>3.6307743436357676E-2</v>
      </c>
      <c r="AV125" s="1">
        <f>'Asset Prices'!AV125/'Asset Prices'!AV126-1</f>
        <v>2.4005922165820648E-2</v>
      </c>
      <c r="AW125" s="1">
        <f>'Asset Prices'!AW125/'Asset Prices'!AW126-1</f>
        <v>7.0402195104339649E-2</v>
      </c>
      <c r="AX125" s="1">
        <f>'Asset Prices'!AX125/'Asset Prices'!AX126-1</f>
        <v>2.7906976744185963E-2</v>
      </c>
      <c r="AY125" s="1">
        <f>'Asset Prices'!AY125/'Asset Prices'!AY126-1</f>
        <v>3.2806804374240661E-2</v>
      </c>
      <c r="AZ125" s="1">
        <f>'Asset Prices'!AZ125/'Asset Prices'!AZ126-1</f>
        <v>4.0687307505268278E-2</v>
      </c>
      <c r="BA125" s="1">
        <f>'Asset Prices'!BA125/'Asset Prices'!BA126-1</f>
        <v>3.0200308166409728E-2</v>
      </c>
      <c r="BB125" s="1">
        <f>'Asset Prices'!BB125/'Asset Prices'!BB126-1</f>
        <v>-1.3805522208883425E-2</v>
      </c>
      <c r="BC125" s="1">
        <f>'Asset Prices'!BC125/'Asset Prices'!BC126-1</f>
        <v>7.039934129271308E-2</v>
      </c>
      <c r="BD125" s="1">
        <f>'Asset Prices'!BD125/'Asset Prices'!BD126-1</f>
        <v>4.151530877012366E-4</v>
      </c>
    </row>
    <row r="126" spans="3:56" x14ac:dyDescent="0.25">
      <c r="C126" s="38">
        <f>'Asset Prices'!C126</f>
        <v>43489</v>
      </c>
      <c r="D126" s="1">
        <f>'Asset Prices'!D126/'Asset Prices'!D127-1</f>
        <v>3.0594405594404073E-3</v>
      </c>
      <c r="E126" s="1">
        <f>'Asset Prices'!E126/'Asset Prices'!E127-1</f>
        <v>-4.1437708314566724E-3</v>
      </c>
      <c r="F126" s="1">
        <f>'Asset Prices'!F126/'Asset Prices'!F127-1</f>
        <v>1.6555036016681512E-2</v>
      </c>
      <c r="G126" s="1">
        <f>'Asset Prices'!G126/'Asset Prices'!G127-1</f>
        <v>1.2762453684644015E-2</v>
      </c>
      <c r="H126" s="1">
        <f>'Asset Prices'!H126/'Asset Prices'!H127-1</f>
        <v>-1.3453248104652871E-2</v>
      </c>
      <c r="I126" s="1">
        <f>'Asset Prices'!I126/'Asset Prices'!I127-1</f>
        <v>-1.6655428186109211E-2</v>
      </c>
      <c r="J126" s="1">
        <f>'Asset Prices'!J126/'Asset Prices'!J127-1</f>
        <v>-2.0274605415116276E-2</v>
      </c>
      <c r="K126" s="1">
        <f>'Asset Prices'!K126/'Asset Prices'!K127-1</f>
        <v>-2.2613718240984571E-2</v>
      </c>
      <c r="L126" s="1">
        <f>'Asset Prices'!L126/'Asset Prices'!L127-1</f>
        <v>-7.508706362014772E-2</v>
      </c>
      <c r="M126" s="1">
        <f>'Asset Prices'!M126/'Asset Prices'!M127-1</f>
        <v>7.5386355069739786E-4</v>
      </c>
      <c r="N126" s="1">
        <f>'Asset Prices'!N126/'Asset Prices'!N127-1</f>
        <v>-1.3756459713225033E-2</v>
      </c>
      <c r="O126" s="1">
        <f>'Asset Prices'!O126/'Asset Prices'!O127-1</f>
        <v>-2.2360363703841091E-2</v>
      </c>
      <c r="P126" s="1">
        <f>'Asset Prices'!P126/'Asset Prices'!P127-1</f>
        <v>2.7625342978298661E-2</v>
      </c>
      <c r="Q126" s="1">
        <f>'Asset Prices'!Q126/'Asset Prices'!Q127-1</f>
        <v>3.7616965251328294E-2</v>
      </c>
      <c r="R126" s="1">
        <f>'Asset Prices'!R126/'Asset Prices'!R127-1</f>
        <v>1.3809429867824186E-2</v>
      </c>
      <c r="S126" s="1">
        <f>'Asset Prices'!S126/'Asset Prices'!S127-1</f>
        <v>2.943143812709037E-2</v>
      </c>
      <c r="T126" s="1">
        <f>'Asset Prices'!T126/'Asset Prices'!T127-1</f>
        <v>-2.120401954457507E-3</v>
      </c>
      <c r="U126" s="1">
        <f>'Asset Prices'!U126/'Asset Prices'!U127-1</f>
        <v>-1.1919368974583677E-2</v>
      </c>
      <c r="V126" s="1">
        <f>'Asset Prices'!V126/'Asset Prices'!V127-1</f>
        <v>2.0098258150960113E-3</v>
      </c>
      <c r="W126" s="1">
        <f>'Asset Prices'!W126/'Asset Prices'!W127-1</f>
        <v>-3.8049117952265732E-3</v>
      </c>
      <c r="X126" s="1">
        <f>'Asset Prices'!X126/'Asset Prices'!X127-1</f>
        <v>7.1555643407787972E-2</v>
      </c>
      <c r="Y126" s="1">
        <f>'Asset Prices'!Y126/'Asset Prices'!Y127-1</f>
        <v>2.0697811945595834E-3</v>
      </c>
      <c r="Z126" s="1">
        <f>'Asset Prices'!Z126/'Asset Prices'!Z127-1</f>
        <v>-6.8440082644628086E-2</v>
      </c>
      <c r="AA126" s="1">
        <f>'Asset Prices'!AA126/'Asset Prices'!AA127-1</f>
        <v>4.7917434574273887E-3</v>
      </c>
      <c r="AB126" s="1">
        <f>'Asset Prices'!AB126/'Asset Prices'!AB127-1</f>
        <v>3.0373831775700966E-2</v>
      </c>
      <c r="AC126" s="1">
        <f>'Asset Prices'!AC126/'Asset Prices'!AC127-1</f>
        <v>1.4989733059548094E-2</v>
      </c>
      <c r="AD126" s="1">
        <f>'Asset Prices'!AD126/'Asset Prices'!AD127-1</f>
        <v>-1.4727302152451771E-2</v>
      </c>
      <c r="AE126" s="1">
        <f>'Asset Prices'!AE126/'Asset Prices'!AE127-1</f>
        <v>-2.4286759326993423E-2</v>
      </c>
      <c r="AF126" s="1">
        <f>'Asset Prices'!AF126/'Asset Prices'!AF127-1</f>
        <v>-2.9724655819774681E-2</v>
      </c>
      <c r="AG126" s="1">
        <f>'Asset Prices'!AG126/'Asset Prices'!AG127-1</f>
        <v>-7.7898072352784453E-3</v>
      </c>
      <c r="AH126" s="1">
        <f>'Asset Prices'!AH126/'Asset Prices'!AH127-1</f>
        <v>2.9702970297029729E-2</v>
      </c>
      <c r="AI126" s="1">
        <f>'Asset Prices'!AI126/'Asset Prices'!AI127-1</f>
        <v>1.9950124688279391E-2</v>
      </c>
      <c r="AJ126" s="1">
        <f>'Asset Prices'!AJ126/'Asset Prices'!AJ127-1</f>
        <v>-7.2270825408899952E-3</v>
      </c>
      <c r="AK126" s="1">
        <f>'Asset Prices'!AK126/'Asset Prices'!AK127-1</f>
        <v>3.8395415472779471E-2</v>
      </c>
      <c r="AL126" s="1">
        <f>'Asset Prices'!AL126/'Asset Prices'!AL127-1</f>
        <v>3.0461595963371391E-2</v>
      </c>
      <c r="AM126" s="1">
        <f>'Asset Prices'!AM126/'Asset Prices'!AM127-1</f>
        <v>8.4622309517963901E-2</v>
      </c>
      <c r="AN126" s="1">
        <f>'Asset Prices'!AN126/'Asset Prices'!AN127-1</f>
        <v>1.7578006204002294E-2</v>
      </c>
      <c r="AO126" s="1">
        <f>'Asset Prices'!AO126/'Asset Prices'!AO127-1</f>
        <v>4.2231215907091446E-3</v>
      </c>
      <c r="AP126" s="1">
        <f>'Asset Prices'!AP126/'Asset Prices'!AP127-1</f>
        <v>1.4166666666666661E-2</v>
      </c>
      <c r="AQ126" s="1">
        <f>'Asset Prices'!AQ126/'Asset Prices'!AQ127-1</f>
        <v>1.1809363137916584E-2</v>
      </c>
      <c r="AR126" s="1">
        <f>'Asset Prices'!AR126/'Asset Prices'!AR127-1</f>
        <v>1.7710309930423884E-2</v>
      </c>
      <c r="AS126" s="1">
        <f>'Asset Prices'!AS126/'Asset Prices'!AS127-1</f>
        <v>-4.5346869712351912E-2</v>
      </c>
      <c r="AT126" s="1">
        <f>'Asset Prices'!AT126/'Asset Prices'!AT127-1</f>
        <v>4.6593830334189512E-3</v>
      </c>
      <c r="AU126" s="1">
        <f>'Asset Prices'!AU126/'Asset Prices'!AU127-1</f>
        <v>1.9524797763754043E-2</v>
      </c>
      <c r="AV126" s="1">
        <f>'Asset Prices'!AV126/'Asset Prices'!AV127-1</f>
        <v>-1.0574177857658462E-4</v>
      </c>
      <c r="AW126" s="1">
        <f>'Asset Prices'!AW126/'Asset Prices'!AW127-1</f>
        <v>4.7420965058236453E-2</v>
      </c>
      <c r="AX126" s="1">
        <f>'Asset Prices'!AX126/'Asset Prices'!AX127-1</f>
        <v>6.4356435643564414E-2</v>
      </c>
      <c r="AY126" s="1">
        <f>'Asset Prices'!AY126/'Asset Prices'!AY127-1</f>
        <v>-1.6334661354581725E-2</v>
      </c>
      <c r="AZ126" s="1">
        <f>'Asset Prices'!AZ126/'Asset Prices'!AZ127-1</f>
        <v>-1.7675159235668758E-2</v>
      </c>
      <c r="BA126" s="1">
        <f>'Asset Prices'!BA126/'Asset Prices'!BA127-1</f>
        <v>-1.9933554817275656E-2</v>
      </c>
      <c r="BB126" s="1">
        <f>'Asset Prices'!BB126/'Asset Prices'!BB127-1</f>
        <v>2.0958450790538041E-2</v>
      </c>
      <c r="BC126" s="1">
        <f>'Asset Prices'!BC126/'Asset Prices'!BC127-1</f>
        <v>-4.589787722317884E-3</v>
      </c>
      <c r="BD126" s="1">
        <f>'Asset Prices'!BD126/'Asset Prices'!BD127-1</f>
        <v>9.4290204295441882E-3</v>
      </c>
    </row>
    <row r="127" spans="3:56" x14ac:dyDescent="0.25">
      <c r="C127" s="38">
        <f>'Asset Prices'!C127</f>
        <v>43482</v>
      </c>
      <c r="D127" s="1">
        <f>'Asset Prices'!D127/'Asset Prices'!D128-1</f>
        <v>-1.0023797504867593E-2</v>
      </c>
      <c r="E127" s="1">
        <f>'Asset Prices'!E127/'Asset Prices'!E128-1</f>
        <v>-1.5868794326241109E-2</v>
      </c>
      <c r="F127" s="1">
        <f>'Asset Prices'!F127/'Asset Prices'!F128-1</f>
        <v>3.5461920963098637E-2</v>
      </c>
      <c r="G127" s="1">
        <f>'Asset Prices'!G127/'Asset Prices'!G128-1</f>
        <v>1.5892931827687029E-2</v>
      </c>
      <c r="H127" s="1">
        <f>'Asset Prices'!H127/'Asset Prices'!H128-1</f>
        <v>1.1883273164861485E-2</v>
      </c>
      <c r="I127" s="1">
        <f>'Asset Prices'!I127/'Asset Prices'!I128-1</f>
        <v>2.8432732316227671E-2</v>
      </c>
      <c r="J127" s="1">
        <f>'Asset Prices'!J127/'Asset Prices'!J128-1</f>
        <v>1.3394018205461711E-2</v>
      </c>
      <c r="K127" s="1">
        <f>'Asset Prices'!K127/'Asset Prices'!K128-1</f>
        <v>2.2340027291060327E-2</v>
      </c>
      <c r="L127" s="1">
        <f>'Asset Prices'!L127/'Asset Prices'!L128-1</f>
        <v>8.7876547773054758E-2</v>
      </c>
      <c r="M127" s="1">
        <f>'Asset Prices'!M127/'Asset Prices'!M128-1</f>
        <v>2.432432432432452E-2</v>
      </c>
      <c r="N127" s="1">
        <f>'Asset Prices'!N127/'Asset Prices'!N128-1</f>
        <v>1.8807411733081203E-2</v>
      </c>
      <c r="O127" s="1">
        <f>'Asset Prices'!O127/'Asset Prices'!O128-1</f>
        <v>9.176029962546961E-3</v>
      </c>
      <c r="P127" s="1">
        <f>'Asset Prices'!P127/'Asset Prices'!P128-1</f>
        <v>2.688676295879544E-3</v>
      </c>
      <c r="Q127" s="1">
        <f>'Asset Prices'!Q127/'Asset Prices'!Q128-1</f>
        <v>4.9496644295301984E-2</v>
      </c>
      <c r="R127" s="1">
        <f>'Asset Prices'!R127/'Asset Prices'!R128-1</f>
        <v>2.8820783438197495E-2</v>
      </c>
      <c r="S127" s="1">
        <f>'Asset Prices'!S127/'Asset Prices'!S128-1</f>
        <v>1.1159959418329368E-2</v>
      </c>
      <c r="T127" s="1">
        <f>'Asset Prices'!T127/'Asset Prices'!T128-1</f>
        <v>-1.4357110404361606E-2</v>
      </c>
      <c r="U127" s="1">
        <f>'Asset Prices'!U127/'Asset Prices'!U128-1</f>
        <v>5.6407544509078367E-3</v>
      </c>
      <c r="V127" s="1">
        <f>'Asset Prices'!V127/'Asset Prices'!V128-1</f>
        <v>-8.6340491476644132E-3</v>
      </c>
      <c r="W127" s="1">
        <f>'Asset Prices'!W127/'Asset Prices'!W128-1</f>
        <v>1.6704765254088372E-2</v>
      </c>
      <c r="X127" s="1">
        <f>'Asset Prices'!X127/'Asset Prices'!X128-1</f>
        <v>3.2659726474790762E-2</v>
      </c>
      <c r="Y127" s="1">
        <f>'Asset Prices'!Y127/'Asset Prices'!Y128-1</f>
        <v>-2.0419985517740713E-2</v>
      </c>
      <c r="Z127" s="1">
        <f>'Asset Prices'!Z127/'Asset Prices'!Z128-1</f>
        <v>9.9999999999999867E-2</v>
      </c>
      <c r="AA127" s="1">
        <f>'Asset Prices'!AA127/'Asset Prices'!AA128-1</f>
        <v>4.789494013132467E-2</v>
      </c>
      <c r="AB127" s="1">
        <f>'Asset Prices'!AB127/'Asset Prices'!AB128-1</f>
        <v>-2.3310023310022521E-3</v>
      </c>
      <c r="AC127" s="1">
        <f>'Asset Prices'!AC127/'Asset Prices'!AC128-1</f>
        <v>4.4728091815939175E-2</v>
      </c>
      <c r="AD127" s="1">
        <f>'Asset Prices'!AD127/'Asset Prices'!AD128-1</f>
        <v>-1.5926102882624638E-2</v>
      </c>
      <c r="AE127" s="1">
        <f>'Asset Prices'!AE127/'Asset Prices'!AE128-1</f>
        <v>6.7756665193694499E-3</v>
      </c>
      <c r="AF127" s="1">
        <f>'Asset Prices'!AF127/'Asset Prices'!AF128-1</f>
        <v>1.2353500158378328E-2</v>
      </c>
      <c r="AG127" s="1">
        <f>'Asset Prices'!AG127/'Asset Prices'!AG128-1</f>
        <v>-9.8052032945482592E-3</v>
      </c>
      <c r="AH127" s="1">
        <f>'Asset Prices'!AH127/'Asset Prices'!AH128-1</f>
        <v>9.009009009008917E-4</v>
      </c>
      <c r="AI127" s="1">
        <f>'Asset Prices'!AI127/'Asset Prices'!AI128-1</f>
        <v>8.9673913043478271E-2</v>
      </c>
      <c r="AJ127" s="1">
        <f>'Asset Prices'!AJ127/'Asset Prices'!AJ128-1</f>
        <v>-1.3878469617404354E-2</v>
      </c>
      <c r="AK127" s="1">
        <f>'Asset Prices'!AK127/'Asset Prices'!AK128-1</f>
        <v>1.7492711370262537E-2</v>
      </c>
      <c r="AL127" s="1">
        <f>'Asset Prices'!AL127/'Asset Prices'!AL128-1</f>
        <v>-9.8247387933940056E-2</v>
      </c>
      <c r="AM127" s="1">
        <f>'Asset Prices'!AM127/'Asset Prices'!AM128-1</f>
        <v>3.2843418999917162E-3</v>
      </c>
      <c r="AN127" s="1">
        <f>'Asset Prices'!AN127/'Asset Prices'!AN128-1</f>
        <v>1.9028139333085337E-2</v>
      </c>
      <c r="AO127" s="1">
        <f>'Asset Prices'!AO127/'Asset Prices'!AO128-1</f>
        <v>-1.3368055555555647E-2</v>
      </c>
      <c r="AP127" s="1">
        <f>'Asset Prices'!AP127/'Asset Prices'!AP128-1</f>
        <v>1.9324697387980372E-2</v>
      </c>
      <c r="AQ127" s="1">
        <f>'Asset Prices'!AQ127/'Asset Prices'!AQ128-1</f>
        <v>1.5852613538988702E-2</v>
      </c>
      <c r="AR127" s="1">
        <f>'Asset Prices'!AR127/'Asset Prices'!AR128-1</f>
        <v>-9.1901206203331531E-2</v>
      </c>
      <c r="AS127" s="1">
        <f>'Asset Prices'!AS127/'Asset Prices'!AS128-1</f>
        <v>1.5115080728272057E-2</v>
      </c>
      <c r="AT127" s="1">
        <f>'Asset Prices'!AT127/'Asset Prices'!AT128-1</f>
        <v>-1.612393297502368E-2</v>
      </c>
      <c r="AU127" s="1">
        <f>'Asset Prices'!AU127/'Asset Prices'!AU128-1</f>
        <v>2.9025931575506814E-2</v>
      </c>
      <c r="AV127" s="1">
        <f>'Asset Prices'!AV127/'Asset Prices'!AV128-1</f>
        <v>-1.9085157141375375E-2</v>
      </c>
      <c r="AW127" s="1">
        <f>'Asset Prices'!AW127/'Asset Prices'!AW128-1</f>
        <v>2.8069356970686465E-2</v>
      </c>
      <c r="AX127" s="1">
        <f>'Asset Prices'!AX127/'Asset Prices'!AX128-1</f>
        <v>-4.4352454169130695E-2</v>
      </c>
      <c r="AY127" s="1">
        <f>'Asset Prices'!AY127/'Asset Prices'!AY128-1</f>
        <v>-4.0886511272449466E-2</v>
      </c>
      <c r="AZ127" s="1">
        <f>'Asset Prices'!AZ127/'Asset Prices'!AZ128-1</f>
        <v>1.3720742534301777E-2</v>
      </c>
      <c r="BA127" s="1">
        <f>'Asset Prices'!BA127/'Asset Prices'!BA128-1</f>
        <v>3.0180460485376592E-2</v>
      </c>
      <c r="BB127" s="1">
        <f>'Asset Prices'!BB127/'Asset Prices'!BB128-1</f>
        <v>3.9760417994137986E-2</v>
      </c>
      <c r="BC127" s="1">
        <f>'Asset Prices'!BC127/'Asset Prices'!BC128-1</f>
        <v>1.4551804423748482E-2</v>
      </c>
      <c r="BD127" s="1">
        <f>'Asset Prices'!BD127/'Asset Prices'!BD128-1</f>
        <v>3.189189189189201E-2</v>
      </c>
    </row>
    <row r="128" spans="3:56" x14ac:dyDescent="0.25">
      <c r="C128" s="38">
        <f>'Asset Prices'!C128</f>
        <v>43475</v>
      </c>
      <c r="D128" s="1">
        <f>'Asset Prices'!D128/'Asset Prices'!D129-1</f>
        <v>8.2260204479825072E-2</v>
      </c>
      <c r="E128" s="1">
        <f>'Asset Prices'!E128/'Asset Prices'!E129-1</f>
        <v>6.0848302454622472E-2</v>
      </c>
      <c r="F128" s="1">
        <f>'Asset Prices'!F128/'Asset Prices'!F129-1</f>
        <v>5.0446735395188957E-2</v>
      </c>
      <c r="G128" s="1">
        <f>'Asset Prices'!G128/'Asset Prices'!G129-1</f>
        <v>6.7887449754354678E-2</v>
      </c>
      <c r="H128" s="1">
        <f>'Asset Prices'!H128/'Asset Prices'!H129-1</f>
        <v>9.4230927495679406E-2</v>
      </c>
      <c r="I128" s="1">
        <f>'Asset Prices'!I128/'Asset Prices'!I129-1</f>
        <v>9.4580233793836177E-2</v>
      </c>
      <c r="J128" s="1">
        <f>'Asset Prices'!J128/'Asset Prices'!J129-1</f>
        <v>8.1651311625290157E-2</v>
      </c>
      <c r="K128" s="1">
        <f>'Asset Prices'!K128/'Asset Prices'!K129-1</f>
        <v>0.1039405977550858</v>
      </c>
      <c r="L128" s="1">
        <f>'Asset Prices'!L128/'Asset Prices'!L129-1</f>
        <v>0.19712389380530992</v>
      </c>
      <c r="M128" s="1">
        <f>'Asset Prices'!M128/'Asset Prices'!M129-1</f>
        <v>6.3655030800821244E-2</v>
      </c>
      <c r="N128" s="1">
        <f>'Asset Prices'!N128/'Asset Prices'!N129-1</f>
        <v>5.2034676782353406E-2</v>
      </c>
      <c r="O128" s="1">
        <f>'Asset Prices'!O128/'Asset Prices'!O129-1</f>
        <v>5.2710843373493521E-3</v>
      </c>
      <c r="P128" s="1">
        <f>'Asset Prices'!P128/'Asset Prices'!P129-1</f>
        <v>-1.033415841584151E-2</v>
      </c>
      <c r="Q128" s="1">
        <f>'Asset Prices'!Q128/'Asset Prices'!Q129-1</f>
        <v>9.6655482195042719E-2</v>
      </c>
      <c r="R128" s="1">
        <f>'Asset Prices'!R128/'Asset Prices'!R129-1</f>
        <v>2.581719758484291E-2</v>
      </c>
      <c r="S128" s="1">
        <f>'Asset Prices'!S128/'Asset Prices'!S129-1</f>
        <v>5.5694394858978979E-2</v>
      </c>
      <c r="T128" s="1">
        <f>'Asset Prices'!T128/'Asset Prices'!T129-1</f>
        <v>8.1678789070178892E-2</v>
      </c>
      <c r="U128" s="1">
        <f>'Asset Prices'!U128/'Asset Prices'!U129-1</f>
        <v>8.6365377250095632E-2</v>
      </c>
      <c r="V128" s="1">
        <f>'Asset Prices'!V128/'Asset Prices'!V129-1</f>
        <v>0.14209860935524654</v>
      </c>
      <c r="W128" s="1">
        <f>'Asset Prices'!W128/'Asset Prices'!W129-1</f>
        <v>8.3238095238095111E-2</v>
      </c>
      <c r="X128" s="1">
        <f>'Asset Prices'!X128/'Asset Prices'!X129-1</f>
        <v>7.4106555579916744E-2</v>
      </c>
      <c r="Y128" s="1">
        <f>'Asset Prices'!Y128/'Asset Prices'!Y129-1</f>
        <v>0.13643844634628044</v>
      </c>
      <c r="Z128" s="1">
        <f>'Asset Prices'!Z128/'Asset Prices'!Z129-1</f>
        <v>0.10414052697616083</v>
      </c>
      <c r="AA128" s="1">
        <f>'Asset Prices'!AA128/'Asset Prices'!AA129-1</f>
        <v>0.10806762251230473</v>
      </c>
      <c r="AB128" s="1">
        <f>'Asset Prices'!AB128/'Asset Prices'!AB129-1</f>
        <v>9.4387755102040893E-2</v>
      </c>
      <c r="AC128" s="1">
        <f>'Asset Prices'!AC128/'Asset Prices'!AC129-1</f>
        <v>0.17551380658176785</v>
      </c>
      <c r="AD128" s="1">
        <f>'Asset Prices'!AD128/'Asset Prices'!AD129-1</f>
        <v>0.13482739924091813</v>
      </c>
      <c r="AE128" s="1">
        <f>'Asset Prices'!AE128/'Asset Prices'!AE129-1</f>
        <v>0.1169792694965448</v>
      </c>
      <c r="AF128" s="1">
        <f>'Asset Prices'!AF128/'Asset Prices'!AF129-1</f>
        <v>0.1096660808435852</v>
      </c>
      <c r="AG128" s="1">
        <f>'Asset Prices'!AG128/'Asset Prices'!AG129-1</f>
        <v>0.1554380664652566</v>
      </c>
      <c r="AH128" s="1">
        <f>'Asset Prices'!AH128/'Asset Prices'!AH129-1</f>
        <v>2.7777777777777679E-2</v>
      </c>
      <c r="AI128" s="1">
        <f>'Asset Prices'!AI128/'Asset Prices'!AI129-1</f>
        <v>0.16484051619186757</v>
      </c>
      <c r="AJ128" s="1">
        <f>'Asset Prices'!AJ128/'Asset Prices'!AJ129-1</f>
        <v>-1.8719580681393344E-3</v>
      </c>
      <c r="AK128" s="1">
        <f>'Asset Prices'!AK128/'Asset Prices'!AK129-1</f>
        <v>7.6585059635907005E-2</v>
      </c>
      <c r="AL128" s="1">
        <f>'Asset Prices'!AL128/'Asset Prices'!AL129-1</f>
        <v>4.3983110485573462E-2</v>
      </c>
      <c r="AM128" s="1">
        <f>'Asset Prices'!AM128/'Asset Prices'!AM129-1</f>
        <v>7.8646709768842582E-2</v>
      </c>
      <c r="AN128" s="1">
        <f>'Asset Prices'!AN128/'Asset Prices'!AN129-1</f>
        <v>5.8244785517512776E-2</v>
      </c>
      <c r="AO128" s="1">
        <f>'Asset Prices'!AO128/'Asset Prices'!AO129-1</f>
        <v>2.4546424759871899E-2</v>
      </c>
      <c r="AP128" s="1">
        <f>'Asset Prices'!AP128/'Asset Prices'!AP129-1</f>
        <v>6.5625707173568859E-2</v>
      </c>
      <c r="AQ128" s="1">
        <f>'Asset Prices'!AQ128/'Asset Prices'!AQ129-1</f>
        <v>0.15762325166154145</v>
      </c>
      <c r="AR128" s="1">
        <f>'Asset Prices'!AR128/'Asset Prices'!AR129-1</f>
        <v>1.2798138452588814E-2</v>
      </c>
      <c r="AS128" s="1">
        <f>'Asset Prices'!AS128/'Asset Prices'!AS129-1</f>
        <v>6.9041498347410801E-2</v>
      </c>
      <c r="AT128" s="1">
        <f>'Asset Prices'!AT128/'Asset Prices'!AT129-1</f>
        <v>3.0796806257128884E-2</v>
      </c>
      <c r="AU128" s="1">
        <f>'Asset Prices'!AU128/'Asset Prices'!AU129-1</f>
        <v>8.6410984848484862E-2</v>
      </c>
      <c r="AV128" s="1">
        <f>'Asset Prices'!AV128/'Asset Prices'!AV129-1</f>
        <v>6.225209343323046E-2</v>
      </c>
      <c r="AW128" s="1">
        <f>'Asset Prices'!AW128/'Asset Prices'!AW129-1</f>
        <v>0.10394849785407745</v>
      </c>
      <c r="AX128" s="1">
        <f>'Asset Prices'!AX128/'Asset Prices'!AX129-1</f>
        <v>9.5917044718081712E-2</v>
      </c>
      <c r="AY128" s="1">
        <f>'Asset Prices'!AY128/'Asset Prices'!AY129-1</f>
        <v>8.3195364238410674E-2</v>
      </c>
      <c r="AZ128" s="1">
        <f>'Asset Prices'!AZ128/'Asset Prices'!AZ129-1</f>
        <v>0.13983440662373492</v>
      </c>
      <c r="BA128" s="1">
        <f>'Asset Prices'!BA128/'Asset Prices'!BA129-1</f>
        <v>0.14012061014544175</v>
      </c>
      <c r="BB128" s="1">
        <f>'Asset Prices'!BB128/'Asset Prices'!BB129-1</f>
        <v>1.8297430573579021E-2</v>
      </c>
      <c r="BC128" s="1">
        <f>'Asset Prices'!BC128/'Asset Prices'!BC129-1</f>
        <v>0.18564527260179431</v>
      </c>
      <c r="BD128" s="1">
        <f>'Asset Prices'!BD128/'Asset Prices'!BD129-1</f>
        <v>4.3311527182494869E-2</v>
      </c>
    </row>
    <row r="129" spans="3:56" x14ac:dyDescent="0.25">
      <c r="C129" s="38">
        <f>'Asset Prices'!C129</f>
        <v>43468</v>
      </c>
      <c r="D129" s="1">
        <f>'Asset Prices'!D129/'Asset Prices'!D130-1</f>
        <v>-2.9391712749034182E-2</v>
      </c>
      <c r="E129" s="1">
        <f>'Asset Prices'!E129/'Asset Prices'!E130-1</f>
        <v>-1.7837025910626414E-3</v>
      </c>
      <c r="F129" s="1">
        <f>'Asset Prices'!F129/'Asset Prices'!F130-1</f>
        <v>-1.2488122709379712E-2</v>
      </c>
      <c r="G129" s="1">
        <f>'Asset Prices'!G129/'Asset Prices'!G130-1</f>
        <v>-4.2250389148320577E-3</v>
      </c>
      <c r="H129" s="1">
        <f>'Asset Prices'!H129/'Asset Prices'!H130-1</f>
        <v>-4.0735770111312797E-2</v>
      </c>
      <c r="I129" s="1">
        <f>'Asset Prices'!I129/'Asset Prices'!I130-1</f>
        <v>-2.066607195955994E-2</v>
      </c>
      <c r="J129" s="1">
        <f>'Asset Prices'!J129/'Asset Prices'!J130-1</f>
        <v>-8.9401216778738468E-2</v>
      </c>
      <c r="K129" s="1">
        <f>'Asset Prices'!K129/'Asset Prices'!K130-1</f>
        <v>2.6436058126487971E-2</v>
      </c>
      <c r="L129" s="1">
        <f>'Asset Prices'!L129/'Asset Prices'!L130-1</f>
        <v>6.1178173850096718E-2</v>
      </c>
      <c r="M129" s="1">
        <f>'Asset Prices'!M129/'Asset Prices'!M130-1</f>
        <v>-3.7359161889701564E-2</v>
      </c>
      <c r="N129" s="1">
        <f>'Asset Prices'!N129/'Asset Prices'!N130-1</f>
        <v>-2.6051856776521998E-2</v>
      </c>
      <c r="O129" s="1">
        <f>'Asset Prices'!O129/'Asset Prices'!O130-1</f>
        <v>1.0364647130878257E-3</v>
      </c>
      <c r="P129" s="1">
        <f>'Asset Prices'!P129/'Asset Prices'!P130-1</f>
        <v>-1.1620795107033621E-2</v>
      </c>
      <c r="Q129" s="1">
        <f>'Asset Prices'!Q129/'Asset Prices'!Q130-1</f>
        <v>-0.12563289641792463</v>
      </c>
      <c r="R129" s="1">
        <f>'Asset Prices'!R129/'Asset Prices'!R130-1</f>
        <v>-3.1653225806451579E-2</v>
      </c>
      <c r="S129" s="1">
        <f>'Asset Prices'!S129/'Asset Prices'!S130-1</f>
        <v>-1.1644318983768498E-2</v>
      </c>
      <c r="T129" s="1">
        <f>'Asset Prices'!T129/'Asset Prices'!T130-1</f>
        <v>-4.5859514208009045E-2</v>
      </c>
      <c r="U129" s="1">
        <f>'Asset Prices'!U129/'Asset Prices'!U130-1</f>
        <v>2.1118498240125128E-2</v>
      </c>
      <c r="V129" s="1">
        <f>'Asset Prices'!V129/'Asset Prices'!V130-1</f>
        <v>1.2658227848101333E-3</v>
      </c>
      <c r="W129" s="1">
        <f>'Asset Prices'!W129/'Asset Prices'!W130-1</f>
        <v>1.0392609699769073E-2</v>
      </c>
      <c r="X129" s="1">
        <f>'Asset Prices'!X129/'Asset Prices'!X130-1</f>
        <v>-2.5427350427350337E-2</v>
      </c>
      <c r="Y129" s="1">
        <f>'Asset Prices'!Y129/'Asset Prices'!Y130-1</f>
        <v>2.8057435220332216E-3</v>
      </c>
      <c r="Z129" s="1">
        <f>'Asset Prices'!Z129/'Asset Prices'!Z130-1</f>
        <v>4.0944881889763973E-3</v>
      </c>
      <c r="AA129" s="1">
        <f>'Asset Prices'!AA129/'Asset Prices'!AA130-1</f>
        <v>-1.6417596295516756E-2</v>
      </c>
      <c r="AB129" s="1">
        <f>'Asset Prices'!AB129/'Asset Prices'!AB130-1</f>
        <v>1.0309278350515427E-2</v>
      </c>
      <c r="AC129" s="1">
        <f>'Asset Prices'!AC129/'Asset Prices'!AC130-1</f>
        <v>-0.12999122422114961</v>
      </c>
      <c r="AD129" s="1">
        <f>'Asset Prices'!AD129/'Asset Prices'!AD130-1</f>
        <v>-1.1787819253438192E-2</v>
      </c>
      <c r="AE129" s="1">
        <f>'Asset Prices'!AE129/'Asset Prices'!AE130-1</f>
        <v>4.3971143936791579E-2</v>
      </c>
      <c r="AF129" s="1">
        <f>'Asset Prices'!AF129/'Asset Prices'!AF130-1</f>
        <v>-3.755074424898508E-2</v>
      </c>
      <c r="AG129" s="1">
        <f>'Asset Prices'!AG129/'Asset Prices'!AG130-1</f>
        <v>1.3472137170851273E-2</v>
      </c>
      <c r="AH129" s="1">
        <f>'Asset Prices'!AH129/'Asset Prices'!AH130-1</f>
        <v>4.8883133700226455E-2</v>
      </c>
      <c r="AI129" s="1">
        <f>'Asset Prices'!AI129/'Asset Prices'!AI130-1</f>
        <v>-1.3451837617103113E-2</v>
      </c>
      <c r="AJ129" s="1">
        <f>'Asset Prices'!AJ129/'Asset Prices'!AJ130-1</f>
        <v>3.6878881987577605E-2</v>
      </c>
      <c r="AK129" s="1">
        <f>'Asset Prices'!AK129/'Asset Prices'!AK130-1</f>
        <v>-3.7523452157598447E-3</v>
      </c>
      <c r="AL129" s="1">
        <f>'Asset Prices'!AL129/'Asset Prices'!AL130-1</f>
        <v>-2.8070175438595912E-3</v>
      </c>
      <c r="AM129" s="1">
        <f>'Asset Prices'!AM129/'Asset Prices'!AM130-1</f>
        <v>-7.6463350325188806E-3</v>
      </c>
      <c r="AN129" s="1">
        <f>'Asset Prices'!AN129/'Asset Prices'!AN130-1</f>
        <v>-1.3842173350582021E-2</v>
      </c>
      <c r="AO129" s="1">
        <f>'Asset Prices'!AO129/'Asset Prices'!AO130-1</f>
        <v>1.9401631912964623E-2</v>
      </c>
      <c r="AP129" s="1">
        <f>'Asset Prices'!AP129/'Asset Prices'!AP130-1</f>
        <v>7.9835766423357324E-3</v>
      </c>
      <c r="AQ129" s="1">
        <f>'Asset Prices'!AQ129/'Asset Prices'!AQ130-1</f>
        <v>-1.8785283239244666E-2</v>
      </c>
      <c r="AR129" s="1">
        <f>'Asset Prices'!AR129/'Asset Prices'!AR130-1</f>
        <v>-1.7433552443555267E-2</v>
      </c>
      <c r="AS129" s="1">
        <f>'Asset Prices'!AS129/'Asset Prices'!AS130-1</f>
        <v>-7.2912869121399826E-3</v>
      </c>
      <c r="AT129" s="1">
        <f>'Asset Prices'!AT129/'Asset Prices'!AT130-1</f>
        <v>-1.0958904109588996E-2</v>
      </c>
      <c r="AU129" s="1">
        <f>'Asset Prices'!AU129/'Asset Prices'!AU130-1</f>
        <v>-4.959049590495912E-2</v>
      </c>
      <c r="AV129" s="1">
        <f>'Asset Prices'!AV129/'Asset Prices'!AV130-1</f>
        <v>3.9276308256040338E-2</v>
      </c>
      <c r="AW129" s="1">
        <f>'Asset Prices'!AW129/'Asset Prices'!AW130-1</f>
        <v>-4.3121149897330624E-2</v>
      </c>
      <c r="AX129" s="1">
        <f>'Asset Prices'!AX129/'Asset Prices'!AX130-1</f>
        <v>-4.6353522867737973E-2</v>
      </c>
      <c r="AY129" s="1">
        <f>'Asset Prices'!AY129/'Asset Prices'!AY130-1</f>
        <v>-3.3003300330033403E-3</v>
      </c>
      <c r="AZ129" s="1">
        <f>'Asset Prices'!AZ129/'Asset Prices'!AZ130-1</f>
        <v>-5.6714233443102557E-3</v>
      </c>
      <c r="BA129" s="1">
        <f>'Asset Prices'!BA129/'Asset Prices'!BA130-1</f>
        <v>5.3831775700934559E-2</v>
      </c>
      <c r="BB129" s="1">
        <f>'Asset Prices'!BB129/'Asset Prices'!BB130-1</f>
        <v>-1.5459307525233057E-2</v>
      </c>
      <c r="BC129" s="1">
        <f>'Asset Prices'!BC129/'Asset Prices'!BC130-1</f>
        <v>-2.9489826010026254E-3</v>
      </c>
      <c r="BD129" s="1">
        <f>'Asset Prices'!BD129/'Asset Prices'!BD130-1</f>
        <v>8.4167424931755885E-3</v>
      </c>
    </row>
    <row r="130" spans="3:56" x14ac:dyDescent="0.25">
      <c r="C130" s="38">
        <f>'Asset Prices'!C130</f>
        <v>43461</v>
      </c>
      <c r="D130" s="1">
        <f>'Asset Prices'!D130/'Asset Prices'!D131-1</f>
        <v>2.5240757999378749E-2</v>
      </c>
      <c r="E130" s="1">
        <f>'Asset Prices'!E130/'Asset Prices'!E131-1</f>
        <v>-4.4859813084112687E-3</v>
      </c>
      <c r="F130" s="1">
        <f>'Asset Prices'!F130/'Asset Prices'!F131-1</f>
        <v>9.0922552939434409E-2</v>
      </c>
      <c r="G130" s="1">
        <f>'Asset Prices'!G130/'Asset Prices'!G131-1</f>
        <v>-2.7465397923875479E-2</v>
      </c>
      <c r="H130" s="1">
        <f>'Asset Prices'!H130/'Asset Prices'!H131-1</f>
        <v>4.2122583299053939E-2</v>
      </c>
      <c r="I130" s="1">
        <f>'Asset Prices'!I130/'Asset Prices'!I131-1</f>
        <v>8.3958020989505222E-3</v>
      </c>
      <c r="J130" s="1">
        <f>'Asset Prices'!J130/'Asset Prices'!J131-1</f>
        <v>-4.3359051201938836E-3</v>
      </c>
      <c r="K130" s="1">
        <f>'Asset Prices'!K130/'Asset Prices'!K131-1</f>
        <v>5.544793028622319E-4</v>
      </c>
      <c r="L130" s="1">
        <f>'Asset Prices'!L130/'Asset Prices'!L131-1</f>
        <v>-1.9245529204083178E-2</v>
      </c>
      <c r="M130" s="1">
        <f>'Asset Prices'!M130/'Asset Prices'!M131-1</f>
        <v>-3.2509112402718809E-3</v>
      </c>
      <c r="N130" s="1">
        <f>'Asset Prices'!N130/'Asset Prices'!N131-1</f>
        <v>2.8644561245823486E-2</v>
      </c>
      <c r="O130" s="1">
        <f>'Asset Prices'!O130/'Asset Prices'!O131-1</f>
        <v>-2.8187541106832192E-3</v>
      </c>
      <c r="P130" s="1">
        <f>'Asset Prices'!P130/'Asset Prices'!P131-1</f>
        <v>-2.0254074784276099E-2</v>
      </c>
      <c r="Q130" s="1">
        <f>'Asset Prices'!Q130/'Asset Prices'!Q131-1</f>
        <v>6.8510466174537488E-2</v>
      </c>
      <c r="R130" s="1">
        <f>'Asset Prices'!R130/'Asset Prices'!R131-1</f>
        <v>-3.445590811757826E-2</v>
      </c>
      <c r="S130" s="1">
        <f>'Asset Prices'!S130/'Asset Prices'!S131-1</f>
        <v>-1.2543554006968605E-2</v>
      </c>
      <c r="T130" s="1">
        <f>'Asset Prices'!T130/'Asset Prices'!T131-1</f>
        <v>2.3418754199059366E-2</v>
      </c>
      <c r="U130" s="1">
        <f>'Asset Prices'!U130/'Asset Prices'!U131-1</f>
        <v>1.5891934843067057E-2</v>
      </c>
      <c r="V130" s="1">
        <f>'Asset Prices'!V130/'Asset Prices'!V131-1</f>
        <v>-3.375733855185914E-2</v>
      </c>
      <c r="W130" s="1">
        <f>'Asset Prices'!W130/'Asset Prices'!W131-1</f>
        <v>3.0747867486609959E-2</v>
      </c>
      <c r="X130" s="1">
        <f>'Asset Prices'!X130/'Asset Prices'!X131-1</f>
        <v>-5.7361376673040754E-3</v>
      </c>
      <c r="Y130" s="1">
        <f>'Asset Prices'!Y130/'Asset Prices'!Y131-1</f>
        <v>-2.6337448559671239E-3</v>
      </c>
      <c r="Z130" s="1">
        <f>'Asset Prices'!Z130/'Asset Prices'!Z131-1</f>
        <v>-2.5133521834747041E-3</v>
      </c>
      <c r="AA130" s="1">
        <f>'Asset Prices'!AA130/'Asset Prices'!AA131-1</f>
        <v>4.9017443144181883E-2</v>
      </c>
      <c r="AB130" s="1">
        <f>'Asset Prices'!AB130/'Asset Prices'!AB131-1</f>
        <v>8.0779944289693706E-2</v>
      </c>
      <c r="AC130" s="1">
        <f>'Asset Prices'!AC130/'Asset Prices'!AC131-1</f>
        <v>4.7393364928909332E-3</v>
      </c>
      <c r="AD130" s="1">
        <f>'Asset Prices'!AD130/'Asset Prices'!AD131-1</f>
        <v>6.0015145778114398E-2</v>
      </c>
      <c r="AE130" s="1">
        <f>'Asset Prices'!AE130/'Asset Prices'!AE131-1</f>
        <v>1.9436175801085698E-2</v>
      </c>
      <c r="AF130" s="1">
        <f>'Asset Prices'!AF130/'Asset Prices'!AF131-1</f>
        <v>2.6745397707537366E-2</v>
      </c>
      <c r="AG130" s="1">
        <f>'Asset Prices'!AG130/'Asset Prices'!AG131-1</f>
        <v>3.5510462904248419E-2</v>
      </c>
      <c r="AH130" s="1">
        <f>'Asset Prices'!AH130/'Asset Prices'!AH131-1</f>
        <v>-1.624203821656045E-2</v>
      </c>
      <c r="AI130" s="1">
        <f>'Asset Prices'!AI130/'Asset Prices'!AI131-1</f>
        <v>-4.540243063517535E-2</v>
      </c>
      <c r="AJ130" s="1">
        <f>'Asset Prices'!AJ130/'Asset Prices'!AJ131-1</f>
        <v>7.3780741975823405E-2</v>
      </c>
      <c r="AK130" s="1">
        <f>'Asset Prices'!AK130/'Asset Prices'!AK131-1</f>
        <v>-9.2936802973977439E-3</v>
      </c>
      <c r="AL130" s="1">
        <f>'Asset Prices'!AL130/'Asset Prices'!AL131-1</f>
        <v>-2.1627188465499492E-2</v>
      </c>
      <c r="AM130" s="1">
        <f>'Asset Prices'!AM130/'Asset Prices'!AM131-1</f>
        <v>6.7244735445053383E-3</v>
      </c>
      <c r="AN130" s="1">
        <f>'Asset Prices'!AN130/'Asset Prices'!AN131-1</f>
        <v>5.266922426685694E-3</v>
      </c>
      <c r="AO130" s="1">
        <f>'Asset Prices'!AO130/'Asset Prices'!AO131-1</f>
        <v>1.4526965680043968E-3</v>
      </c>
      <c r="AP130" s="1">
        <f>'Asset Prices'!AP130/'Asset Prices'!AP131-1</f>
        <v>3.3231204336554354E-2</v>
      </c>
      <c r="AQ130" s="1">
        <f>'Asset Prices'!AQ130/'Asset Prices'!AQ131-1</f>
        <v>6.4111859140341787E-2</v>
      </c>
      <c r="AR130" s="1">
        <f>'Asset Prices'!AR130/'Asset Prices'!AR131-1</f>
        <v>2.6400704018773924E-2</v>
      </c>
      <c r="AS130" s="1">
        <f>'Asset Prices'!AS130/'Asset Prices'!AS131-1</f>
        <v>2.5584795321638154E-3</v>
      </c>
      <c r="AT130" s="1">
        <f>'Asset Prices'!AT130/'Asset Prices'!AT131-1</f>
        <v>3.7204788094467034E-3</v>
      </c>
      <c r="AU130" s="1">
        <f>'Asset Prices'!AU130/'Asset Prices'!AU131-1</f>
        <v>2.1795107596100927E-2</v>
      </c>
      <c r="AV130" s="1">
        <f>'Asset Prices'!AV130/'Asset Prices'!AV131-1</f>
        <v>4.2497314074251058E-2</v>
      </c>
      <c r="AW130" s="1">
        <f>'Asset Prices'!AW130/'Asset Prices'!AW131-1</f>
        <v>1.8317162930746145E-2</v>
      </c>
      <c r="AX130" s="1">
        <f>'Asset Prices'!AX130/'Asset Prices'!AX131-1</f>
        <v>-4.3169722057953885E-2</v>
      </c>
      <c r="AY130" s="1">
        <f>'Asset Prices'!AY130/'Asset Prices'!AY131-1</f>
        <v>2.0669698222406385E-3</v>
      </c>
      <c r="AZ130" s="1">
        <f>'Asset Prices'!AZ130/'Asset Prices'!AZ131-1</f>
        <v>1.4657383657017409E-3</v>
      </c>
      <c r="BA130" s="1">
        <f>'Asset Prices'!BA130/'Asset Prices'!BA131-1</f>
        <v>2.2162781811234211E-2</v>
      </c>
      <c r="BB130" s="1">
        <f>'Asset Prices'!BB130/'Asset Prices'!BB131-1</f>
        <v>-5.5736518277234914E-2</v>
      </c>
      <c r="BC130" s="1">
        <f>'Asset Prices'!BC130/'Asset Prices'!BC131-1</f>
        <v>-9.0234305133249815E-2</v>
      </c>
      <c r="BD130" s="1">
        <f>'Asset Prices'!BD130/'Asset Prices'!BD131-1</f>
        <v>1.3954561180948177E-2</v>
      </c>
    </row>
    <row r="131" spans="3:56" x14ac:dyDescent="0.25">
      <c r="C131" s="38">
        <f>'Asset Prices'!C131</f>
        <v>43454</v>
      </c>
      <c r="D131" s="1">
        <f>'Asset Prices'!D131/'Asset Prices'!D132-1</f>
        <v>-6.3835974989094102E-2</v>
      </c>
      <c r="E131" s="1">
        <f>'Asset Prices'!E131/'Asset Prices'!E132-1</f>
        <v>-5.6354175853249866E-2</v>
      </c>
      <c r="F131" s="1">
        <f>'Asset Prices'!F131/'Asset Prices'!F132-1</f>
        <v>-7.4043603455368201E-2</v>
      </c>
      <c r="G131" s="1">
        <f>'Asset Prices'!G131/'Asset Prices'!G132-1</f>
        <v>-2.0961253440609728E-2</v>
      </c>
      <c r="H131" s="1">
        <f>'Asset Prices'!H131/'Asset Prices'!H132-1</f>
        <v>-3.4551231135822147E-2</v>
      </c>
      <c r="I131" s="1">
        <f>'Asset Prices'!I131/'Asset Prices'!I132-1</f>
        <v>-8.0063443900420528E-2</v>
      </c>
      <c r="J131" s="1">
        <f>'Asset Prices'!J131/'Asset Prices'!J132-1</f>
        <v>-8.2597250658086985E-2</v>
      </c>
      <c r="K131" s="1">
        <f>'Asset Prices'!K131/'Asset Prices'!K132-1</f>
        <v>-0.11912227595605362</v>
      </c>
      <c r="L131" s="1">
        <f>'Asset Prices'!L131/'Asset Prices'!L132-1</f>
        <v>-5.5937975509021132E-2</v>
      </c>
      <c r="M131" s="1">
        <f>'Asset Prices'!M131/'Asset Prices'!M132-1</f>
        <v>-7.2544540886249398E-2</v>
      </c>
      <c r="N131" s="1">
        <f>'Asset Prices'!N131/'Asset Prices'!N132-1</f>
        <v>-4.6537623190565758E-2</v>
      </c>
      <c r="O131" s="1">
        <f>'Asset Prices'!O131/'Asset Prices'!O132-1</f>
        <v>-3.2542496136714782E-2</v>
      </c>
      <c r="P131" s="1">
        <f>'Asset Prices'!P131/'Asset Prices'!P132-1</f>
        <v>-8.6239938673821404E-2</v>
      </c>
      <c r="Q131" s="1">
        <f>'Asset Prices'!Q131/'Asset Prices'!Q132-1</f>
        <v>-8.9536436035538292E-2</v>
      </c>
      <c r="R131" s="1">
        <f>'Asset Prices'!R131/'Asset Prices'!R132-1</f>
        <v>-4.3032786885245922E-2</v>
      </c>
      <c r="S131" s="1">
        <f>'Asset Prices'!S131/'Asset Prices'!S132-1</f>
        <v>-6.9088550113525771E-2</v>
      </c>
      <c r="T131" s="1">
        <f>'Asset Prices'!T131/'Asset Prices'!T132-1</f>
        <v>-4.2811208084519992E-2</v>
      </c>
      <c r="U131" s="1">
        <f>'Asset Prices'!U131/'Asset Prices'!U132-1</f>
        <v>-8.6388384754990888E-2</v>
      </c>
      <c r="V131" s="1">
        <f>'Asset Prices'!V131/'Asset Prices'!V132-1</f>
        <v>-7.3331703739898391E-4</v>
      </c>
      <c r="W131" s="1">
        <f>'Asset Prices'!W131/'Asset Prices'!W132-1</f>
        <v>-9.8694797067763296E-2</v>
      </c>
      <c r="X131" s="1">
        <f>'Asset Prices'!X131/'Asset Prices'!X132-1</f>
        <v>-6.4958283671036954E-2</v>
      </c>
      <c r="Y131" s="1">
        <f>'Asset Prices'!Y131/'Asset Prices'!Y132-1</f>
        <v>-6.1486173335393079E-2</v>
      </c>
      <c r="Z131" s="1">
        <f>'Asset Prices'!Z131/'Asset Prices'!Z132-1</f>
        <v>-8.6132644272179149E-2</v>
      </c>
      <c r="AA131" s="1">
        <f>'Asset Prices'!AA131/'Asset Prices'!AA132-1</f>
        <v>-9.6909272183449691E-2</v>
      </c>
      <c r="AB131" s="1">
        <f>'Asset Prices'!AB131/'Asset Prices'!AB132-1</f>
        <v>-3.4946236559139865E-2</v>
      </c>
      <c r="AC131" s="1">
        <f>'Asset Prices'!AC131/'Asset Prices'!AC132-1</f>
        <v>-5.9305339554173164E-2</v>
      </c>
      <c r="AD131" s="1">
        <f>'Asset Prices'!AD131/'Asset Prices'!AD132-1</f>
        <v>0.1869662921348314</v>
      </c>
      <c r="AE131" s="1">
        <f>'Asset Prices'!AE131/'Asset Prices'!AE132-1</f>
        <v>-5.431362808411988E-2</v>
      </c>
      <c r="AF131" s="1">
        <f>'Asset Prices'!AF131/'Asset Prices'!AF132-1</f>
        <v>-6.8586218052410275E-2</v>
      </c>
      <c r="AG131" s="1">
        <f>'Asset Prices'!AG131/'Asset Prices'!AG132-1</f>
        <v>-5.2995045788920558E-2</v>
      </c>
      <c r="AH131" s="1">
        <f>'Asset Prices'!AH131/'Asset Prices'!AH132-1</f>
        <v>-8.0796252927400447E-2</v>
      </c>
      <c r="AI131" s="1">
        <f>'Asset Prices'!AI131/'Asset Prices'!AI132-1</f>
        <v>-0.10396548181631404</v>
      </c>
      <c r="AJ131" s="1">
        <f>'Asset Prices'!AJ131/'Asset Prices'!AJ132-1</f>
        <v>-7.0515304145679969E-2</v>
      </c>
      <c r="AK131" s="1">
        <f>'Asset Prices'!AK131/'Asset Prices'!AK132-1</f>
        <v>-6.5431383902721407E-2</v>
      </c>
      <c r="AL131" s="1">
        <f>'Asset Prices'!AL131/'Asset Prices'!AL132-1</f>
        <v>-2.1333781286746234E-2</v>
      </c>
      <c r="AM131" s="1">
        <f>'Asset Prices'!AM131/'Asset Prices'!AM132-1</f>
        <v>-6.3861509152654761E-2</v>
      </c>
      <c r="AN131" s="1">
        <f>'Asset Prices'!AN131/'Asset Prices'!AN132-1</f>
        <v>-0.11032049057040394</v>
      </c>
      <c r="AO131" s="1">
        <f>'Asset Prices'!AO131/'Asset Prices'!AO132-1</f>
        <v>-3.5382729024347581E-2</v>
      </c>
      <c r="AP131" s="1">
        <f>'Asset Prices'!AP131/'Asset Prices'!AP132-1</f>
        <v>-7.3783016808557145E-2</v>
      </c>
      <c r="AQ131" s="1">
        <f>'Asset Prices'!AQ131/'Asset Prices'!AQ132-1</f>
        <v>-0.10402746844840394</v>
      </c>
      <c r="AR131" s="1">
        <f>'Asset Prices'!AR131/'Asset Prices'!AR132-1</f>
        <v>1.4688601645123089E-3</v>
      </c>
      <c r="AS131" s="1">
        <f>'Asset Prices'!AS131/'Asset Prices'!AS132-1</f>
        <v>-8.9214380825565875E-2</v>
      </c>
      <c r="AT131" s="1">
        <f>'Asset Prices'!AT131/'Asset Prices'!AT132-1</f>
        <v>-6.3049408911791449E-2</v>
      </c>
      <c r="AU131" s="1">
        <f>'Asset Prices'!AU131/'Asset Prices'!AU132-1</f>
        <v>-8.1936763898855958E-2</v>
      </c>
      <c r="AV131" s="1">
        <f>'Asset Prices'!AV131/'Asset Prices'!AV132-1</f>
        <v>-1.5049970605526153E-2</v>
      </c>
      <c r="AW131" s="1">
        <f>'Asset Prices'!AW131/'Asset Prices'!AW132-1</f>
        <v>-0.10347930413917228</v>
      </c>
      <c r="AX131" s="1">
        <f>'Asset Prices'!AX131/'Asset Prices'!AX132-1</f>
        <v>-9.1836734693877542E-2</v>
      </c>
      <c r="AY131" s="1">
        <f>'Asset Prices'!AY131/'Asset Prices'!AY132-1</f>
        <v>-1.4663951120162833E-2</v>
      </c>
      <c r="AZ131" s="1">
        <f>'Asset Prices'!AZ131/'Asset Prices'!AZ132-1</f>
        <v>-1.0980966325035979E-3</v>
      </c>
      <c r="BA131" s="1">
        <f>'Asset Prices'!BA131/'Asset Prices'!BA132-1</f>
        <v>-4.9400653832183061E-2</v>
      </c>
      <c r="BB131" s="1">
        <f>'Asset Prices'!BB131/'Asset Prices'!BB132-1</f>
        <v>-4.7569803516028908E-2</v>
      </c>
      <c r="BC131" s="1">
        <f>'Asset Prices'!BC131/'Asset Prices'!BC132-1</f>
        <v>-7.464415756372067E-2</v>
      </c>
      <c r="BD131" s="1">
        <f>'Asset Prices'!BD131/'Asset Prices'!BD132-1</f>
        <v>-3.6234300322329771E-2</v>
      </c>
    </row>
    <row r="132" spans="3:56" x14ac:dyDescent="0.25">
      <c r="C132" s="38">
        <f>'Asset Prices'!C132</f>
        <v>43447</v>
      </c>
      <c r="D132" s="1">
        <f>'Asset Prices'!D132/'Asset Prices'!D133-1</f>
        <v>-2.4884792626728269E-2</v>
      </c>
      <c r="E132" s="1">
        <f>'Asset Prices'!E132/'Asset Prices'!E133-1</f>
        <v>-8.2218140470567969E-3</v>
      </c>
      <c r="F132" s="1">
        <f>'Asset Prices'!F132/'Asset Prices'!F133-1</f>
        <v>-3.4551231135822036E-2</v>
      </c>
      <c r="G132" s="1">
        <f>'Asset Prices'!G132/'Asset Prices'!G133-1</f>
        <v>1.1782347900599843E-2</v>
      </c>
      <c r="H132" s="1">
        <f>'Asset Prices'!H132/'Asset Prices'!H133-1</f>
        <v>-1.9241255745111818E-2</v>
      </c>
      <c r="I132" s="1">
        <f>'Asset Prices'!I132/'Asset Prices'!I133-1</f>
        <v>3.8530401776122547E-2</v>
      </c>
      <c r="J132" s="1">
        <f>'Asset Prices'!J132/'Asset Prices'!J133-1</f>
        <v>-2.1577380952381042E-2</v>
      </c>
      <c r="K132" s="1">
        <f>'Asset Prices'!K132/'Asset Prices'!K133-1</f>
        <v>-2.4017325902341624E-2</v>
      </c>
      <c r="L132" s="1">
        <f>'Asset Prices'!L132/'Asset Prices'!L133-1</f>
        <v>-2.4250565610859809E-2</v>
      </c>
      <c r="M132" s="1">
        <f>'Asset Prices'!M132/'Asset Prices'!M133-1</f>
        <v>2.3811704368532638E-3</v>
      </c>
      <c r="N132" s="1">
        <f>'Asset Prices'!N132/'Asset Prices'!N133-1</f>
        <v>-4.2111902641732701E-3</v>
      </c>
      <c r="O132" s="1">
        <f>'Asset Prices'!O132/'Asset Prices'!O133-1</f>
        <v>1.7292398742370985E-2</v>
      </c>
      <c r="P132" s="1">
        <f>'Asset Prices'!P132/'Asset Prices'!P133-1</f>
        <v>-4.2418204697986628E-2</v>
      </c>
      <c r="Q132" s="1">
        <f>'Asset Prices'!Q132/'Asset Prices'!Q133-1</f>
        <v>-9.6197683960974611E-3</v>
      </c>
      <c r="R132" s="1">
        <f>'Asset Prices'!R132/'Asset Prices'!R133-1</f>
        <v>8.8329261417026128E-3</v>
      </c>
      <c r="S132" s="1">
        <f>'Asset Prices'!S132/'Asset Prices'!S133-1</f>
        <v>5.8727569331158413E-3</v>
      </c>
      <c r="T132" s="1">
        <f>'Asset Prices'!T132/'Asset Prices'!T133-1</f>
        <v>-5.6104751994450197E-2</v>
      </c>
      <c r="U132" s="1">
        <f>'Asset Prices'!U132/'Asset Prices'!U133-1</f>
        <v>-1.0594361644819417E-2</v>
      </c>
      <c r="V132" s="1">
        <f>'Asset Prices'!V132/'Asset Prices'!V133-1</f>
        <v>-3.6504945831370761E-2</v>
      </c>
      <c r="W132" s="1">
        <f>'Asset Prices'!W132/'Asset Prices'!W133-1</f>
        <v>-0.10195889531149649</v>
      </c>
      <c r="X132" s="1">
        <f>'Asset Prices'!X132/'Asset Prices'!X133-1</f>
        <v>-6.0820895522388008E-2</v>
      </c>
      <c r="Y132" s="1">
        <f>'Asset Prices'!Y132/'Asset Prices'!Y133-1</f>
        <v>1.6488693467336502E-2</v>
      </c>
      <c r="Z132" s="1">
        <f>'Asset Prices'!Z132/'Asset Prices'!Z133-1</f>
        <v>7.1362657643802008E-2</v>
      </c>
      <c r="AA132" s="1">
        <f>'Asset Prices'!AA132/'Asset Prices'!AA133-1</f>
        <v>-2.81007751937985E-2</v>
      </c>
      <c r="AB132" s="1">
        <f>'Asset Prices'!AB132/'Asset Prices'!AB133-1</f>
        <v>2.4793388429752206E-2</v>
      </c>
      <c r="AC132" s="1">
        <f>'Asset Prices'!AC132/'Asset Prices'!AC133-1</f>
        <v>-2.1706055380870226E-2</v>
      </c>
      <c r="AD132" s="1">
        <f>'Asset Prices'!AD132/'Asset Prices'!AD133-1</f>
        <v>-0.37517551249648973</v>
      </c>
      <c r="AE132" s="1">
        <f>'Asset Prices'!AE132/'Asset Prices'!AE133-1</f>
        <v>-3.5765607536324517E-2</v>
      </c>
      <c r="AF132" s="1">
        <f>'Asset Prices'!AF132/'Asset Prices'!AF133-1</f>
        <v>-0.10535455861070908</v>
      </c>
      <c r="AG132" s="1">
        <f>'Asset Prices'!AG132/'Asset Prices'!AG133-1</f>
        <v>-7.3574408901251775E-2</v>
      </c>
      <c r="AH132" s="1">
        <f>'Asset Prices'!AH132/'Asset Prices'!AH133-1</f>
        <v>-4.3405208625035163E-2</v>
      </c>
      <c r="AI132" s="1">
        <f>'Asset Prices'!AI132/'Asset Prices'!AI133-1</f>
        <v>-6.2957258375048064E-2</v>
      </c>
      <c r="AJ132" s="1">
        <f>'Asset Prices'!AJ132/'Asset Prices'!AJ133-1</f>
        <v>-1.547388781431458E-3</v>
      </c>
      <c r="AK132" s="1">
        <f>'Asset Prices'!AK132/'Asset Prices'!AK133-1</f>
        <v>-8.3819628647214928E-2</v>
      </c>
      <c r="AL132" s="1">
        <f>'Asset Prices'!AL132/'Asset Prices'!AL133-1</f>
        <v>3.458463677441781E-2</v>
      </c>
      <c r="AM132" s="1">
        <f>'Asset Prices'!AM132/'Asset Prices'!AM133-1</f>
        <v>-2.5663788233395102E-2</v>
      </c>
      <c r="AN132" s="1">
        <f>'Asset Prices'!AN132/'Asset Prices'!AN133-1</f>
        <v>2.4356297842729191E-3</v>
      </c>
      <c r="AO132" s="1">
        <f>'Asset Prices'!AO132/'Asset Prices'!AO133-1</f>
        <v>-1.7045454545454475E-2</v>
      </c>
      <c r="AP132" s="1">
        <f>'Asset Prices'!AP132/'Asset Prices'!AP133-1</f>
        <v>-1.3990529487731385E-2</v>
      </c>
      <c r="AQ132" s="1">
        <f>'Asset Prices'!AQ132/'Asset Prices'!AQ133-1</f>
        <v>-3.0063006300629969E-2</v>
      </c>
      <c r="AR132" s="1">
        <f>'Asset Prices'!AR132/'Asset Prices'!AR133-1</f>
        <v>4.2253521126760507E-2</v>
      </c>
      <c r="AS132" s="1">
        <f>'Asset Prices'!AS132/'Asset Prices'!AS133-1</f>
        <v>-5.653266331658291E-2</v>
      </c>
      <c r="AT132" s="1">
        <f>'Asset Prices'!AT132/'Asset Prices'!AT133-1</f>
        <v>6.0661207158041464E-4</v>
      </c>
      <c r="AU132" s="1">
        <f>'Asset Prices'!AU132/'Asset Prices'!AU133-1</f>
        <v>-1.7991128798242384E-2</v>
      </c>
      <c r="AV132" s="1">
        <f>'Asset Prices'!AV132/'Asset Prices'!AV133-1</f>
        <v>-1.3913043478260945E-2</v>
      </c>
      <c r="AW132" s="1">
        <f>'Asset Prices'!AW132/'Asset Prices'!AW133-1</f>
        <v>-1.5722093284418204E-3</v>
      </c>
      <c r="AX132" s="1">
        <f>'Asset Prices'!AX132/'Asset Prices'!AX133-1</f>
        <v>-7.8673923800098966E-2</v>
      </c>
      <c r="AY132" s="1">
        <f>'Asset Prices'!AY132/'Asset Prices'!AY133-1</f>
        <v>-4.7711404189294093E-2</v>
      </c>
      <c r="AZ132" s="1">
        <f>'Asset Prices'!AZ132/'Asset Prices'!AZ133-1</f>
        <v>-6.1007045884172495E-2</v>
      </c>
      <c r="BA132" s="1">
        <f>'Asset Prices'!BA132/'Asset Prices'!BA133-1</f>
        <v>-9.3558834112990041E-3</v>
      </c>
      <c r="BB132" s="1">
        <f>'Asset Prices'!BB132/'Asset Prices'!BB133-1</f>
        <v>7.9916608756080976E-3</v>
      </c>
      <c r="BC132" s="1">
        <f>'Asset Prices'!BC132/'Asset Prices'!BC133-1</f>
        <v>-0.10575001850070298</v>
      </c>
      <c r="BD132" s="1">
        <f>'Asset Prices'!BD132/'Asset Prices'!BD133-1</f>
        <v>-2.4503957497560513E-2</v>
      </c>
    </row>
    <row r="133" spans="3:56" x14ac:dyDescent="0.25">
      <c r="C133" s="38">
        <f>'Asset Prices'!C133</f>
        <v>43440</v>
      </c>
      <c r="D133" s="1">
        <f>'Asset Prices'!D133/'Asset Prices'!D134-1</f>
        <v>1.4018691588785215E-2</v>
      </c>
      <c r="E133" s="1">
        <f>'Asset Prices'!E133/'Asset Prices'!E134-1</f>
        <v>-1.9552354000514582E-2</v>
      </c>
      <c r="F133" s="1">
        <f>'Asset Prices'!F133/'Asset Prices'!F134-1</f>
        <v>1.6142050040355072E-2</v>
      </c>
      <c r="G133" s="1">
        <f>'Asset Prices'!G133/'Asset Prices'!G134-1</f>
        <v>-2.5469728601252628E-2</v>
      </c>
      <c r="H133" s="1">
        <f>'Asset Prices'!H133/'Asset Prices'!H134-1</f>
        <v>-1.4282423404745392E-2</v>
      </c>
      <c r="I133" s="1">
        <f>'Asset Prices'!I133/'Asset Prices'!I134-1</f>
        <v>6.8503028554944834E-3</v>
      </c>
      <c r="J133" s="1">
        <f>'Asset Prices'!J133/'Asset Prices'!J134-1</f>
        <v>-2.6900584795321758E-2</v>
      </c>
      <c r="K133" s="1">
        <f>'Asset Prices'!K133/'Asset Prices'!K134-1</f>
        <v>1.5308591812711825E-2</v>
      </c>
      <c r="L133" s="1">
        <f>'Asset Prices'!L133/'Asset Prices'!L134-1</f>
        <v>-2.0329004329004308E-2</v>
      </c>
      <c r="M133" s="1">
        <f>'Asset Prices'!M133/'Asset Prices'!M134-1</f>
        <v>-9.075233687267481E-3</v>
      </c>
      <c r="N133" s="1">
        <f>'Asset Prices'!N133/'Asset Prices'!N134-1</f>
        <v>-1.5074275064408282E-2</v>
      </c>
      <c r="O133" s="1">
        <f>'Asset Prices'!O133/'Asset Prices'!O134-1</f>
        <v>6.4215914378780159E-3</v>
      </c>
      <c r="P133" s="1">
        <f>'Asset Prices'!P133/'Asset Prices'!P134-1</f>
        <v>-2.7980225268844694E-2</v>
      </c>
      <c r="Q133" s="1">
        <f>'Asset Prices'!Q133/'Asset Prices'!Q134-1</f>
        <v>-4.0926978574551742E-2</v>
      </c>
      <c r="R133" s="1">
        <f>'Asset Prices'!R133/'Asset Prices'!R134-1</f>
        <v>3.2602367552881706E-2</v>
      </c>
      <c r="S133" s="1">
        <f>'Asset Prices'!S133/'Asset Prices'!S134-1</f>
        <v>-6.5210303227924982E-4</v>
      </c>
      <c r="T133" s="1">
        <f>'Asset Prices'!T133/'Asset Prices'!T134-1</f>
        <v>-5.3512803676953435E-2</v>
      </c>
      <c r="U133" s="1">
        <f>'Asset Prices'!U133/'Asset Prices'!U134-1</f>
        <v>2.2397650082614184E-2</v>
      </c>
      <c r="V133" s="1">
        <f>'Asset Prices'!V133/'Asset Prices'!V134-1</f>
        <v>-1.347583643122674E-2</v>
      </c>
      <c r="W133" s="1">
        <f>'Asset Prices'!W133/'Asset Prices'!W134-1</f>
        <v>-2.7938192601841605E-2</v>
      </c>
      <c r="X133" s="1">
        <f>'Asset Prices'!X133/'Asset Prices'!X134-1</f>
        <v>6.9509674995305026E-3</v>
      </c>
      <c r="Y133" s="1">
        <f>'Asset Prices'!Y133/'Asset Prices'!Y134-1</f>
        <v>-1.2866222291117557E-2</v>
      </c>
      <c r="Z133" s="1">
        <f>'Asset Prices'!Z133/'Asset Prices'!Z134-1</f>
        <v>-1.842186060792228E-3</v>
      </c>
      <c r="AA133" s="1">
        <f>'Asset Prices'!AA133/'Asset Prices'!AA134-1</f>
        <v>-3.533370723499718E-2</v>
      </c>
      <c r="AB133" s="1">
        <f>'Asset Prices'!AB133/'Asset Prices'!AB134-1</f>
        <v>-2.7472527472528485E-3</v>
      </c>
      <c r="AC133" s="1">
        <f>'Asset Prices'!AC133/'Asset Prices'!AC134-1</f>
        <v>7.6545097182791011E-2</v>
      </c>
      <c r="AD133" s="1">
        <f>'Asset Prices'!AD133/'Asset Prices'!AD134-1</f>
        <v>-6.7068378307571397E-2</v>
      </c>
      <c r="AE133" s="1">
        <f>'Asset Prices'!AE133/'Asset Prices'!AE134-1</f>
        <v>-1.1365430149960498E-2</v>
      </c>
      <c r="AF133" s="1">
        <f>'Asset Prices'!AF133/'Asset Prices'!AF134-1</f>
        <v>-4.4788498755875206E-2</v>
      </c>
      <c r="AG133" s="1">
        <f>'Asset Prices'!AG133/'Asset Prices'!AG134-1</f>
        <v>-0.19888579387186622</v>
      </c>
      <c r="AH133" s="1">
        <f>'Asset Prices'!AH133/'Asset Prices'!AH134-1</f>
        <v>5.3490990990989751E-3</v>
      </c>
      <c r="AI133" s="1">
        <f>'Asset Prices'!AI133/'Asset Prices'!AI134-1</f>
        <v>1.0702471297917793E-2</v>
      </c>
      <c r="AJ133" s="1">
        <f>'Asset Prices'!AJ133/'Asset Prices'!AJ134-1</f>
        <v>1.1741682974559797E-2</v>
      </c>
      <c r="AK133" s="1">
        <f>'Asset Prices'!AK133/'Asset Prices'!AK134-1</f>
        <v>-9.4587493431423919E-3</v>
      </c>
      <c r="AL133" s="1">
        <f>'Asset Prices'!AL133/'Asset Prices'!AL134-1</f>
        <v>5.1535087719298156E-2</v>
      </c>
      <c r="AM133" s="1">
        <f>'Asset Prices'!AM133/'Asset Prices'!AM134-1</f>
        <v>2.0003292723081989E-2</v>
      </c>
      <c r="AN133" s="1">
        <f>'Asset Prices'!AN133/'Asset Prices'!AN134-1</f>
        <v>8.9520800421274416E-3</v>
      </c>
      <c r="AO133" s="1">
        <f>'Asset Prices'!AO133/'Asset Prices'!AO134-1</f>
        <v>-2.304457527333903E-2</v>
      </c>
      <c r="AP133" s="1">
        <f>'Asset Prices'!AP133/'Asset Prices'!AP134-1</f>
        <v>-2.1688776584544156E-2</v>
      </c>
      <c r="AQ133" s="1">
        <f>'Asset Prices'!AQ133/'Asset Prices'!AQ134-1</f>
        <v>9.3181147299025824E-2</v>
      </c>
      <c r="AR133" s="1">
        <f>'Asset Prices'!AR133/'Asset Prices'!AR134-1</f>
        <v>9.894867037724131E-3</v>
      </c>
      <c r="AS133" s="1">
        <f>'Asset Prices'!AS133/'Asset Prices'!AS134-1</f>
        <v>-6.4629847238542926E-2</v>
      </c>
      <c r="AT133" s="1">
        <f>'Asset Prices'!AT133/'Asset Prices'!AT134-1</f>
        <v>-2.368966538347661E-2</v>
      </c>
      <c r="AU133" s="1">
        <f>'Asset Prices'!AU133/'Asset Prices'!AU134-1</f>
        <v>-3.5465813674530167E-2</v>
      </c>
      <c r="AV133" s="1">
        <f>'Asset Prices'!AV133/'Asset Prices'!AV134-1</f>
        <v>-2.4652267330091626E-2</v>
      </c>
      <c r="AW133" s="1">
        <f>'Asset Prices'!AW133/'Asset Prices'!AW134-1</f>
        <v>1.6746593590621917E-2</v>
      </c>
      <c r="AX133" s="1">
        <f>'Asset Prices'!AX133/'Asset Prices'!AX134-1</f>
        <v>1.8136020151133581E-2</v>
      </c>
      <c r="AY133" s="1">
        <f>'Asset Prices'!AY133/'Asset Prices'!AY134-1</f>
        <v>-5.0110537951363332E-2</v>
      </c>
      <c r="AZ133" s="1">
        <f>'Asset Prices'!AZ133/'Asset Prices'!AZ134-1</f>
        <v>-5.2991452991453247E-3</v>
      </c>
      <c r="BA133" s="1">
        <f>'Asset Prices'!BA133/'Asset Prices'!BA134-1</f>
        <v>1.3863553447647003E-2</v>
      </c>
      <c r="BB133" s="1">
        <f>'Asset Prices'!BB133/'Asset Prices'!BB134-1</f>
        <v>3.9364391477067606E-2</v>
      </c>
      <c r="BC133" s="1">
        <f>'Asset Prices'!BC133/'Asset Prices'!BC134-1</f>
        <v>7.1779822335025445E-2</v>
      </c>
      <c r="BD133" s="1">
        <f>'Asset Prices'!BD133/'Asset Prices'!BD134-1</f>
        <v>-5.6952965235173791E-2</v>
      </c>
    </row>
    <row r="134" spans="3:56" x14ac:dyDescent="0.25">
      <c r="C134" s="38">
        <f>'Asset Prices'!C134</f>
        <v>43433</v>
      </c>
      <c r="D134" s="1">
        <f>'Asset Prices'!D134/'Asset Prices'!D135-1</f>
        <v>3.481624758220514E-2</v>
      </c>
      <c r="E134" s="1">
        <f>'Asset Prices'!E134/'Asset Prices'!E135-1</f>
        <v>3.1673007166238998E-2</v>
      </c>
      <c r="F134" s="1">
        <f>'Asset Prices'!F134/'Asset Prices'!F135-1</f>
        <v>2.7221224264197819E-2</v>
      </c>
      <c r="G134" s="1">
        <f>'Asset Prices'!G134/'Asset Prices'!G135-1</f>
        <v>-1.480872069107364E-2</v>
      </c>
      <c r="H134" s="1">
        <f>'Asset Prices'!H134/'Asset Prices'!H135-1</f>
        <v>5.1344151126180515E-2</v>
      </c>
      <c r="I134" s="1">
        <f>'Asset Prices'!I134/'Asset Prices'!I135-1</f>
        <v>2.8630766948523956E-2</v>
      </c>
      <c r="J134" s="1">
        <f>'Asset Prices'!J134/'Asset Prices'!J135-1</f>
        <v>1.5669193347663812E-2</v>
      </c>
      <c r="K134" s="1">
        <f>'Asset Prices'!K134/'Asset Prices'!K135-1</f>
        <v>0.10340667093022482</v>
      </c>
      <c r="L134" s="1">
        <f>'Asset Prices'!L134/'Asset Prices'!L135-1</f>
        <v>0.10155266470835089</v>
      </c>
      <c r="M134" s="1">
        <f>'Asset Prices'!M134/'Asset Prices'!M135-1</f>
        <v>6.8664533022985141E-2</v>
      </c>
      <c r="N134" s="1">
        <f>'Asset Prices'!N134/'Asset Prices'!N135-1</f>
        <v>4.9021017222046437E-2</v>
      </c>
      <c r="O134" s="1">
        <f>'Asset Prices'!O134/'Asset Prices'!O135-1</f>
        <v>1.2151469480030208E-2</v>
      </c>
      <c r="P134" s="1">
        <f>'Asset Prices'!P134/'Asset Prices'!P135-1</f>
        <v>1.0298130889243584E-2</v>
      </c>
      <c r="Q134" s="1">
        <f>'Asset Prices'!Q134/'Asset Prices'!Q135-1</f>
        <v>6.0170591507509696E-2</v>
      </c>
      <c r="R134" s="1">
        <f>'Asset Prices'!R134/'Asset Prices'!R135-1</f>
        <v>1.5369458128078772E-2</v>
      </c>
      <c r="S134" s="1">
        <f>'Asset Prices'!S134/'Asset Prices'!S135-1</f>
        <v>9.7911227154057201E-4</v>
      </c>
      <c r="T134" s="1">
        <f>'Asset Prices'!T134/'Asset Prices'!T135-1</f>
        <v>3.9856618588375969E-2</v>
      </c>
      <c r="U134" s="1">
        <f>'Asset Prices'!U134/'Asset Prices'!U135-1</f>
        <v>4.8306389530407889E-2</v>
      </c>
      <c r="V134" s="1">
        <f>'Asset Prices'!V134/'Asset Prices'!V135-1</f>
        <v>6.077606358111165E-3</v>
      </c>
      <c r="W134" s="1">
        <f>'Asset Prices'!W134/'Asset Prices'!W135-1</f>
        <v>3.18891931067804E-2</v>
      </c>
      <c r="X134" s="1">
        <f>'Asset Prices'!X134/'Asset Prices'!X135-1</f>
        <v>1.8755980861243859E-2</v>
      </c>
      <c r="Y134" s="1">
        <f>'Asset Prices'!Y134/'Asset Prices'!Y135-1</f>
        <v>4.9625231304822215E-2</v>
      </c>
      <c r="Z134" s="1">
        <f>'Asset Prices'!Z134/'Asset Prices'!Z135-1</f>
        <v>6.1443932411675561E-4</v>
      </c>
      <c r="AA134" s="1">
        <f>'Asset Prices'!AA134/'Asset Prices'!AA135-1</f>
        <v>5.7323581735520879E-2</v>
      </c>
      <c r="AB134" s="1">
        <f>'Asset Prices'!AB134/'Asset Prices'!AB135-1</f>
        <v>4.2979942693409656E-2</v>
      </c>
      <c r="AC134" s="1">
        <f>'Asset Prices'!AC134/'Asset Prices'!AC135-1</f>
        <v>4.3171204009568198E-2</v>
      </c>
      <c r="AD134" s="1">
        <f>'Asset Prices'!AD134/'Asset Prices'!AD135-1</f>
        <v>5.5294442908487618E-2</v>
      </c>
      <c r="AE134" s="1">
        <f>'Asset Prices'!AE134/'Asset Prices'!AE135-1</f>
        <v>5.9187426851696978E-2</v>
      </c>
      <c r="AF134" s="1">
        <f>'Asset Prices'!AF134/'Asset Prices'!AF135-1</f>
        <v>2.0022560631697717E-2</v>
      </c>
      <c r="AG134" s="1">
        <f>'Asset Prices'!AG134/'Asset Prices'!AG135-1</f>
        <v>7.2666427632365194E-2</v>
      </c>
      <c r="AH134" s="1">
        <f>'Asset Prices'!AH134/'Asset Prices'!AH135-1</f>
        <v>1.1965811965811923E-2</v>
      </c>
      <c r="AI134" s="1">
        <f>'Asset Prices'!AI134/'Asset Prices'!AI135-1</f>
        <v>5.2211302211302213E-2</v>
      </c>
      <c r="AJ134" s="1">
        <f>'Asset Prices'!AJ134/'Asset Prices'!AJ135-1</f>
        <v>-3.1213421771361105E-3</v>
      </c>
      <c r="AK134" s="1">
        <f>'Asset Prices'!AK134/'Asset Prices'!AK135-1</f>
        <v>5.4293628808864236E-2</v>
      </c>
      <c r="AL134" s="1">
        <f>'Asset Prices'!AL134/'Asset Prices'!AL135-1</f>
        <v>2.1086023511849072E-2</v>
      </c>
      <c r="AM134" s="1">
        <f>'Asset Prices'!AM134/'Asset Prices'!AM135-1</f>
        <v>2.4542464367040662E-2</v>
      </c>
      <c r="AN134" s="1">
        <f>'Asset Prices'!AN134/'Asset Prices'!AN135-1</f>
        <v>3.9978094194961677E-2</v>
      </c>
      <c r="AO134" s="1">
        <f>'Asset Prices'!AO134/'Asset Prices'!AO135-1</f>
        <v>4.9019607843139301E-3</v>
      </c>
      <c r="AP134" s="1">
        <f>'Asset Prices'!AP134/'Asset Prices'!AP135-1</f>
        <v>2.8812824956672589E-2</v>
      </c>
      <c r="AQ134" s="1">
        <f>'Asset Prices'!AQ134/'Asset Prices'!AQ135-1</f>
        <v>9.6805525577379647E-2</v>
      </c>
      <c r="AR134" s="1">
        <f>'Asset Prices'!AR134/'Asset Prices'!AR135-1</f>
        <v>-3.7213456385829069E-2</v>
      </c>
      <c r="AS134" s="1">
        <f>'Asset Prices'!AS134/'Asset Prices'!AS135-1</f>
        <v>1.9772318753744633E-2</v>
      </c>
      <c r="AT134" s="1">
        <f>'Asset Prices'!AT134/'Asset Prices'!AT135-1</f>
        <v>4.7456575682382152E-2</v>
      </c>
      <c r="AU134" s="1">
        <f>'Asset Prices'!AU134/'Asset Prices'!AU135-1</f>
        <v>3.3300280945298244E-2</v>
      </c>
      <c r="AV134" s="1">
        <f>'Asset Prices'!AV134/'Asset Prices'!AV135-1</f>
        <v>7.6707658590040362E-2</v>
      </c>
      <c r="AW134" s="1">
        <f>'Asset Prices'!AW134/'Asset Prices'!AW135-1</f>
        <v>9.4385204931689337E-2</v>
      </c>
      <c r="AX134" s="1">
        <f>'Asset Prices'!AX134/'Asset Prices'!AX135-1</f>
        <v>0.10831937465103292</v>
      </c>
      <c r="AY134" s="1">
        <f>'Asset Prices'!AY134/'Asset Prices'!AY135-1</f>
        <v>3.0763387770603945E-2</v>
      </c>
      <c r="AZ134" s="1">
        <f>'Asset Prices'!AZ134/'Asset Prices'!AZ135-1</f>
        <v>8.2730093071354815E-3</v>
      </c>
      <c r="BA134" s="1">
        <f>'Asset Prices'!BA134/'Asset Prices'!BA135-1</f>
        <v>-5.0816696914700588E-3</v>
      </c>
      <c r="BB134" s="1">
        <f>'Asset Prices'!BB134/'Asset Prices'!BB135-1</f>
        <v>-4.0762498501378808E-3</v>
      </c>
      <c r="BC134" s="1">
        <f>'Asset Prices'!BC134/'Asset Prices'!BC135-1</f>
        <v>4.1725192101131903E-2</v>
      </c>
      <c r="BD134" s="1">
        <f>'Asset Prices'!BD134/'Asset Prices'!BD135-1</f>
        <v>-3.3628859675940426E-3</v>
      </c>
    </row>
    <row r="135" spans="3:56" x14ac:dyDescent="0.25">
      <c r="C135" s="38">
        <f>'Asset Prices'!C135</f>
        <v>43425</v>
      </c>
      <c r="D135" s="1">
        <f>'Asset Prices'!D135/'Asset Prices'!D136-1</f>
        <v>-5.2312464749013077E-2</v>
      </c>
      <c r="E135" s="1">
        <f>'Asset Prices'!E135/'Asset Prices'!E136-1</f>
        <v>-3.483904021859785E-2</v>
      </c>
      <c r="F135" s="1">
        <f>'Asset Prices'!F135/'Asset Prices'!F136-1</f>
        <v>-2.6368895466164277E-2</v>
      </c>
      <c r="G135" s="1">
        <f>'Asset Prices'!G135/'Asset Prices'!G136-1</f>
        <v>-3.9699782737507516E-2</v>
      </c>
      <c r="H135" s="1">
        <f>'Asset Prices'!H135/'Asset Prices'!H136-1</f>
        <v>-4.2883634677793103E-2</v>
      </c>
      <c r="I135" s="1">
        <f>'Asset Prices'!I135/'Asset Prices'!I136-1</f>
        <v>-6.2773722627737283E-2</v>
      </c>
      <c r="J135" s="1">
        <f>'Asset Prices'!J135/'Asset Prices'!J136-1</f>
        <v>-7.6432788255576978E-2</v>
      </c>
      <c r="K135" s="1">
        <f>'Asset Prices'!K135/'Asset Prices'!K136-1</f>
        <v>-6.3423158622733844E-2</v>
      </c>
      <c r="L135" s="1">
        <f>'Asset Prices'!L135/'Asset Prices'!L136-1</f>
        <v>-9.6290422671171494E-2</v>
      </c>
      <c r="M135" s="1">
        <f>'Asset Prices'!M135/'Asset Prices'!M136-1</f>
        <v>-3.8870246085011217E-2</v>
      </c>
      <c r="N135" s="1">
        <f>'Asset Prices'!N135/'Asset Prices'!N136-1</f>
        <v>-2.5787778348349666E-2</v>
      </c>
      <c r="O135" s="1">
        <f>'Asset Prices'!O135/'Asset Prices'!O136-1</f>
        <v>-2.0754542938843268E-2</v>
      </c>
      <c r="P135" s="1">
        <f>'Asset Prices'!P135/'Asset Prices'!P136-1</f>
        <v>-1.6359400324149065E-2</v>
      </c>
      <c r="Q135" s="1">
        <f>'Asset Prices'!Q135/'Asset Prices'!Q136-1</f>
        <v>-3.1646990169232891E-2</v>
      </c>
      <c r="R135" s="1">
        <f>'Asset Prices'!R135/'Asset Prices'!R136-1</f>
        <v>-1.206930114853022E-2</v>
      </c>
      <c r="S135" s="1">
        <f>'Asset Prices'!S135/'Asset Prices'!S136-1</f>
        <v>4.5901639344263501E-3</v>
      </c>
      <c r="T135" s="1">
        <f>'Asset Prices'!T135/'Asset Prices'!T136-1</f>
        <v>-9.6357028146395463E-3</v>
      </c>
      <c r="U135" s="1">
        <f>'Asset Prices'!U135/'Asset Prices'!U136-1</f>
        <v>-3.2942490228922372E-2</v>
      </c>
      <c r="V135" s="1">
        <f>'Asset Prices'!V135/'Asset Prices'!V136-1</f>
        <v>8.2216038451808693E-2</v>
      </c>
      <c r="W135" s="1">
        <f>'Asset Prices'!W135/'Asset Prices'!W136-1</f>
        <v>-8.3948067276482741E-2</v>
      </c>
      <c r="X135" s="1">
        <f>'Asset Prices'!X135/'Asset Prices'!X136-1</f>
        <v>-1.8410670674431695E-2</v>
      </c>
      <c r="Y135" s="1">
        <f>'Asset Prices'!Y135/'Asset Prices'!Y136-1</f>
        <v>-2.420208741933727E-2</v>
      </c>
      <c r="Z135" s="1">
        <f>'Asset Prices'!Z135/'Asset Prices'!Z136-1</f>
        <v>-7.7642391612354866E-2</v>
      </c>
      <c r="AA135" s="1">
        <f>'Asset Prices'!AA135/'Asset Prices'!AA136-1</f>
        <v>-5.4569239394505642E-2</v>
      </c>
      <c r="AB135" s="1">
        <f>'Asset Prices'!AB135/'Asset Prices'!AB136-1</f>
        <v>-2.2408963585434094E-2</v>
      </c>
      <c r="AC135" s="1">
        <f>'Asset Prices'!AC135/'Asset Prices'!AC136-1</f>
        <v>-3.3575517393218846E-2</v>
      </c>
      <c r="AD135" s="1">
        <f>'Asset Prices'!AD135/'Asset Prices'!AD136-1</f>
        <v>-8.221263638670373E-2</v>
      </c>
      <c r="AE135" s="1">
        <f>'Asset Prices'!AE135/'Asset Prices'!AE136-1</f>
        <v>5.0411695513359334E-3</v>
      </c>
      <c r="AF135" s="1">
        <f>'Asset Prices'!AF135/'Asset Prices'!AF136-1</f>
        <v>-1.8815716657443304E-2</v>
      </c>
      <c r="AG135" s="1">
        <f>'Asset Prices'!AG135/'Asset Prices'!AG136-1</f>
        <v>-6.1890346451395906E-2</v>
      </c>
      <c r="AH135" s="1">
        <f>'Asset Prices'!AH135/'Asset Prices'!AH136-1</f>
        <v>-8.3072100313479669E-2</v>
      </c>
      <c r="AI135" s="1">
        <f>'Asset Prices'!AI135/'Asset Prices'!AI136-1</f>
        <v>5.1450915826301014E-3</v>
      </c>
      <c r="AJ135" s="1">
        <f>'Asset Prices'!AJ135/'Asset Prices'!AJ136-1</f>
        <v>0</v>
      </c>
      <c r="AK135" s="1">
        <f>'Asset Prices'!AK135/'Asset Prices'!AK136-1</f>
        <v>-6.604292790313715E-3</v>
      </c>
      <c r="AL135" s="1">
        <f>'Asset Prices'!AL135/'Asset Prices'!AL136-1</f>
        <v>0.13562195380377218</v>
      </c>
      <c r="AM135" s="1">
        <f>'Asset Prices'!AM135/'Asset Prices'!AM136-1</f>
        <v>-2.3633069828722042E-2</v>
      </c>
      <c r="AN135" s="1">
        <f>'Asset Prices'!AN135/'Asset Prices'!AN136-1</f>
        <v>-2.596017069701273E-2</v>
      </c>
      <c r="AO135" s="1">
        <f>'Asset Prices'!AO135/'Asset Prices'!AO136-1</f>
        <v>1.3540961408260443E-3</v>
      </c>
      <c r="AP135" s="1">
        <f>'Asset Prices'!AP135/'Asset Prices'!AP136-1</f>
        <v>-0.12025919573089394</v>
      </c>
      <c r="AQ135" s="1">
        <f>'Asset Prices'!AQ135/'Asset Prices'!AQ136-1</f>
        <v>-8.8351042896497534E-2</v>
      </c>
      <c r="AR135" s="1">
        <f>'Asset Prices'!AR135/'Asset Prices'!AR136-1</f>
        <v>2.2215459525258607E-2</v>
      </c>
      <c r="AS135" s="1">
        <f>'Asset Prices'!AS135/'Asset Prices'!AS136-1</f>
        <v>-5.0085372794536065E-2</v>
      </c>
      <c r="AT135" s="1">
        <f>'Asset Prices'!AT135/'Asset Prices'!AT136-1</f>
        <v>-2.6276049531863355E-2</v>
      </c>
      <c r="AU135" s="1">
        <f>'Asset Prices'!AU135/'Asset Prices'!AU136-1</f>
        <v>8.3319446758873816E-3</v>
      </c>
      <c r="AV135" s="1">
        <f>'Asset Prices'!AV135/'Asset Prices'!AV136-1</f>
        <v>-3.9639850327408799E-2</v>
      </c>
      <c r="AW135" s="1">
        <f>'Asset Prices'!AW135/'Asset Prices'!AW136-1</f>
        <v>-3.7369687249398487E-2</v>
      </c>
      <c r="AX135" s="1">
        <f>'Asset Prices'!AX135/'Asset Prices'!AX136-1</f>
        <v>-4.7340425531914976E-2</v>
      </c>
      <c r="AY135" s="1">
        <f>'Asset Prices'!AY135/'Asset Prices'!AY136-1</f>
        <v>-4.3588812204867433E-2</v>
      </c>
      <c r="AZ135" s="1">
        <f>'Asset Prices'!AZ135/'Asset Prices'!AZ136-1</f>
        <v>1.0801393728222974E-2</v>
      </c>
      <c r="BA135" s="1">
        <f>'Asset Prices'!BA135/'Asset Prices'!BA136-1</f>
        <v>-6.8312478863713277E-2</v>
      </c>
      <c r="BB135" s="1">
        <f>'Asset Prices'!BB135/'Asset Prices'!BB136-1</f>
        <v>1.0801728276523814E-3</v>
      </c>
      <c r="BC135" s="1">
        <f>'Asset Prices'!BC135/'Asset Prices'!BC136-1</f>
        <v>-3.2940788931895559E-3</v>
      </c>
      <c r="BD135" s="1">
        <f>'Asset Prices'!BD135/'Asset Prices'!BD136-1</f>
        <v>-1.8503700740148066E-2</v>
      </c>
    </row>
    <row r="136" spans="3:56" x14ac:dyDescent="0.25">
      <c r="C136" s="38">
        <f>'Asset Prices'!C136</f>
        <v>43419</v>
      </c>
      <c r="D136" s="1">
        <f>'Asset Prices'!D136/'Asset Prices'!D137-1</f>
        <v>-2.3342284651931333E-2</v>
      </c>
      <c r="E136" s="1">
        <f>'Asset Prices'!E136/'Asset Prices'!E137-1</f>
        <v>9.5689655172412902E-3</v>
      </c>
      <c r="F136" s="1">
        <f>'Asset Prices'!F136/'Asset Prices'!F137-1</f>
        <v>-4.4355875546412959E-2</v>
      </c>
      <c r="G136" s="1">
        <f>'Asset Prices'!G136/'Asset Prices'!G137-1</f>
        <v>3.9658933174697708E-3</v>
      </c>
      <c r="H136" s="1">
        <f>'Asset Prices'!H136/'Asset Prices'!H137-1</f>
        <v>-1.4993530710099678E-2</v>
      </c>
      <c r="I136" s="1">
        <f>'Asset Prices'!I136/'Asset Prices'!I137-1</f>
        <v>-2.7186041793467286E-2</v>
      </c>
      <c r="J136" s="1">
        <f>'Asset Prices'!J136/'Asset Prices'!J137-1</f>
        <v>-8.1922394359441708E-2</v>
      </c>
      <c r="K136" s="1">
        <f>'Asset Prices'!K136/'Asset Prices'!K137-1</f>
        <v>-7.7194841900724231E-2</v>
      </c>
      <c r="L136" s="1">
        <f>'Asset Prices'!L136/'Asset Prices'!L137-1</f>
        <v>-8.7632108706592882E-2</v>
      </c>
      <c r="M136" s="1">
        <f>'Asset Prices'!M136/'Asset Prices'!M137-1</f>
        <v>-4.0000000000000036E-2</v>
      </c>
      <c r="N136" s="1">
        <f>'Asset Prices'!N136/'Asset Prices'!N137-1</f>
        <v>-2.1541525446954868E-2</v>
      </c>
      <c r="O136" s="1">
        <f>'Asset Prices'!O136/'Asset Prices'!O137-1</f>
        <v>1.2515176987017762E-2</v>
      </c>
      <c r="P136" s="1">
        <f>'Asset Prices'!P136/'Asset Prices'!P137-1</f>
        <v>-3.5560765924189108E-2</v>
      </c>
      <c r="Q136" s="1">
        <f>'Asset Prices'!Q136/'Asset Prices'!Q137-1</f>
        <v>-9.3214474701835748E-2</v>
      </c>
      <c r="R136" s="1">
        <f>'Asset Prices'!R136/'Asset Prices'!R137-1</f>
        <v>4.1354145550374977E-2</v>
      </c>
      <c r="S136" s="1">
        <f>'Asset Prices'!S136/'Asset Prices'!S137-1</f>
        <v>-3.0514939605848723E-2</v>
      </c>
      <c r="T136" s="1">
        <f>'Asset Prices'!T136/'Asset Prices'!T137-1</f>
        <v>1.1975023522367678E-2</v>
      </c>
      <c r="U136" s="1">
        <f>'Asset Prices'!U136/'Asset Prices'!U137-1</f>
        <v>3.7237013591506773E-4</v>
      </c>
      <c r="V136" s="1">
        <f>'Asset Prices'!V136/'Asset Prices'!V137-1</f>
        <v>-5.6563245823389008E-2</v>
      </c>
      <c r="W136" s="1">
        <f>'Asset Prices'!W136/'Asset Prices'!W137-1</f>
        <v>-7.442305066229693E-2</v>
      </c>
      <c r="X136" s="1">
        <f>'Asset Prices'!X136/'Asset Prices'!X137-1</f>
        <v>9.6737481031865524E-3</v>
      </c>
      <c r="Y136" s="1">
        <f>'Asset Prices'!Y136/'Asset Prices'!Y137-1</f>
        <v>-2.4350649353393039E-2</v>
      </c>
      <c r="Z136" s="1">
        <f>'Asset Prices'!Z136/'Asset Prices'!Z137-1</f>
        <v>-4.4408340102897403E-2</v>
      </c>
      <c r="AA136" s="1">
        <f>'Asset Prices'!AA136/'Asset Prices'!AA137-1</f>
        <v>-3.4986474301172299E-2</v>
      </c>
      <c r="AB136" s="1">
        <f>'Asset Prices'!AB136/'Asset Prices'!AB137-1</f>
        <v>-5.8047493403693973E-2</v>
      </c>
      <c r="AC136" s="1">
        <f>'Asset Prices'!AC136/'Asset Prices'!AC137-1</f>
        <v>-9.907765545968461E-2</v>
      </c>
      <c r="AD136" s="1">
        <f>'Asset Prices'!AD136/'Asset Prices'!AD137-1</f>
        <v>-5.1732435033686408E-2</v>
      </c>
      <c r="AE136" s="1">
        <f>'Asset Prices'!AE136/'Asset Prices'!AE137-1</f>
        <v>-7.5644610127368672E-2</v>
      </c>
      <c r="AF136" s="1">
        <f>'Asset Prices'!AF136/'Asset Prices'!AF137-1</f>
        <v>-2.2979183563125227E-2</v>
      </c>
      <c r="AG136" s="1">
        <f>'Asset Prices'!AG136/'Asset Prices'!AG137-1</f>
        <v>-3.8382749326145604E-2</v>
      </c>
      <c r="AH136" s="1">
        <f>'Asset Prices'!AH136/'Asset Prices'!AH137-1</f>
        <v>4.7244094488188004E-3</v>
      </c>
      <c r="AI136" s="1">
        <f>'Asset Prices'!AI136/'Asset Prices'!AI137-1</f>
        <v>-8.3673469387753885E-3</v>
      </c>
      <c r="AJ136" s="1">
        <f>'Asset Prices'!AJ136/'Asset Prices'!AJ137-1</f>
        <v>2.4380495603517183E-2</v>
      </c>
      <c r="AK136" s="1">
        <f>'Asset Prices'!AK136/'Asset Prices'!AK137-1</f>
        <v>-3.2912781130004509E-3</v>
      </c>
      <c r="AL136" s="1">
        <f>'Asset Prices'!AL136/'Asset Prices'!AL137-1</f>
        <v>-0.32012678288431062</v>
      </c>
      <c r="AM136" s="1">
        <f>'Asset Prices'!AM136/'Asset Prices'!AM137-1</f>
        <v>-1.5723780191278958E-2</v>
      </c>
      <c r="AN136" s="1">
        <f>'Asset Prices'!AN136/'Asset Prices'!AN137-1</f>
        <v>-1.5003794734076648E-2</v>
      </c>
      <c r="AO136" s="1">
        <f>'Asset Prices'!AO136/'Asset Prices'!AO137-1</f>
        <v>1.3900806590011916E-2</v>
      </c>
      <c r="AP136" s="1">
        <f>'Asset Prices'!AP136/'Asset Prices'!AP137-1</f>
        <v>-5.5275477133597373E-2</v>
      </c>
      <c r="AQ136" s="1">
        <f>'Asset Prices'!AQ136/'Asset Prices'!AQ137-1</f>
        <v>-8.8469478030084314E-4</v>
      </c>
      <c r="AR136" s="1">
        <f>'Asset Prices'!AR136/'Asset Prices'!AR137-1</f>
        <v>1.3571869216532972E-2</v>
      </c>
      <c r="AS136" s="1">
        <f>'Asset Prices'!AS136/'Asset Prices'!AS137-1</f>
        <v>-5.4104979811574694E-2</v>
      </c>
      <c r="AT136" s="1">
        <f>'Asset Prices'!AT136/'Asset Prices'!AT137-1</f>
        <v>-5.1081730769231282E-3</v>
      </c>
      <c r="AU136" s="1">
        <f>'Asset Prices'!AU136/'Asset Prices'!AU137-1</f>
        <v>-1.816099476439792E-2</v>
      </c>
      <c r="AV136" s="1">
        <f>'Asset Prices'!AV136/'Asset Prices'!AV137-1</f>
        <v>-2.6522481502561202E-2</v>
      </c>
      <c r="AW136" s="1">
        <f>'Asset Prices'!AW136/'Asset Prices'!AW137-1</f>
        <v>-2.0654990968349884E-2</v>
      </c>
      <c r="AX136" s="1">
        <f>'Asset Prices'!AX136/'Asset Prices'!AX137-1</f>
        <v>-5.5276381909547645E-2</v>
      </c>
      <c r="AY136" s="1">
        <f>'Asset Prices'!AY136/'Asset Prices'!AY137-1</f>
        <v>-7.5702956020186063E-3</v>
      </c>
      <c r="AZ136" s="1">
        <f>'Asset Prices'!AZ136/'Asset Prices'!AZ137-1</f>
        <v>-9.1489728983255025E-3</v>
      </c>
      <c r="BA136" s="1">
        <f>'Asset Prices'!BA136/'Asset Prices'!BA137-1</f>
        <v>8.4739545121056414E-2</v>
      </c>
      <c r="BB136" s="1">
        <f>'Asset Prices'!BB136/'Asset Prices'!BB137-1</f>
        <v>2.8641975308641987E-2</v>
      </c>
      <c r="BC136" s="1">
        <f>'Asset Prices'!BC136/'Asset Prices'!BC137-1</f>
        <v>1.0737472948227023E-2</v>
      </c>
      <c r="BD136" s="1">
        <f>'Asset Prices'!BD136/'Asset Prices'!BD137-1</f>
        <v>-3.2139399806389135E-2</v>
      </c>
    </row>
    <row r="137" spans="3:56" x14ac:dyDescent="0.25">
      <c r="C137" s="38">
        <f>'Asset Prices'!C137</f>
        <v>43412</v>
      </c>
      <c r="D137" s="1">
        <f>'Asset Prices'!D137/'Asset Prices'!D138-1</f>
        <v>3.1243343037704818E-2</v>
      </c>
      <c r="E137" s="1">
        <f>'Asset Prices'!E137/'Asset Prices'!E138-1</f>
        <v>-8.6132644272174375E-4</v>
      </c>
      <c r="F137" s="1">
        <f>'Asset Prices'!F137/'Asset Prices'!F138-1</f>
        <v>1.2892303685375639E-2</v>
      </c>
      <c r="G137" s="1">
        <f>'Asset Prices'!G137/'Asset Prices'!G138-1</f>
        <v>3.7867874048157946E-2</v>
      </c>
      <c r="H137" s="1">
        <f>'Asset Prices'!H137/'Asset Prices'!H138-1</f>
        <v>5.3648757016840243E-2</v>
      </c>
      <c r="I137" s="1">
        <f>'Asset Prices'!I137/'Asset Prices'!I138-1</f>
        <v>-2.5568369028006521E-2</v>
      </c>
      <c r="J137" s="1">
        <f>'Asset Prices'!J137/'Asset Prices'!J138-1</f>
        <v>-6.1785617856178532E-2</v>
      </c>
      <c r="K137" s="1">
        <f>'Asset Prices'!K137/'Asset Prices'!K138-1</f>
        <v>5.3664599256693091E-2</v>
      </c>
      <c r="L137" s="1">
        <f>'Asset Prices'!L137/'Asset Prices'!L138-1</f>
        <v>1.7014304619069609E-3</v>
      </c>
      <c r="M137" s="1">
        <f>'Asset Prices'!M137/'Asset Prices'!M138-1</f>
        <v>5.5041540785498499E-2</v>
      </c>
      <c r="N137" s="1">
        <f>'Asset Prices'!N137/'Asset Prices'!N138-1</f>
        <v>7.9651558960571744E-3</v>
      </c>
      <c r="O137" s="1">
        <f>'Asset Prices'!O137/'Asset Prices'!O138-1</f>
        <v>-2.5153717160425471E-3</v>
      </c>
      <c r="P137" s="1">
        <f>'Asset Prices'!P137/'Asset Prices'!P138-1</f>
        <v>1.9115890083632125E-2</v>
      </c>
      <c r="Q137" s="1">
        <f>'Asset Prices'!Q137/'Asset Prices'!Q138-1</f>
        <v>6.3736739554016042E-2</v>
      </c>
      <c r="R137" s="1">
        <f>'Asset Prices'!R137/'Asset Prices'!R138-1</f>
        <v>1.7742933773468028E-2</v>
      </c>
      <c r="S137" s="1">
        <f>'Asset Prices'!S137/'Asset Prices'!S138-1</f>
        <v>2.5423728813559254E-2</v>
      </c>
      <c r="T137" s="1">
        <f>'Asset Prices'!T137/'Asset Prices'!T138-1</f>
        <v>-3.4519778677017166E-2</v>
      </c>
      <c r="U137" s="1">
        <f>'Asset Prices'!U137/'Asset Prices'!U138-1</f>
        <v>-5.8710129688047674E-2</v>
      </c>
      <c r="V137" s="1">
        <f>'Asset Prices'!V137/'Asset Prices'!V138-1</f>
        <v>-4.8592188919164392E-2</v>
      </c>
      <c r="W137" s="1">
        <f>'Asset Prices'!W137/'Asset Prices'!W138-1</f>
        <v>2.0525451559934016E-3</v>
      </c>
      <c r="X137" s="1">
        <f>'Asset Prices'!X137/'Asset Prices'!X138-1</f>
        <v>3.4739941118743678E-2</v>
      </c>
      <c r="Y137" s="1">
        <f>'Asset Prices'!Y137/'Asset Prices'!Y138-1</f>
        <v>6.3569298377674999E-2</v>
      </c>
      <c r="Z137" s="1">
        <f>'Asset Prices'!Z137/'Asset Prices'!Z138-1</f>
        <v>8.1300813008122752E-4</v>
      </c>
      <c r="AA137" s="1">
        <f>'Asset Prices'!AA137/'Asset Prices'!AA138-1</f>
        <v>3.066914498141271E-2</v>
      </c>
      <c r="AB137" s="1">
        <f>'Asset Prices'!AB137/'Asset Prices'!AB138-1</f>
        <v>3.5519125683060038E-2</v>
      </c>
      <c r="AC137" s="1">
        <f>'Asset Prices'!AC137/'Asset Prices'!AC138-1</f>
        <v>-0.22229078287697657</v>
      </c>
      <c r="AD137" s="1">
        <f>'Asset Prices'!AD137/'Asset Prices'!AD138-1</f>
        <v>-4.4487872169214793E-2</v>
      </c>
      <c r="AE137" s="1">
        <f>'Asset Prices'!AE137/'Asset Prices'!AE138-1</f>
        <v>-1.1970534069981609E-2</v>
      </c>
      <c r="AF137" s="1">
        <f>'Asset Prices'!AF137/'Asset Prices'!AF138-1</f>
        <v>0.15161892901618934</v>
      </c>
      <c r="AG137" s="1">
        <f>'Asset Prices'!AG137/'Asset Prices'!AG138-1</f>
        <v>6.0744115413819966E-3</v>
      </c>
      <c r="AH137" s="1">
        <f>'Asset Prices'!AH137/'Asset Prices'!AH138-1</f>
        <v>6.2761506276150625E-2</v>
      </c>
      <c r="AI137" s="1">
        <f>'Asset Prices'!AI137/'Asset Prices'!AI138-1</f>
        <v>4.7680136839854503E-2</v>
      </c>
      <c r="AJ137" s="1">
        <f>'Asset Prices'!AJ137/'Asset Prices'!AJ138-1</f>
        <v>8.6880973066898459E-2</v>
      </c>
      <c r="AK137" s="1">
        <f>'Asset Prices'!AK137/'Asset Prices'!AK138-1</f>
        <v>5.803830528148568E-2</v>
      </c>
      <c r="AL137" s="1">
        <f>'Asset Prices'!AL137/'Asset Prices'!AL138-1</f>
        <v>1.7891186390966318E-2</v>
      </c>
      <c r="AM137" s="1">
        <f>'Asset Prices'!AM137/'Asset Prices'!AM138-1</f>
        <v>5.6064367029016404E-2</v>
      </c>
      <c r="AN137" s="1">
        <f>'Asset Prices'!AN137/'Asset Prices'!AN138-1</f>
        <v>2.8336435132376714E-2</v>
      </c>
      <c r="AO137" s="1">
        <f>'Asset Prices'!AO137/'Asset Prices'!AO138-1</f>
        <v>3.9607493309545161E-2</v>
      </c>
      <c r="AP137" s="1">
        <f>'Asset Prices'!AP137/'Asset Prices'!AP138-1</f>
        <v>8.5345923370256926E-3</v>
      </c>
      <c r="AQ137" s="1">
        <f>'Asset Prices'!AQ137/'Asset Prices'!AQ138-1</f>
        <v>-1.2521840419336017E-2</v>
      </c>
      <c r="AR137" s="1">
        <f>'Asset Prices'!AR137/'Asset Prices'!AR138-1</f>
        <v>1.1228945726762252E-2</v>
      </c>
      <c r="AS137" s="1">
        <f>'Asset Prices'!AS137/'Asset Prices'!AS138-1</f>
        <v>0.1455442491520198</v>
      </c>
      <c r="AT137" s="1">
        <f>'Asset Prices'!AT137/'Asset Prices'!AT138-1</f>
        <v>-7.2851372057389674E-2</v>
      </c>
      <c r="AU137" s="1">
        <f>'Asset Prices'!AU137/'Asset Prices'!AU138-1</f>
        <v>4.4072429108301892E-2</v>
      </c>
      <c r="AV137" s="1">
        <f>'Asset Prices'!AV137/'Asset Prices'!AV138-1</f>
        <v>3.4746760895170592E-2</v>
      </c>
      <c r="AW137" s="1">
        <f>'Asset Prices'!AW137/'Asset Prices'!AW138-1</f>
        <v>1.4662522910191989E-2</v>
      </c>
      <c r="AX137" s="1">
        <f>'Asset Prices'!AX137/'Asset Prices'!AX138-1</f>
        <v>2.5244719216898526E-2</v>
      </c>
      <c r="AY137" s="1">
        <f>'Asset Prices'!AY137/'Asset Prices'!AY138-1</f>
        <v>-2.9391182645206571E-2</v>
      </c>
      <c r="AZ137" s="1">
        <f>'Asset Prices'!AZ137/'Asset Prices'!AZ138-1</f>
        <v>9.4093047569261401E-3</v>
      </c>
      <c r="BA137" s="1">
        <f>'Asset Prices'!BA137/'Asset Prices'!BA138-1</f>
        <v>7.9176563737133776E-2</v>
      </c>
      <c r="BB137" s="1">
        <f>'Asset Prices'!BB137/'Asset Prices'!BB138-1</f>
        <v>3.001017293997954E-2</v>
      </c>
      <c r="BC137" s="1">
        <f>'Asset Prices'!BC137/'Asset Prices'!BC138-1</f>
        <v>-3.9794395622616552E-3</v>
      </c>
      <c r="BD137" s="1">
        <f>'Asset Prices'!BD137/'Asset Prices'!BD138-1</f>
        <v>6.3851699279093843E-2</v>
      </c>
    </row>
    <row r="138" spans="3:56" x14ac:dyDescent="0.25">
      <c r="C138" s="38">
        <f>'Asset Prices'!C138</f>
        <v>43405</v>
      </c>
      <c r="D138" s="1">
        <f>'Asset Prices'!D138/'Asset Prices'!D139-1</f>
        <v>2.2060916595503244E-3</v>
      </c>
      <c r="E138" s="1">
        <f>'Asset Prices'!E138/'Asset Prices'!E139-1</f>
        <v>1.6993693062368642E-2</v>
      </c>
      <c r="F138" s="1">
        <f>'Asset Prices'!F138/'Asset Prices'!F139-1</f>
        <v>5.0478796169630913E-2</v>
      </c>
      <c r="G138" s="1">
        <f>'Asset Prices'!G138/'Asset Prices'!G139-1</f>
        <v>1.3135946622185202E-2</v>
      </c>
      <c r="H138" s="1">
        <f>'Asset Prices'!H138/'Asset Prices'!H139-1</f>
        <v>7.8439851249675785E-2</v>
      </c>
      <c r="I138" s="1">
        <f>'Asset Prices'!I138/'Asset Prices'!I139-1</f>
        <v>5.2997681351441006E-3</v>
      </c>
      <c r="J138" s="1">
        <f>'Asset Prices'!J138/'Asset Prices'!J139-1</f>
        <v>1.1010009099180929E-2</v>
      </c>
      <c r="K138" s="1">
        <f>'Asset Prices'!K138/'Asset Prices'!K139-1</f>
        <v>-6.544830178939165E-2</v>
      </c>
      <c r="L138" s="1">
        <f>'Asset Prices'!L138/'Asset Prices'!L139-1</f>
        <v>1.4414932719659879E-2</v>
      </c>
      <c r="M138" s="1">
        <f>'Asset Prices'!M138/'Asset Prices'!M139-1</f>
        <v>-2.1975992613111672E-2</v>
      </c>
      <c r="N138" s="1">
        <f>'Asset Prices'!N138/'Asset Prices'!N139-1</f>
        <v>-1.5957013021140054E-2</v>
      </c>
      <c r="O138" s="1">
        <f>'Asset Prices'!O138/'Asset Prices'!O139-1</f>
        <v>4.3757292882147025E-2</v>
      </c>
      <c r="P138" s="1">
        <f>'Asset Prices'!P138/'Asset Prices'!P139-1</f>
        <v>-5.7565095003518696E-2</v>
      </c>
      <c r="Q138" s="1">
        <f>'Asset Prices'!Q138/'Asset Prices'!Q139-1</f>
        <v>-4.8261300469686352E-3</v>
      </c>
      <c r="R138" s="1">
        <f>'Asset Prices'!R138/'Asset Prices'!R139-1</f>
        <v>-1.9421404005664611E-2</v>
      </c>
      <c r="S138" s="1">
        <f>'Asset Prices'!S138/'Asset Prices'!S139-1</f>
        <v>4.9132001310185913E-3</v>
      </c>
      <c r="T138" s="1">
        <f>'Asset Prices'!T138/'Asset Prices'!T139-1</f>
        <v>8.5619508696431756E-2</v>
      </c>
      <c r="U138" s="1">
        <f>'Asset Prices'!U138/'Asset Prices'!U139-1</f>
        <v>5.160339107998535E-2</v>
      </c>
      <c r="V138" s="1">
        <f>'Asset Prices'!V138/'Asset Prices'!V139-1</f>
        <v>9.5794973874097966E-2</v>
      </c>
      <c r="W138" s="1">
        <f>'Asset Prices'!W138/'Asset Prices'!W139-1</f>
        <v>5.6527396270059205E-2</v>
      </c>
      <c r="X138" s="1">
        <f>'Asset Prices'!X138/'Asset Prices'!X139-1</f>
        <v>2.0837507513524534E-2</v>
      </c>
      <c r="Y138" s="1">
        <f>'Asset Prices'!Y138/'Asset Prices'!Y139-1</f>
        <v>-3.7322453914542697E-2</v>
      </c>
      <c r="Z138" s="1">
        <f>'Asset Prices'!Z138/'Asset Prices'!Z139-1</f>
        <v>-1.6233766233766378E-3</v>
      </c>
      <c r="AA138" s="1">
        <f>'Asset Prices'!AA138/'Asset Prices'!AA139-1</f>
        <v>1.7397881996974229E-2</v>
      </c>
      <c r="AB138" s="1">
        <f>'Asset Prices'!AB138/'Asset Prices'!AB139-1</f>
        <v>-6.1538461538461431E-2</v>
      </c>
      <c r="AC138" s="1">
        <f>'Asset Prices'!AC138/'Asset Prices'!AC139-1</f>
        <v>0.22658467360454115</v>
      </c>
      <c r="AD138" s="1">
        <f>'Asset Prices'!AD138/'Asset Prices'!AD139-1</f>
        <v>-3.5801374418089171E-2</v>
      </c>
      <c r="AE138" s="1">
        <f>'Asset Prices'!AE138/'Asset Prices'!AE139-1</f>
        <v>6.3663075416258597E-2</v>
      </c>
      <c r="AF138" s="1">
        <f>'Asset Prices'!AF138/'Asset Prices'!AF139-1</f>
        <v>7.0666666666666655E-2</v>
      </c>
      <c r="AG138" s="1">
        <f>'Asset Prices'!AG138/'Asset Prices'!AG139-1</f>
        <v>2.994078873868844E-2</v>
      </c>
      <c r="AH138" s="1">
        <f>'Asset Prices'!AH138/'Asset Prices'!AH139-1</f>
        <v>9.1324200913242004E-2</v>
      </c>
      <c r="AI138" s="1">
        <f>'Asset Prices'!AI138/'Asset Prices'!AI139-1</f>
        <v>-7.4278438030559446E-3</v>
      </c>
      <c r="AJ138" s="1">
        <f>'Asset Prices'!AJ138/'Asset Prices'!AJ139-1</f>
        <v>1.1423550087873435E-2</v>
      </c>
      <c r="AK138" s="1">
        <f>'Asset Prices'!AK138/'Asset Prices'!AK139-1</f>
        <v>4.7416413373860156E-2</v>
      </c>
      <c r="AL138" s="1">
        <f>'Asset Prices'!AL138/'Asset Prices'!AL139-1</f>
        <v>-1.8283904405413165E-2</v>
      </c>
      <c r="AM138" s="1">
        <f>'Asset Prices'!AM138/'Asset Prices'!AM139-1</f>
        <v>-7.6077500988533053E-2</v>
      </c>
      <c r="AN138" s="1">
        <f>'Asset Prices'!AN138/'Asset Prices'!AN139-1</f>
        <v>7.8659163792580422E-3</v>
      </c>
      <c r="AO138" s="1">
        <f>'Asset Prices'!AO138/'Asset Prices'!AO139-1</f>
        <v>-6.7340067340068144E-3</v>
      </c>
      <c r="AP138" s="1">
        <f>'Asset Prices'!AP138/'Asset Prices'!AP139-1</f>
        <v>3.4178403755868558E-2</v>
      </c>
      <c r="AQ138" s="1">
        <f>'Asset Prices'!AQ138/'Asset Prices'!AQ139-1</f>
        <v>0.10017086715079015</v>
      </c>
      <c r="AR138" s="1">
        <f>'Asset Prices'!AR138/'Asset Prices'!AR139-1</f>
        <v>8.3108108108108203E-2</v>
      </c>
      <c r="AS138" s="1">
        <f>'Asset Prices'!AS138/'Asset Prices'!AS139-1</f>
        <v>4.5791680103192567E-2</v>
      </c>
      <c r="AT138" s="1">
        <f>'Asset Prices'!AT138/'Asset Prices'!AT139-1</f>
        <v>1.1156045181983654E-3</v>
      </c>
      <c r="AU138" s="1">
        <f>'Asset Prices'!AU138/'Asset Prices'!AU139-1</f>
        <v>1.1708792395765943E-2</v>
      </c>
      <c r="AV138" s="1">
        <f>'Asset Prices'!AV138/'Asset Prices'!AV139-1</f>
        <v>2.2645145748012574E-2</v>
      </c>
      <c r="AW138" s="1">
        <f>'Asset Prices'!AW138/'Asset Prices'!AW139-1</f>
        <v>-1.4837494112105554E-2</v>
      </c>
      <c r="AX138" s="1">
        <f>'Asset Prices'!AX138/'Asset Prices'!AX139-1</f>
        <v>0.11744386873920543</v>
      </c>
      <c r="AY138" s="1">
        <f>'Asset Prices'!AY138/'Asset Prices'!AY139-1</f>
        <v>6.2453531598513079E-2</v>
      </c>
      <c r="AZ138" s="1">
        <f>'Asset Prices'!AZ138/'Asset Prices'!AZ139-1</f>
        <v>0.13418972332015811</v>
      </c>
      <c r="BA138" s="1">
        <f>'Asset Prices'!BA138/'Asset Prices'!BA139-1</f>
        <v>5.5732484076433941E-3</v>
      </c>
      <c r="BB138" s="1">
        <f>'Asset Prices'!BB138/'Asset Prices'!BB139-1</f>
        <v>-4.2260382413835118E-2</v>
      </c>
      <c r="BC138" s="1">
        <f>'Asset Prices'!BC138/'Asset Prices'!BC139-1</f>
        <v>8.5102554875854608E-2</v>
      </c>
      <c r="BD138" s="1">
        <f>'Asset Prices'!BD138/'Asset Prices'!BD139-1</f>
        <v>9.040839654993249E-3</v>
      </c>
    </row>
    <row r="139" spans="3:56" x14ac:dyDescent="0.25">
      <c r="C139" s="38">
        <f>'Asset Prices'!C139</f>
        <v>43398</v>
      </c>
      <c r="D139" s="1">
        <f>'Asset Prices'!D139/'Asset Prices'!D140-1</f>
        <v>8.8304975231532357E-3</v>
      </c>
      <c r="E139" s="1">
        <f>'Asset Prices'!E139/'Asset Prices'!E140-1</f>
        <v>-1.7386813565157588E-2</v>
      </c>
      <c r="F139" s="1">
        <f>'Asset Prices'!F139/'Asset Prices'!F140-1</f>
        <v>-3.3068783068783025E-2</v>
      </c>
      <c r="G139" s="1">
        <f>'Asset Prices'!G139/'Asset Prices'!G140-1</f>
        <v>1.2241452089489124E-2</v>
      </c>
      <c r="H139" s="1">
        <f>'Asset Prices'!H139/'Asset Prices'!H140-1</f>
        <v>-0.1485272459499265</v>
      </c>
      <c r="I139" s="1">
        <f>'Asset Prices'!I139/'Asset Prices'!I140-1</f>
        <v>-2.562612961528532E-2</v>
      </c>
      <c r="J139" s="1">
        <f>'Asset Prices'!J139/'Asset Prices'!J140-1</f>
        <v>1.7498379779649964E-2</v>
      </c>
      <c r="K139" s="1">
        <f>'Asset Prices'!K139/'Asset Prices'!K140-1</f>
        <v>6.4662961958976695E-3</v>
      </c>
      <c r="L139" s="1">
        <f>'Asset Prices'!L139/'Asset Prices'!L140-1</f>
        <v>-9.7603184217357364E-2</v>
      </c>
      <c r="M139" s="1">
        <f>'Asset Prices'!M139/'Asset Prices'!M140-1</f>
        <v>-1.8433179723502668E-3</v>
      </c>
      <c r="N139" s="1">
        <f>'Asset Prices'!N139/'Asset Prices'!N140-1</f>
        <v>5.1734659489393042E-3</v>
      </c>
      <c r="O139" s="1">
        <f>'Asset Prices'!O139/'Asset Prices'!O140-1</f>
        <v>-1.6637980493402149E-2</v>
      </c>
      <c r="P139" s="1">
        <f>'Asset Prices'!P139/'Asset Prices'!P140-1</f>
        <v>-5.3045448487271774E-2</v>
      </c>
      <c r="Q139" s="1">
        <f>'Asset Prices'!Q139/'Asset Prices'!Q140-1</f>
        <v>-0.28165046740543553</v>
      </c>
      <c r="R139" s="1">
        <f>'Asset Prices'!R139/'Asset Prices'!R140-1</f>
        <v>2.2548613984277877E-2</v>
      </c>
      <c r="S139" s="1">
        <f>'Asset Prices'!S139/'Asset Prices'!S140-1</f>
        <v>-9.0879584550469517E-3</v>
      </c>
      <c r="T139" s="1">
        <f>'Asset Prices'!T139/'Asset Prices'!T140-1</f>
        <v>-3.2526671870934165E-2</v>
      </c>
      <c r="U139" s="1">
        <f>'Asset Prices'!U139/'Asset Prices'!U140-1</f>
        <v>-3.1763026409707407E-2</v>
      </c>
      <c r="V139" s="1">
        <f>'Asset Prices'!V139/'Asset Prices'!V140-1</f>
        <v>-5.2569542668552627E-2</v>
      </c>
      <c r="W139" s="1">
        <f>'Asset Prices'!W139/'Asset Prices'!W140-1</f>
        <v>-4.7900894700619423E-2</v>
      </c>
      <c r="X139" s="1">
        <f>'Asset Prices'!X139/'Asset Prices'!X140-1</f>
        <v>-0.13888888888888895</v>
      </c>
      <c r="Y139" s="1">
        <f>'Asset Prices'!Y139/'Asset Prices'!Y140-1</f>
        <v>-7.2589686096795614E-2</v>
      </c>
      <c r="Z139" s="1">
        <f>'Asset Prices'!Z139/'Asset Prices'!Z140-1</f>
        <v>-3.0175806874836009E-2</v>
      </c>
      <c r="AA139" s="1">
        <f>'Asset Prices'!AA139/'Asset Prices'!AA140-1</f>
        <v>-3.1501831501831501E-2</v>
      </c>
      <c r="AB139" s="1">
        <f>'Asset Prices'!AB139/'Asset Prices'!AB140-1</f>
        <v>-3.2258064516129115E-2</v>
      </c>
      <c r="AC139" s="1">
        <f>'Asset Prices'!AC139/'Asset Prices'!AC140-1</f>
        <v>-8.5402786190187707E-2</v>
      </c>
      <c r="AD139" s="1">
        <f>'Asset Prices'!AD139/'Asset Prices'!AD140-1</f>
        <v>-5.8639398998330594E-2</v>
      </c>
      <c r="AE139" s="1">
        <f>'Asset Prices'!AE139/'Asset Prices'!AE140-1</f>
        <v>-5.8422590068160085E-3</v>
      </c>
      <c r="AF139" s="1">
        <f>'Asset Prices'!AF139/'Asset Prices'!AF140-1</f>
        <v>-8.6757990867579959E-2</v>
      </c>
      <c r="AG139" s="1">
        <f>'Asset Prices'!AG139/'Asset Prices'!AG140-1</f>
        <v>-4.4667783361240776E-4</v>
      </c>
      <c r="AH139" s="1">
        <f>'Asset Prices'!AH139/'Asset Prices'!AH140-1</f>
        <v>-4.7273781902552048E-2</v>
      </c>
      <c r="AI139" s="1">
        <f>'Asset Prices'!AI139/'Asset Prices'!AI140-1</f>
        <v>-2.8854080791426373E-2</v>
      </c>
      <c r="AJ139" s="1">
        <f>'Asset Prices'!AJ139/'Asset Prices'!AJ140-1</f>
        <v>1.38084632516704E-2</v>
      </c>
      <c r="AK139" s="1">
        <f>'Asset Prices'!AK139/'Asset Prices'!AK140-1</f>
        <v>6.7319461444308448E-3</v>
      </c>
      <c r="AL139" s="1">
        <f>'Asset Prices'!AL139/'Asset Prices'!AL140-1</f>
        <v>-1.1504170261721347E-3</v>
      </c>
      <c r="AM139" s="1">
        <f>'Asset Prices'!AM139/'Asset Prices'!AM140-1</f>
        <v>-3.1405591727307614E-2</v>
      </c>
      <c r="AN139" s="1">
        <f>'Asset Prices'!AN139/'Asset Prices'!AN140-1</f>
        <v>-4.5233968804159308E-2</v>
      </c>
      <c r="AO139" s="1">
        <f>'Asset Prices'!AO139/'Asset Prices'!AO140-1</f>
        <v>3.2570905763952496E-2</v>
      </c>
      <c r="AP139" s="1">
        <f>'Asset Prices'!AP139/'Asset Prices'!AP140-1</f>
        <v>-2.8639182780007322E-2</v>
      </c>
      <c r="AQ139" s="1">
        <f>'Asset Prices'!AQ139/'Asset Prices'!AQ140-1</f>
        <v>-7.5343142095388504E-2</v>
      </c>
      <c r="AR139" s="1">
        <f>'Asset Prices'!AR139/'Asset Prices'!AR140-1</f>
        <v>-8.5573061476675871E-2</v>
      </c>
      <c r="AS139" s="1">
        <f>'Asset Prices'!AS139/'Asset Prices'!AS140-1</f>
        <v>-4.3491671807526222E-2</v>
      </c>
      <c r="AT139" s="1">
        <f>'Asset Prices'!AT139/'Asset Prices'!AT140-1</f>
        <v>1.6442239546420989E-2</v>
      </c>
      <c r="AU139" s="1">
        <f>'Asset Prices'!AU139/'Asset Prices'!AU140-1</f>
        <v>-3.4820683903252769E-2</v>
      </c>
      <c r="AV139" s="1">
        <f>'Asset Prices'!AV139/'Asset Prices'!AV140-1</f>
        <v>-2.0990566037735858E-2</v>
      </c>
      <c r="AW139" s="1">
        <f>'Asset Prices'!AW139/'Asset Prices'!AW140-1</f>
        <v>-4.6842262795570133E-2</v>
      </c>
      <c r="AX139" s="1">
        <f>'Asset Prices'!AX139/'Asset Prices'!AX140-1</f>
        <v>-1.8089315997738886E-2</v>
      </c>
      <c r="AY139" s="1">
        <f>'Asset Prices'!AY139/'Asset Prices'!AY140-1</f>
        <v>-2.2173754998182527E-2</v>
      </c>
      <c r="AZ139" s="1">
        <f>'Asset Prices'!AZ139/'Asset Prices'!AZ140-1</f>
        <v>-8.0000000000000071E-2</v>
      </c>
      <c r="BA139" s="1">
        <f>'Asset Prices'!BA139/'Asset Prices'!BA140-1</f>
        <v>-9.8541584548680339E-3</v>
      </c>
      <c r="BB139" s="1">
        <f>'Asset Prices'!BB139/'Asset Prices'!BB140-1</f>
        <v>3.9124587357866059E-3</v>
      </c>
      <c r="BC139" s="1">
        <f>'Asset Prices'!BC139/'Asset Prices'!BC140-1</f>
        <v>-6.6745025606582131E-2</v>
      </c>
      <c r="BD139" s="1">
        <f>'Asset Prices'!BD139/'Asset Prices'!BD140-1</f>
        <v>-9.6092429081344966E-2</v>
      </c>
    </row>
    <row r="140" spans="3:56" x14ac:dyDescent="0.25">
      <c r="C140" s="38">
        <f>'Asset Prices'!C140</f>
        <v>43391</v>
      </c>
      <c r="D140" s="1">
        <f>'Asset Prices'!D140/'Asset Prices'!D141-1</f>
        <v>4.1576310476332923E-2</v>
      </c>
      <c r="E140" s="1">
        <f>'Asset Prices'!E140/'Asset Prices'!E141-1</f>
        <v>4.5254161043634777E-2</v>
      </c>
      <c r="F140" s="1">
        <f>'Asset Prices'!F140/'Asset Prices'!F141-1</f>
        <v>1.4628908871292312E-2</v>
      </c>
      <c r="G140" s="1">
        <f>'Asset Prices'!G140/'Asset Prices'!G141-1</f>
        <v>1.2825994014536102E-2</v>
      </c>
      <c r="H140" s="1">
        <f>'Asset Prices'!H140/'Asset Prices'!H141-1</f>
        <v>-3.6674469745335836E-2</v>
      </c>
      <c r="I140" s="1">
        <f>'Asset Prices'!I140/'Asset Prices'!I141-1</f>
        <v>1.023801760678178E-2</v>
      </c>
      <c r="J140" s="1">
        <f>'Asset Prices'!J140/'Asset Prices'!J141-1</f>
        <v>7.321053858708515E-3</v>
      </c>
      <c r="K140" s="1">
        <f>'Asset Prices'!K140/'Asset Prices'!K141-1</f>
        <v>2.9871580122836416E-2</v>
      </c>
      <c r="L140" s="1">
        <f>'Asset Prices'!L140/'Asset Prices'!L141-1</f>
        <v>7.9757085020242702E-2</v>
      </c>
      <c r="M140" s="1">
        <f>'Asset Prices'!M140/'Asset Prices'!M141-1</f>
        <v>2.4454725710508995E-2</v>
      </c>
      <c r="N140" s="1">
        <f>'Asset Prices'!N140/'Asset Prices'!N141-1</f>
        <v>6.5735188954287871E-3</v>
      </c>
      <c r="O140" s="1">
        <f>'Asset Prices'!O140/'Asset Prices'!O141-1</f>
        <v>2.4390243902439046E-2</v>
      </c>
      <c r="P140" s="1">
        <f>'Asset Prices'!P140/'Asset Prices'!P141-1</f>
        <v>3.3613445378151141E-2</v>
      </c>
      <c r="Q140" s="1">
        <f>'Asset Prices'!Q140/'Asset Prices'!Q141-1</f>
        <v>3.2602441986831154E-2</v>
      </c>
      <c r="R140" s="1">
        <f>'Asset Prices'!R140/'Asset Prices'!R141-1</f>
        <v>1.5119697606047922E-2</v>
      </c>
      <c r="S140" s="1">
        <f>'Asset Prices'!S140/'Asset Prices'!S141-1</f>
        <v>2.8028028028028062E-2</v>
      </c>
      <c r="T140" s="1">
        <f>'Asset Prices'!T140/'Asset Prices'!T141-1</f>
        <v>5.7576550641194046E-3</v>
      </c>
      <c r="U140" s="1">
        <f>'Asset Prices'!U140/'Asset Prices'!U141-1</f>
        <v>9.9116958010452283E-3</v>
      </c>
      <c r="V140" s="1">
        <f>'Asset Prices'!V140/'Asset Prices'!V141-1</f>
        <v>-2.0549526668205975E-2</v>
      </c>
      <c r="W140" s="1">
        <f>'Asset Prices'!W140/'Asset Prices'!W141-1</f>
        <v>2.6855123674911718E-2</v>
      </c>
      <c r="X140" s="1">
        <f>'Asset Prices'!X140/'Asset Prices'!X141-1</f>
        <v>1.6307206733298329E-2</v>
      </c>
      <c r="Y140" s="1">
        <f>'Asset Prices'!Y140/'Asset Prices'!Y141-1</f>
        <v>5.8596647382188616E-2</v>
      </c>
      <c r="Z140" s="1">
        <f>'Asset Prices'!Z140/'Asset Prices'!Z141-1</f>
        <v>7.4732092498589919E-2</v>
      </c>
      <c r="AA140" s="1">
        <f>'Asset Prices'!AA140/'Asset Prices'!AA141-1</f>
        <v>3.3112582781456901E-2</v>
      </c>
      <c r="AB140" s="1">
        <f>'Asset Prices'!AB140/'Asset Prices'!AB141-1</f>
        <v>-3.5885167464114742E-2</v>
      </c>
      <c r="AC140" s="1">
        <f>'Asset Prices'!AC140/'Asset Prices'!AC141-1</f>
        <v>5.6881572930955748E-2</v>
      </c>
      <c r="AD140" s="1">
        <f>'Asset Prices'!AD140/'Asset Prices'!AD141-1</f>
        <v>-3.4260378879483966E-2</v>
      </c>
      <c r="AE140" s="1">
        <f>'Asset Prices'!AE140/'Asset Prices'!AE141-1</f>
        <v>-5.0685564627946378E-2</v>
      </c>
      <c r="AF140" s="1">
        <f>'Asset Prices'!AF140/'Asset Prices'!AF141-1</f>
        <v>4.8944631385745563E-3</v>
      </c>
      <c r="AG140" s="1">
        <f>'Asset Prices'!AG140/'Asset Prices'!AG141-1</f>
        <v>5.3157709043866852E-2</v>
      </c>
      <c r="AH140" s="1">
        <f>'Asset Prices'!AH140/'Asset Prices'!AH141-1</f>
        <v>3.5124587211047498E-2</v>
      </c>
      <c r="AI140" s="1">
        <f>'Asset Prices'!AI140/'Asset Prices'!AI141-1</f>
        <v>1.0201957110139492E-2</v>
      </c>
      <c r="AJ140" s="1">
        <f>'Asset Prices'!AJ140/'Asset Prices'!AJ141-1</f>
        <v>-1.9222367846221111E-2</v>
      </c>
      <c r="AK140" s="1">
        <f>'Asset Prices'!AK140/'Asset Prices'!AK141-1</f>
        <v>8.0197409006785847E-3</v>
      </c>
      <c r="AL140" s="1">
        <f>'Asset Prices'!AL140/'Asset Prices'!AL141-1</f>
        <v>1.6518052916240533E-2</v>
      </c>
      <c r="AM140" s="1">
        <f>'Asset Prices'!AM140/'Asset Prices'!AM141-1</f>
        <v>-6.0926485397784447E-2</v>
      </c>
      <c r="AN140" s="1">
        <f>'Asset Prices'!AN140/'Asset Prices'!AN141-1</f>
        <v>2.596017069701273E-2</v>
      </c>
      <c r="AO140" s="1">
        <f>'Asset Prices'!AO140/'Asset Prices'!AO141-1</f>
        <v>2.475154697168569E-2</v>
      </c>
      <c r="AP140" s="1">
        <f>'Asset Prices'!AP140/'Asset Prices'!AP141-1</f>
        <v>1.7446176688938442E-2</v>
      </c>
      <c r="AQ140" s="1">
        <f>'Asset Prices'!AQ140/'Asset Prices'!AQ141-1</f>
        <v>2.2000201836714028E-2</v>
      </c>
      <c r="AR140" s="1">
        <f>'Asset Prices'!AR140/'Asset Prices'!AR141-1</f>
        <v>-1.0696821515892463E-2</v>
      </c>
      <c r="AS140" s="1">
        <f>'Asset Prices'!AS140/'Asset Prices'!AS141-1</f>
        <v>-5.5214723926380049E-3</v>
      </c>
      <c r="AT140" s="1">
        <f>'Asset Prices'!AT140/'Asset Prices'!AT141-1</f>
        <v>3.0077383559643733E-2</v>
      </c>
      <c r="AU140" s="1">
        <f>'Asset Prices'!AU140/'Asset Prices'!AU141-1</f>
        <v>5.4928927837645247E-3</v>
      </c>
      <c r="AV140" s="1">
        <f>'Asset Prices'!AV140/'Asset Prices'!AV141-1</f>
        <v>6.653251163375673E-2</v>
      </c>
      <c r="AW140" s="1">
        <f>'Asset Prices'!AW140/'Asset Prices'!AW141-1</f>
        <v>5.9625753250871938E-2</v>
      </c>
      <c r="AX140" s="1">
        <f>'Asset Prices'!AX140/'Asset Prices'!AX141-1</f>
        <v>9.332509270704592E-2</v>
      </c>
      <c r="AY140" s="1">
        <f>'Asset Prices'!AY140/'Asset Prices'!AY141-1</f>
        <v>-9.3626215340296692E-3</v>
      </c>
      <c r="AZ140" s="1">
        <f>'Asset Prices'!AZ140/'Asset Prices'!AZ141-1</f>
        <v>-2.1700462468872361E-2</v>
      </c>
      <c r="BA140" s="1">
        <f>'Asset Prices'!BA140/'Asset Prices'!BA141-1</f>
        <v>3.8052373158756092E-2</v>
      </c>
      <c r="BB140" s="1">
        <f>'Asset Prices'!BB140/'Asset Prices'!BB141-1</f>
        <v>6.8940046780745501E-3</v>
      </c>
      <c r="BC140" s="1">
        <f>'Asset Prices'!BC140/'Asset Prices'!BC141-1</f>
        <v>1.0777325186693831E-2</v>
      </c>
      <c r="BD140" s="1">
        <f>'Asset Prices'!BD140/'Asset Prices'!BD141-1</f>
        <v>3.2089190499272835E-2</v>
      </c>
    </row>
    <row r="141" spans="3:56" x14ac:dyDescent="0.25">
      <c r="C141" s="38">
        <f>'Asset Prices'!C141</f>
        <v>43384</v>
      </c>
      <c r="D141" s="1">
        <f>'Asset Prices'!D141/'Asset Prices'!D142-1</f>
        <v>-8.8784409920959373E-2</v>
      </c>
      <c r="E141" s="1">
        <f>'Asset Prices'!E141/'Asset Prices'!E142-1</f>
        <v>-4.2882975975200077E-2</v>
      </c>
      <c r="F141" s="1">
        <f>'Asset Prices'!F141/'Asset Prices'!F142-1</f>
        <v>-7.0715889249189368E-2</v>
      </c>
      <c r="G141" s="1">
        <f>'Asset Prices'!G141/'Asset Prices'!G142-1</f>
        <v>-5.437638973115011E-2</v>
      </c>
      <c r="H141" s="1">
        <f>'Asset Prices'!H141/'Asset Prices'!H142-1</f>
        <v>-0.10066985645933013</v>
      </c>
      <c r="I141" s="1">
        <f>'Asset Prices'!I141/'Asset Prices'!I142-1</f>
        <v>-3.462385898646525E-2</v>
      </c>
      <c r="J141" s="1">
        <f>'Asset Prices'!J141/'Asset Prices'!J142-1</f>
        <v>-5.9388569674108549E-2</v>
      </c>
      <c r="K141" s="1">
        <f>'Asset Prices'!K141/'Asset Prices'!K142-1</f>
        <v>-9.9538079626274034E-2</v>
      </c>
      <c r="L141" s="1">
        <f>'Asset Prices'!L141/'Asset Prices'!L142-1</f>
        <v>-0.11700811219579255</v>
      </c>
      <c r="M141" s="1">
        <f>'Asset Prices'!M141/'Asset Prices'!M142-1</f>
        <v>-6.0998315453497765E-2</v>
      </c>
      <c r="N141" s="1">
        <f>'Asset Prices'!N141/'Asset Prices'!N142-1</f>
        <v>-7.3343131674411866E-2</v>
      </c>
      <c r="O141" s="1">
        <f>'Asset Prices'!O141/'Asset Prices'!O142-1</f>
        <v>-6.2299230993867472E-3</v>
      </c>
      <c r="P141" s="1">
        <f>'Asset Prices'!P141/'Asset Prices'!P142-1</f>
        <v>-1.9495722647456026E-2</v>
      </c>
      <c r="Q141" s="1">
        <f>'Asset Prices'!Q141/'Asset Prices'!Q142-1</f>
        <v>-0.12582078292212684</v>
      </c>
      <c r="R141" s="1">
        <f>'Asset Prices'!R141/'Asset Prices'!R142-1</f>
        <v>3.5827186512116249E-3</v>
      </c>
      <c r="S141" s="1">
        <f>'Asset Prices'!S141/'Asset Prices'!S142-1</f>
        <v>-1.0000000000000009E-3</v>
      </c>
      <c r="T141" s="1">
        <f>'Asset Prices'!T141/'Asset Prices'!T142-1</f>
        <v>-6.1947626841243886E-2</v>
      </c>
      <c r="U141" s="1">
        <f>'Asset Prices'!U141/'Asset Prices'!U142-1</f>
        <v>-6.5037910699241808E-2</v>
      </c>
      <c r="V141" s="1">
        <f>'Asset Prices'!V141/'Asset Prices'!V142-1</f>
        <v>-3.0879391362720887E-2</v>
      </c>
      <c r="W141" s="1">
        <f>'Asset Prices'!W141/'Asset Prices'!W142-1</f>
        <v>-3.2809295967190732E-2</v>
      </c>
      <c r="X141" s="1">
        <f>'Asset Prices'!X141/'Asset Prices'!X142-1</f>
        <v>-7.3887625852549488E-2</v>
      </c>
      <c r="Y141" s="1">
        <f>'Asset Prices'!Y141/'Asset Prices'!Y142-1</f>
        <v>1.6344725113224268E-3</v>
      </c>
      <c r="Z141" s="1">
        <f>'Asset Prices'!Z141/'Asset Prices'!Z142-1</f>
        <v>4.6017699115044275E-2</v>
      </c>
      <c r="AA141" s="1">
        <f>'Asset Prices'!AA141/'Asset Prices'!AA142-1</f>
        <v>-0.11325503355704702</v>
      </c>
      <c r="AB141" s="1">
        <f>'Asset Prices'!AB141/'Asset Prices'!AB142-1</f>
        <v>9.6618357487923134E-3</v>
      </c>
      <c r="AC141" s="1">
        <f>'Asset Prices'!AC141/'Asset Prices'!AC142-1</f>
        <v>-0.10486247544204319</v>
      </c>
      <c r="AD141" s="1">
        <f>'Asset Prices'!AD141/'Asset Prices'!AD142-1</f>
        <v>-0.11424491253123892</v>
      </c>
      <c r="AE141" s="1">
        <f>'Asset Prices'!AE141/'Asset Prices'!AE142-1</f>
        <v>-0.1028334485141672</v>
      </c>
      <c r="AF141" s="1">
        <f>'Asset Prices'!AF141/'Asset Prices'!AF142-1</f>
        <v>-3.2267613972765008E-2</v>
      </c>
      <c r="AG141" s="1">
        <f>'Asset Prices'!AG141/'Asset Prices'!AG142-1</f>
        <v>-4.7709709933923206E-2</v>
      </c>
      <c r="AH141" s="1">
        <f>'Asset Prices'!AH141/'Asset Prices'!AH142-1</f>
        <v>-4.1853512705530838E-3</v>
      </c>
      <c r="AI141" s="1">
        <f>'Asset Prices'!AI141/'Asset Prices'!AI142-1</f>
        <v>-6.3925160787370872E-2</v>
      </c>
      <c r="AJ141" s="1">
        <f>'Asset Prices'!AJ141/'Asset Prices'!AJ142-1</f>
        <v>6.1538461538461764E-3</v>
      </c>
      <c r="AK141" s="1">
        <f>'Asset Prices'!AK141/'Asset Prices'!AK142-1</f>
        <v>-0.12283549783549785</v>
      </c>
      <c r="AL141" s="1">
        <f>'Asset Prices'!AL141/'Asset Prices'!AL142-1</f>
        <v>-4.0762847576066852E-3</v>
      </c>
      <c r="AM141" s="1">
        <f>'Asset Prices'!AM141/'Asset Prices'!AM142-1</f>
        <v>-8.1223977265217018E-2</v>
      </c>
      <c r="AN141" s="1">
        <f>'Asset Prices'!AN141/'Asset Prices'!AN142-1</f>
        <v>-2.7942616811660992E-2</v>
      </c>
      <c r="AO141" s="1">
        <f>'Asset Prices'!AO141/'Asset Prices'!AO142-1</f>
        <v>-3.0716103235187253E-2</v>
      </c>
      <c r="AP141" s="1">
        <f>'Asset Prices'!AP141/'Asset Prices'!AP142-1</f>
        <v>-2.285092491838947E-2</v>
      </c>
      <c r="AQ141" s="1">
        <f>'Asset Prices'!AQ141/'Asset Prices'!AQ142-1</f>
        <v>-0.11431891312120124</v>
      </c>
      <c r="AR141" s="1">
        <f>'Asset Prices'!AR141/'Asset Prices'!AR142-1</f>
        <v>7.7378992426736959E-2</v>
      </c>
      <c r="AS141" s="1">
        <f>'Asset Prices'!AS141/'Asset Prices'!AS142-1</f>
        <v>-9.5198445739661408E-2</v>
      </c>
      <c r="AT141" s="1">
        <f>'Asset Prices'!AT141/'Asset Prices'!AT142-1</f>
        <v>-5.0596063210424203E-2</v>
      </c>
      <c r="AU141" s="1">
        <f>'Asset Prices'!AU141/'Asset Prices'!AU142-1</f>
        <v>-5.8765490567527001E-2</v>
      </c>
      <c r="AV141" s="1">
        <f>'Asset Prices'!AV141/'Asset Prices'!AV142-1</f>
        <v>-1.9726297620515254E-2</v>
      </c>
      <c r="AW141" s="1">
        <f>'Asset Prices'!AW141/'Asset Prices'!AW142-1</f>
        <v>-0.10362473347547962</v>
      </c>
      <c r="AX141" s="1">
        <f>'Asset Prices'!AX141/'Asset Prices'!AX142-1</f>
        <v>-6.7435158501440995E-2</v>
      </c>
      <c r="AY141" s="1">
        <f>'Asset Prices'!AY141/'Asset Prices'!AY142-1</f>
        <v>-8.2892998678996022E-2</v>
      </c>
      <c r="AZ141" s="1">
        <f>'Asset Prices'!AZ141/'Asset Prices'!AZ142-1</f>
        <v>-9.3225806451612825E-2</v>
      </c>
      <c r="BA141" s="1">
        <f>'Asset Prices'!BA141/'Asset Prices'!BA142-1</f>
        <v>-6.7887109077040431E-2</v>
      </c>
      <c r="BB141" s="1">
        <f>'Asset Prices'!BB141/'Asset Prices'!BB142-1</f>
        <v>-4.921865386980917E-4</v>
      </c>
      <c r="BC141" s="1">
        <f>'Asset Prices'!BC141/'Asset Prices'!BC142-1</f>
        <v>-3.2432876262418975E-2</v>
      </c>
      <c r="BD141" s="1">
        <f>'Asset Prices'!BD141/'Asset Prices'!BD142-1</f>
        <v>-4.2335901958963751E-2</v>
      </c>
    </row>
    <row r="142" spans="3:56" x14ac:dyDescent="0.25">
      <c r="C142" s="38">
        <f>'Asset Prices'!C142</f>
        <v>43377</v>
      </c>
      <c r="D142" s="1">
        <f>'Asset Prices'!D142/'Asset Prices'!D143-1</f>
        <v>-2.1730435941874515E-2</v>
      </c>
      <c r="E142" s="1">
        <f>'Asset Prices'!E142/'Asset Prices'!E143-1</f>
        <v>7.7559462254384037E-4</v>
      </c>
      <c r="F142" s="1">
        <f>'Asset Prices'!F142/'Asset Prices'!F143-1</f>
        <v>-5.1573219777620083E-2</v>
      </c>
      <c r="G142" s="1">
        <f>'Asset Prices'!G142/'Asset Prices'!G143-1</f>
        <v>-4.2948345908299435E-2</v>
      </c>
      <c r="H142" s="1">
        <f>'Asset Prices'!H142/'Asset Prices'!H143-1</f>
        <v>2.8071095953302372E-2</v>
      </c>
      <c r="I142" s="1">
        <f>'Asset Prices'!I142/'Asset Prices'!I143-1</f>
        <v>-5.9168443496801726E-2</v>
      </c>
      <c r="J142" s="1">
        <f>'Asset Prices'!J142/'Asset Prices'!J143-1</f>
        <v>1.3514114247610731E-2</v>
      </c>
      <c r="K142" s="1">
        <f>'Asset Prices'!K142/'Asset Prices'!K143-1</f>
        <v>-5.1446114715496427E-2</v>
      </c>
      <c r="L142" s="1">
        <f>'Asset Prices'!L142/'Asset Prices'!L143-1</f>
        <v>-4.4811011005752466E-2</v>
      </c>
      <c r="M142" s="1">
        <f>'Asset Prices'!M142/'Asset Prices'!M143-1</f>
        <v>-1.4159601433441082E-2</v>
      </c>
      <c r="N142" s="1">
        <f>'Asset Prices'!N142/'Asset Prices'!N143-1</f>
        <v>-2.5087794858203005E-2</v>
      </c>
      <c r="O142" s="1">
        <f>'Asset Prices'!O142/'Asset Prices'!O143-1</f>
        <v>9.7306860625123726E-3</v>
      </c>
      <c r="P142" s="1">
        <f>'Asset Prices'!P142/'Asset Prices'!P143-1</f>
        <v>3.3311621847957662E-2</v>
      </c>
      <c r="Q142" s="1">
        <f>'Asset Prices'!Q142/'Asset Prices'!Q143-1</f>
        <v>-8.2262738159345705E-2</v>
      </c>
      <c r="R142" s="1">
        <f>'Asset Prices'!R142/'Asset Prices'!R143-1</f>
        <v>1.8677544010304858E-2</v>
      </c>
      <c r="S142" s="1">
        <f>'Asset Prices'!S142/'Asset Prices'!S143-1</f>
        <v>4.3841336116910323E-2</v>
      </c>
      <c r="T142" s="1">
        <f>'Asset Prices'!T142/'Asset Prices'!T143-1</f>
        <v>-8.4095338030280242E-2</v>
      </c>
      <c r="U142" s="1">
        <f>'Asset Prices'!U142/'Asset Prices'!U143-1</f>
        <v>-6.8607764390896664E-3</v>
      </c>
      <c r="V142" s="1">
        <f>'Asset Prices'!V142/'Asset Prices'!V143-1</f>
        <v>-5.0764655904842804E-2</v>
      </c>
      <c r="W142" s="1">
        <f>'Asset Prices'!W142/'Asset Prices'!W143-1</f>
        <v>-6.5295169946332776E-2</v>
      </c>
      <c r="X142" s="1">
        <f>'Asset Prices'!X142/'Asset Prices'!X143-1</f>
        <v>-1.8019454632435039E-2</v>
      </c>
      <c r="Y142" s="1">
        <f>'Asset Prices'!Y142/'Asset Prices'!Y143-1</f>
        <v>-7.5210145931741135E-3</v>
      </c>
      <c r="Z142" s="1">
        <f>'Asset Prices'!Z142/'Asset Prices'!Z143-1</f>
        <v>-6.995884773662564E-2</v>
      </c>
      <c r="AA142" s="1">
        <f>'Asset Prices'!AA142/'Asset Prices'!AA143-1</f>
        <v>-5.9936908517350118E-2</v>
      </c>
      <c r="AB142" s="1">
        <f>'Asset Prices'!AB142/'Asset Prices'!AB143-1</f>
        <v>4.5454545454545414E-2</v>
      </c>
      <c r="AC142" s="1">
        <f>'Asset Prices'!AC142/'Asset Prices'!AC143-1</f>
        <v>4.3210930828351923E-2</v>
      </c>
      <c r="AD142" s="1">
        <f>'Asset Prices'!AD142/'Asset Prices'!AD143-1</f>
        <v>-2.1826436179500641E-2</v>
      </c>
      <c r="AE142" s="1">
        <f>'Asset Prices'!AE142/'Asset Prices'!AE143-1</f>
        <v>-8.3481124904991155E-2</v>
      </c>
      <c r="AF142" s="1">
        <f>'Asset Prices'!AF142/'Asset Prices'!AF143-1</f>
        <v>4.679268670591874E-2</v>
      </c>
      <c r="AG142" s="1">
        <f>'Asset Prices'!AG142/'Asset Prices'!AG143-1</f>
        <v>-5.3630100688924043E-2</v>
      </c>
      <c r="AH142" s="1">
        <f>'Asset Prices'!AH142/'Asset Prices'!AH143-1</f>
        <v>-6.381192275398806E-2</v>
      </c>
      <c r="AI142" s="1">
        <f>'Asset Prices'!AI142/'Asset Prices'!AI143-1</f>
        <v>-3.8057742782152237E-2</v>
      </c>
      <c r="AJ142" s="1">
        <f>'Asset Prices'!AJ142/'Asset Prices'!AJ143-1</f>
        <v>8.3333333333333259E-2</v>
      </c>
      <c r="AK142" s="1">
        <f>'Asset Prices'!AK142/'Asset Prices'!AK143-1</f>
        <v>-4.6439628482972117E-2</v>
      </c>
      <c r="AL142" s="1">
        <f>'Asset Prices'!AL142/'Asset Prices'!AL143-1</f>
        <v>3.0453045304530413E-2</v>
      </c>
      <c r="AM142" s="1">
        <f>'Asset Prices'!AM142/'Asset Prices'!AM143-1</f>
        <v>-1.2541254125412182E-3</v>
      </c>
      <c r="AN142" s="1">
        <f>'Asset Prices'!AN142/'Asset Prices'!AN143-1</f>
        <v>-8.3980804387568941E-3</v>
      </c>
      <c r="AO142" s="1">
        <f>'Asset Prices'!AO142/'Asset Prices'!AO143-1</f>
        <v>2.6684082851278212E-2</v>
      </c>
      <c r="AP142" s="1">
        <f>'Asset Prices'!AP142/'Asset Prices'!AP143-1</f>
        <v>-1.3683928092299458E-2</v>
      </c>
      <c r="AQ142" s="1">
        <f>'Asset Prices'!AQ142/'Asset Prices'!AQ143-1</f>
        <v>-5.586497890295361E-2</v>
      </c>
      <c r="AR142" s="1">
        <f>'Asset Prices'!AR142/'Asset Prices'!AR143-1</f>
        <v>1.3008672448298952E-2</v>
      </c>
      <c r="AS142" s="1">
        <f>'Asset Prices'!AS142/'Asset Prices'!AS143-1</f>
        <v>-2.8055031022390042E-2</v>
      </c>
      <c r="AT142" s="1">
        <f>'Asset Prices'!AT142/'Asset Prices'!AT143-1</f>
        <v>-9.4741178085953059E-3</v>
      </c>
      <c r="AU142" s="1">
        <f>'Asset Prices'!AU142/'Asset Prices'!AU143-1</f>
        <v>-2.5424054771337357E-2</v>
      </c>
      <c r="AV142" s="1">
        <f>'Asset Prices'!AV142/'Asset Prices'!AV143-1</f>
        <v>-1.1817738791423005E-2</v>
      </c>
      <c r="AW142" s="1">
        <f>'Asset Prices'!AW142/'Asset Prices'!AW143-1</f>
        <v>-9.2140921409214149E-2</v>
      </c>
      <c r="AX142" s="1">
        <f>'Asset Prices'!AX142/'Asset Prices'!AX143-1</f>
        <v>3.1510107015457756E-2</v>
      </c>
      <c r="AY142" s="1">
        <f>'Asset Prices'!AY142/'Asset Prices'!AY143-1</f>
        <v>-4.1772151898734178E-2</v>
      </c>
      <c r="AZ142" s="1">
        <f>'Asset Prices'!AZ142/'Asset Prices'!AZ143-1</f>
        <v>1.9904589570653108E-2</v>
      </c>
      <c r="BA142" s="1">
        <f>'Asset Prices'!BA142/'Asset Prices'!BA143-1</f>
        <v>2.4218749999999956E-2</v>
      </c>
      <c r="BB142" s="1">
        <f>'Asset Prices'!BB142/'Asset Prices'!BB143-1</f>
        <v>-6.1485489424495388E-4</v>
      </c>
      <c r="BC142" s="1">
        <f>'Asset Prices'!BC142/'Asset Prices'!BC143-1</f>
        <v>-5.184896847022169E-2</v>
      </c>
      <c r="BD142" s="1">
        <f>'Asset Prices'!BD142/'Asset Prices'!BD143-1</f>
        <v>1.3359676357135974E-2</v>
      </c>
    </row>
    <row r="143" spans="3:56" x14ac:dyDescent="0.25">
      <c r="C143" s="38">
        <f>'Asset Prices'!C143</f>
        <v>43370</v>
      </c>
      <c r="D143" s="1">
        <f>'Asset Prices'!D143/'Asset Prices'!D144-1</f>
        <v>5.2264808362370019E-3</v>
      </c>
      <c r="E143" s="1">
        <f>'Asset Prices'!E143/'Asset Prices'!E144-1</f>
        <v>3.959863823687515E-2</v>
      </c>
      <c r="F143" s="1">
        <f>'Asset Prices'!F143/'Asset Prices'!F144-1</f>
        <v>-9.7223849127328066E-3</v>
      </c>
      <c r="G143" s="1">
        <f>'Asset Prices'!G143/'Asset Prices'!G144-1</f>
        <v>2.4985127900059467E-2</v>
      </c>
      <c r="H143" s="1">
        <f>'Asset Prices'!H143/'Asset Prices'!H144-1</f>
        <v>-2.2628205128205181E-2</v>
      </c>
      <c r="I143" s="1">
        <f>'Asset Prices'!I143/'Asset Prices'!I144-1</f>
        <v>1.6985905312612903E-2</v>
      </c>
      <c r="J143" s="1">
        <f>'Asset Prices'!J143/'Asset Prices'!J144-1</f>
        <v>2.2360587192655546E-2</v>
      </c>
      <c r="K143" s="1">
        <f>'Asset Prices'!K143/'Asset Prices'!K144-1</f>
        <v>3.5323766908399001E-2</v>
      </c>
      <c r="L143" s="1">
        <f>'Asset Prices'!L143/'Asset Prices'!L144-1</f>
        <v>4.2013356689292625E-2</v>
      </c>
      <c r="M143" s="1">
        <f>'Asset Prices'!M143/'Asset Prices'!M144-1</f>
        <v>7.3963194505590746E-3</v>
      </c>
      <c r="N143" s="1">
        <f>'Asset Prices'!N143/'Asset Prices'!N144-1</f>
        <v>1.3251424591085748E-2</v>
      </c>
      <c r="O143" s="1">
        <f>'Asset Prices'!O143/'Asset Prices'!O144-1</f>
        <v>-1.652972450459167E-2</v>
      </c>
      <c r="P143" s="1">
        <f>'Asset Prices'!P143/'Asset Prices'!P144-1</f>
        <v>-1.6607951685958744E-2</v>
      </c>
      <c r="Q143" s="1">
        <f>'Asset Prices'!Q143/'Asset Prices'!Q144-1</f>
        <v>2.6669123841617681E-2</v>
      </c>
      <c r="R143" s="1">
        <f>'Asset Prices'!R143/'Asset Prices'!R144-1</f>
        <v>-1.626187961985226E-2</v>
      </c>
      <c r="S143" s="1">
        <f>'Asset Prices'!S143/'Asset Prices'!S144-1</f>
        <v>-2.741116751269046E-2</v>
      </c>
      <c r="T143" s="1">
        <f>'Asset Prices'!T143/'Asset Prices'!T144-1</f>
        <v>9.3811469208653353E-3</v>
      </c>
      <c r="U143" s="1">
        <f>'Asset Prices'!U143/'Asset Prices'!U144-1</f>
        <v>-1.9845825815975049E-2</v>
      </c>
      <c r="V143" s="1">
        <f>'Asset Prices'!V143/'Asset Prices'!V144-1</f>
        <v>-7.1766561514195581E-2</v>
      </c>
      <c r="W143" s="1">
        <f>'Asset Prices'!W143/'Asset Prices'!W144-1</f>
        <v>-1.6339869281045694E-2</v>
      </c>
      <c r="X143" s="1">
        <f>'Asset Prices'!X143/'Asset Prices'!X144-1</f>
        <v>3.3600000000000296E-3</v>
      </c>
      <c r="Y143" s="1">
        <f>'Asset Prices'!Y143/'Asset Prices'!Y144-1</f>
        <v>1.5271747254273604E-2</v>
      </c>
      <c r="Z143" s="1">
        <f>'Asset Prices'!Z143/'Asset Prices'!Z144-1</f>
        <v>4.5911047345767564E-2</v>
      </c>
      <c r="AA143" s="1">
        <f>'Asset Prices'!AA143/'Asset Prices'!AA144-1</f>
        <v>-1.8575851393188736E-2</v>
      </c>
      <c r="AB143" s="1">
        <f>'Asset Prices'!AB143/'Asset Prices'!AB144-1</f>
        <v>0</v>
      </c>
      <c r="AC143" s="1">
        <f>'Asset Prices'!AC143/'Asset Prices'!AC144-1</f>
        <v>-3.5022661722290849E-2</v>
      </c>
      <c r="AD143" s="1">
        <f>'Asset Prices'!AD143/'Asset Prices'!AD144-1</f>
        <v>8.4521922873745936E-3</v>
      </c>
      <c r="AE143" s="1">
        <f>'Asset Prices'!AE143/'Asset Prices'!AE144-1</f>
        <v>-1.8037069287224816E-2</v>
      </c>
      <c r="AF143" s="1">
        <f>'Asset Prices'!AF143/'Asset Prices'!AF144-1</f>
        <v>-1.2380068090374063E-3</v>
      </c>
      <c r="AG143" s="1">
        <f>'Asset Prices'!AG143/'Asset Prices'!AG144-1</f>
        <v>1.3426423200859183E-2</v>
      </c>
      <c r="AH143" s="1">
        <f>'Asset Prices'!AH143/'Asset Prices'!AH144-1</f>
        <v>-3.7964458804523482E-2</v>
      </c>
      <c r="AI143" s="1">
        <f>'Asset Prices'!AI143/'Asset Prices'!AI144-1</f>
        <v>-1.7136539524599259E-2</v>
      </c>
      <c r="AJ143" s="1">
        <f>'Asset Prices'!AJ143/'Asset Prices'!AJ144-1</f>
        <v>-6.0402684563758413E-2</v>
      </c>
      <c r="AK143" s="1">
        <f>'Asset Prices'!AK143/'Asset Prices'!AK144-1</f>
        <v>-2.6619789050728371E-2</v>
      </c>
      <c r="AL143" s="1">
        <f>'Asset Prices'!AL143/'Asset Prices'!AL144-1</f>
        <v>-1.7104099085815339E-2</v>
      </c>
      <c r="AM143" s="1">
        <f>'Asset Prices'!AM143/'Asset Prices'!AM144-1</f>
        <v>2.3155805491232861E-3</v>
      </c>
      <c r="AN143" s="1">
        <f>'Asset Prices'!AN143/'Asset Prices'!AN144-1</f>
        <v>8.9342325206063222E-3</v>
      </c>
      <c r="AO143" s="1">
        <f>'Asset Prices'!AO143/'Asset Prices'!AO144-1</f>
        <v>-6.6728452270621297E-3</v>
      </c>
      <c r="AP143" s="1">
        <f>'Asset Prices'!AP143/'Asset Prices'!AP144-1</f>
        <v>2.0629849383843046E-2</v>
      </c>
      <c r="AQ143" s="1">
        <f>'Asset Prices'!AQ143/'Asset Prices'!AQ144-1</f>
        <v>2.455472937921499E-2</v>
      </c>
      <c r="AR143" s="1">
        <f>'Asset Prices'!AR143/'Asset Prices'!AR144-1</f>
        <v>-4.8253968253968327E-2</v>
      </c>
      <c r="AS143" s="1">
        <f>'Asset Prices'!AS143/'Asset Prices'!AS144-1</f>
        <v>-4.286083139684993E-2</v>
      </c>
      <c r="AT143" s="1">
        <f>'Asset Prices'!AT143/'Asset Prices'!AT144-1</f>
        <v>-6.2764360758631454E-3</v>
      </c>
      <c r="AU143" s="1">
        <f>'Asset Prices'!AU143/'Asset Prices'!AU144-1</f>
        <v>-7.254954370155331E-3</v>
      </c>
      <c r="AV143" s="1">
        <f>'Asset Prices'!AV143/'Asset Prices'!AV144-1</f>
        <v>-4.8016701461377931E-2</v>
      </c>
      <c r="AW143" s="1">
        <f>'Asset Prices'!AW143/'Asset Prices'!AW144-1</f>
        <v>9.7732603596560885E-3</v>
      </c>
      <c r="AX143" s="1">
        <f>'Asset Prices'!AX143/'Asset Prices'!AX144-1</f>
        <v>1.3863773357444265E-2</v>
      </c>
      <c r="AY143" s="1">
        <f>'Asset Prices'!AY143/'Asset Prices'!AY144-1</f>
        <v>-3.8051750380517446E-2</v>
      </c>
      <c r="AZ143" s="1">
        <f>'Asset Prices'!AZ143/'Asset Prices'!AZ144-1</f>
        <v>-5.5619172255848559E-3</v>
      </c>
      <c r="BA143" s="1">
        <f>'Asset Prices'!BA143/'Asset Prices'!BA144-1</f>
        <v>-1.538461538461533E-2</v>
      </c>
      <c r="BB143" s="1">
        <f>'Asset Prices'!BB143/'Asset Prices'!BB144-1</f>
        <v>2.0948860135550085E-3</v>
      </c>
      <c r="BC143" s="1">
        <f>'Asset Prices'!BC143/'Asset Prices'!BC144-1</f>
        <v>1.1019283746556363E-2</v>
      </c>
      <c r="BD143" s="1">
        <f>'Asset Prices'!BD143/'Asset Prices'!BD144-1</f>
        <v>6.4387842060411593E-3</v>
      </c>
    </row>
    <row r="144" spans="3:56" x14ac:dyDescent="0.25">
      <c r="C144" s="38">
        <f>'Asset Prices'!C144</f>
        <v>43363</v>
      </c>
      <c r="D144" s="1">
        <f>'Asset Prices'!D144/'Asset Prices'!D145-1</f>
        <v>1.0905642484589917E-2</v>
      </c>
      <c r="E144" s="1">
        <f>'Asset Prices'!E144/'Asset Prices'!E145-1</f>
        <v>8.5840787928075368E-3</v>
      </c>
      <c r="F144" s="1">
        <f>'Asset Prices'!F144/'Asset Prices'!F145-1</f>
        <v>2.2762669222475163E-2</v>
      </c>
      <c r="G144" s="1">
        <f>'Asset Prices'!G144/'Asset Prices'!G145-1</f>
        <v>3.0024509803921573E-2</v>
      </c>
      <c r="H144" s="1">
        <f>'Asset Prices'!H144/'Asset Prices'!H145-1</f>
        <v>7.1870276212725015E-2</v>
      </c>
      <c r="I144" s="1">
        <f>'Asset Prices'!I144/'Asset Prices'!I145-1</f>
        <v>2.8879524045612337E-2</v>
      </c>
      <c r="J144" s="1">
        <f>'Asset Prices'!J144/'Asset Prices'!J145-1</f>
        <v>-2.817896736009895E-2</v>
      </c>
      <c r="K144" s="1">
        <f>'Asset Prices'!K144/'Asset Prices'!K145-1</f>
        <v>-2.2900993532240732E-2</v>
      </c>
      <c r="L144" s="1">
        <f>'Asset Prices'!L144/'Asset Prices'!L145-1</f>
        <v>-7.578432704060778E-3</v>
      </c>
      <c r="M144" s="1">
        <f>'Asset Prices'!M144/'Asset Prices'!M145-1</f>
        <v>5.8453635639004187E-3</v>
      </c>
      <c r="N144" s="1">
        <f>'Asset Prices'!N144/'Asset Prices'!N145-1</f>
        <v>7.9770585548242234E-3</v>
      </c>
      <c r="O144" s="1">
        <f>'Asset Prices'!O144/'Asset Prices'!O145-1</f>
        <v>-2.9549718574108708E-2</v>
      </c>
      <c r="P144" s="1">
        <f>'Asset Prices'!P144/'Asset Prices'!P145-1</f>
        <v>1.7409114183307706E-2</v>
      </c>
      <c r="Q144" s="1">
        <f>'Asset Prices'!Q144/'Asset Prices'!Q145-1</f>
        <v>5.2681487725214637E-4</v>
      </c>
      <c r="R144" s="1">
        <f>'Asset Prices'!R144/'Asset Prices'!R145-1</f>
        <v>-2.2703818369453121E-2</v>
      </c>
      <c r="S144" s="1">
        <f>'Asset Prices'!S144/'Asset Prices'!S145-1</f>
        <v>-2.3785926660059409E-2</v>
      </c>
      <c r="T144" s="1">
        <f>'Asset Prices'!T144/'Asset Prices'!T145-1</f>
        <v>2.0379805465493339E-2</v>
      </c>
      <c r="U144" s="1">
        <f>'Asset Prices'!U144/'Asset Prices'!U145-1</f>
        <v>-4.5714285714285596E-3</v>
      </c>
      <c r="V144" s="1">
        <f>'Asset Prices'!V144/'Asset Prices'!V145-1</f>
        <v>-3.113658070678138E-2</v>
      </c>
      <c r="W144" s="1">
        <f>'Asset Prices'!W144/'Asset Prices'!W145-1</f>
        <v>1.2729124236252609E-2</v>
      </c>
      <c r="X144" s="1">
        <f>'Asset Prices'!X144/'Asset Prices'!X145-1</f>
        <v>2.2450288646569394E-3</v>
      </c>
      <c r="Y144" s="1">
        <f>'Asset Prices'!Y144/'Asset Prices'!Y145-1</f>
        <v>1.2890506537648339E-2</v>
      </c>
      <c r="Z144" s="1">
        <f>'Asset Prices'!Z144/'Asset Prices'!Z145-1</f>
        <v>-6.5683646112600469E-2</v>
      </c>
      <c r="AA144" s="1">
        <f>'Asset Prices'!AA144/'Asset Prices'!AA145-1</f>
        <v>3.1055900621115295E-3</v>
      </c>
      <c r="AB144" s="1">
        <f>'Asset Prices'!AB144/'Asset Prices'!AB145-1</f>
        <v>-5.0251256281407253E-3</v>
      </c>
      <c r="AC144" s="1">
        <f>'Asset Prices'!AC144/'Asset Prices'!AC145-1</f>
        <v>4.5529801324502017E-3</v>
      </c>
      <c r="AD144" s="1">
        <f>'Asset Prices'!AD144/'Asset Prices'!AD145-1</f>
        <v>1.6921837228041969E-2</v>
      </c>
      <c r="AE144" s="1">
        <f>'Asset Prices'!AE144/'Asset Prices'!AE145-1</f>
        <v>-8.0205949656750652E-2</v>
      </c>
      <c r="AF144" s="1">
        <f>'Asset Prices'!AF144/'Asset Prices'!AF145-1</f>
        <v>5.3129074315515057E-2</v>
      </c>
      <c r="AG144" s="1">
        <f>'Asset Prices'!AG144/'Asset Prices'!AG145-1</f>
        <v>2.8161236885698493E-2</v>
      </c>
      <c r="AH144" s="1">
        <f>'Asset Prices'!AH144/'Asset Prices'!AH145-1</f>
        <v>-1.0758472296933386E-3</v>
      </c>
      <c r="AI144" s="1">
        <f>'Asset Prices'!AI144/'Asset Prices'!AI145-1</f>
        <v>-1.4526965680043524E-2</v>
      </c>
      <c r="AJ144" s="1">
        <f>'Asset Prices'!AJ144/'Asset Prices'!AJ145-1</f>
        <v>4.4392523364486181E-2</v>
      </c>
      <c r="AK144" s="1">
        <f>'Asset Prices'!AK144/'Asset Prices'!AK145-1</f>
        <v>3.5900104058272708E-2</v>
      </c>
      <c r="AL144" s="1">
        <f>'Asset Prices'!AL144/'Asset Prices'!AL145-1</f>
        <v>-8.6244701067096363E-3</v>
      </c>
      <c r="AM144" s="1">
        <f>'Asset Prices'!AM144/'Asset Prices'!AM145-1</f>
        <v>1.4770057066129771E-2</v>
      </c>
      <c r="AN144" s="1">
        <f>'Asset Prices'!AN144/'Asset Prices'!AN145-1</f>
        <v>2.4267637372161754E-3</v>
      </c>
      <c r="AO144" s="1">
        <f>'Asset Prices'!AO144/'Asset Prices'!AO145-1</f>
        <v>-1.801965780851833E-2</v>
      </c>
      <c r="AP144" s="1">
        <f>'Asset Prices'!AP144/'Asset Prices'!AP145-1</f>
        <v>5.2303174894474669E-3</v>
      </c>
      <c r="AQ144" s="1">
        <f>'Asset Prices'!AQ144/'Asset Prices'!AQ145-1</f>
        <v>-7.6566866267465117E-2</v>
      </c>
      <c r="AR144" s="1">
        <f>'Asset Prices'!AR144/'Asset Prices'!AR145-1</f>
        <v>4.2356055592323028E-2</v>
      </c>
      <c r="AS144" s="1">
        <f>'Asset Prices'!AS144/'Asset Prices'!AS145-1</f>
        <v>1.813880126182954E-2</v>
      </c>
      <c r="AT144" s="1">
        <f>'Asset Prices'!AT144/'Asset Prices'!AT145-1</f>
        <v>-4.211956521739002E-3</v>
      </c>
      <c r="AU144" s="1">
        <f>'Asset Prices'!AU144/'Asset Prices'!AU145-1</f>
        <v>3.409961685823637E-3</v>
      </c>
      <c r="AV144" s="1">
        <f>'Asset Prices'!AV144/'Asset Prices'!AV145-1</f>
        <v>2.1442956995616713E-2</v>
      </c>
      <c r="AW144" s="1">
        <f>'Asset Prices'!AW144/'Asset Prices'!AW145-1</f>
        <v>-5.3118637793818313E-2</v>
      </c>
      <c r="AX144" s="1">
        <f>'Asset Prices'!AX144/'Asset Prices'!AX145-1</f>
        <v>2.2811344019728841E-2</v>
      </c>
      <c r="AY144" s="1">
        <f>'Asset Prices'!AY144/'Asset Prices'!AY145-1</f>
        <v>4.2857142857142927E-2</v>
      </c>
      <c r="AZ144" s="1">
        <f>'Asset Prices'!AZ144/'Asset Prices'!AZ145-1</f>
        <v>3.9802687531893088E-2</v>
      </c>
      <c r="BA144" s="1">
        <f>'Asset Prices'!BA144/'Asset Prices'!BA145-1</f>
        <v>6.7761806981519568E-2</v>
      </c>
      <c r="BB144" s="1">
        <f>'Asset Prices'!BB144/'Asset Prices'!BB145-1</f>
        <v>-3.6832412523020164E-3</v>
      </c>
      <c r="BC144" s="1">
        <f>'Asset Prices'!BC144/'Asset Prices'!BC145-1</f>
        <v>2.9161603888213872E-2</v>
      </c>
      <c r="BD144" s="1">
        <f>'Asset Prices'!BD144/'Asset Prices'!BD145-1</f>
        <v>2.9738689547581965E-2</v>
      </c>
    </row>
    <row r="145" spans="3:56" x14ac:dyDescent="0.25">
      <c r="C145" s="38">
        <f>'Asset Prices'!C145</f>
        <v>43356</v>
      </c>
      <c r="D145" s="1">
        <f>'Asset Prices'!D145/'Asset Prices'!D146-1</f>
        <v>2.1660899653979104E-2</v>
      </c>
      <c r="E145" s="1">
        <f>'Asset Prices'!E145/'Asset Prices'!E146-1</f>
        <v>3.7184835842554165E-3</v>
      </c>
      <c r="F145" s="1">
        <f>'Asset Prices'!F145/'Asset Prices'!F146-1</f>
        <v>3.8184079601989884E-2</v>
      </c>
      <c r="G145" s="1">
        <f>'Asset Prices'!G145/'Asset Prices'!G146-1</f>
        <v>2.6199958080067143E-2</v>
      </c>
      <c r="H145" s="1">
        <f>'Asset Prices'!H145/'Asset Prices'!H146-1</f>
        <v>2.8042664406300766E-2</v>
      </c>
      <c r="I145" s="1">
        <f>'Asset Prices'!I145/'Asset Prices'!I146-1</f>
        <v>-7.1986710145818256E-3</v>
      </c>
      <c r="J145" s="1">
        <f>'Asset Prices'!J145/'Asset Prices'!J146-1</f>
        <v>1.4836396234872318E-2</v>
      </c>
      <c r="K145" s="1">
        <f>'Asset Prices'!K145/'Asset Prices'!K146-1</f>
        <v>1.611593670052236E-2</v>
      </c>
      <c r="L145" s="1">
        <f>'Asset Prices'!L145/'Asset Prices'!L146-1</f>
        <v>6.2604629683080226E-2</v>
      </c>
      <c r="M145" s="1">
        <f>'Asset Prices'!M145/'Asset Prices'!M146-1</f>
        <v>3.83483538716205E-2</v>
      </c>
      <c r="N145" s="1">
        <f>'Asset Prices'!N145/'Asset Prices'!N146-1</f>
        <v>-1.5625131969019268E-3</v>
      </c>
      <c r="O145" s="1">
        <f>'Asset Prices'!O145/'Asset Prices'!O146-1</f>
        <v>2.2640061396776767E-2</v>
      </c>
      <c r="P145" s="1">
        <f>'Asset Prices'!P145/'Asset Prices'!P146-1</f>
        <v>2.9767040552200141E-2</v>
      </c>
      <c r="Q145" s="1">
        <f>'Asset Prices'!Q145/'Asset Prices'!Q146-1</f>
        <v>2.3785124858421769E-2</v>
      </c>
      <c r="R145" s="1">
        <f>'Asset Prices'!R145/'Asset Prices'!R146-1</f>
        <v>-1.7041996348143518E-2</v>
      </c>
      <c r="S145" s="1">
        <f>'Asset Prices'!S145/'Asset Prices'!S146-1</f>
        <v>-2.1021992238033693E-2</v>
      </c>
      <c r="T145" s="1">
        <f>'Asset Prices'!T145/'Asset Prices'!T146-1</f>
        <v>3.6485837734037352E-2</v>
      </c>
      <c r="U145" s="1">
        <f>'Asset Prices'!U145/'Asset Prices'!U146-1</f>
        <v>2.7832351015062429E-3</v>
      </c>
      <c r="V145" s="1">
        <f>'Asset Prices'!V145/'Asset Prices'!V146-1</f>
        <v>1.9105846389000369E-4</v>
      </c>
      <c r="W145" s="1">
        <f>'Asset Prices'!W145/'Asset Prices'!W146-1</f>
        <v>-8.4563927805124672E-3</v>
      </c>
      <c r="X145" s="1">
        <f>'Asset Prices'!X145/'Asset Prices'!X146-1</f>
        <v>2.1792561035556268E-2</v>
      </c>
      <c r="Y145" s="1">
        <f>'Asset Prices'!Y145/'Asset Prices'!Y146-1</f>
        <v>-4.2543923346927137E-2</v>
      </c>
      <c r="Z145" s="1">
        <f>'Asset Prices'!Z145/'Asset Prices'!Z146-1</f>
        <v>-1.9710906701708275E-2</v>
      </c>
      <c r="AA145" s="1">
        <f>'Asset Prices'!AA145/'Asset Prices'!AA146-1</f>
        <v>1.8181818181818299E-2</v>
      </c>
      <c r="AB145" s="1">
        <f>'Asset Prices'!AB145/'Asset Prices'!AB146-1</f>
        <v>2.5188916876572875E-3</v>
      </c>
      <c r="AC145" s="1">
        <f>'Asset Prices'!AC145/'Asset Prices'!AC146-1</f>
        <v>-1.5083571137382901E-2</v>
      </c>
      <c r="AD145" s="1">
        <f>'Asset Prices'!AD145/'Asset Prices'!AD146-1</f>
        <v>4.8141891891891886E-2</v>
      </c>
      <c r="AE145" s="1">
        <f>'Asset Prices'!AE145/'Asset Prices'!AE146-1</f>
        <v>2.5460518596738257E-2</v>
      </c>
      <c r="AF145" s="1">
        <f>'Asset Prices'!AF145/'Asset Prices'!AF146-1</f>
        <v>1.3210039630118908E-2</v>
      </c>
      <c r="AG145" s="1">
        <f>'Asset Prices'!AG145/'Asset Prices'!AG146-1</f>
        <v>2.9562251279135809E-2</v>
      </c>
      <c r="AH145" s="1">
        <f>'Asset Prices'!AH145/'Asset Prices'!AH146-1</f>
        <v>-3.0255607720396593E-2</v>
      </c>
      <c r="AI145" s="1">
        <f>'Asset Prices'!AI145/'Asset Prices'!AI146-1</f>
        <v>2.0759962928637687E-2</v>
      </c>
      <c r="AJ145" s="1">
        <f>'Asset Prices'!AJ145/'Asset Prices'!AJ146-1</f>
        <v>-2.3310023310023631E-3</v>
      </c>
      <c r="AK145" s="1">
        <f>'Asset Prices'!AK145/'Asset Prices'!AK146-1</f>
        <v>1.371308016877637E-2</v>
      </c>
      <c r="AL145" s="1">
        <f>'Asset Prices'!AL145/'Asset Prices'!AL146-1</f>
        <v>1.3932117978360692E-2</v>
      </c>
      <c r="AM145" s="1">
        <f>'Asset Prices'!AM145/'Asset Prices'!AM146-1</f>
        <v>1.7487533301455027E-2</v>
      </c>
      <c r="AN145" s="1">
        <f>'Asset Prices'!AN145/'Asset Prices'!AN146-1</f>
        <v>1.0627737226277301E-2</v>
      </c>
      <c r="AO145" s="1">
        <f>'Asset Prices'!AO145/'Asset Prices'!AO146-1</f>
        <v>1.1972738994289855E-2</v>
      </c>
      <c r="AP145" s="1">
        <f>'Asset Prices'!AP145/'Asset Prices'!AP146-1</f>
        <v>-1.4647377938517114E-2</v>
      </c>
      <c r="AQ145" s="1">
        <f>'Asset Prices'!AQ145/'Asset Prices'!AQ146-1</f>
        <v>1.4745199708336543E-2</v>
      </c>
      <c r="AR145" s="1">
        <f>'Asset Prices'!AR145/'Asset Prices'!AR146-1</f>
        <v>-6.6137566137569603E-4</v>
      </c>
      <c r="AS145" s="1">
        <f>'Asset Prices'!AS145/'Asset Prices'!AS146-1</f>
        <v>-2.2861546365271046E-2</v>
      </c>
      <c r="AT145" s="1">
        <f>'Asset Prices'!AT145/'Asset Prices'!AT146-1</f>
        <v>-1.8273976257169644E-2</v>
      </c>
      <c r="AU145" s="1">
        <f>'Asset Prices'!AU145/'Asset Prices'!AU146-1</f>
        <v>2.0887115700539693E-2</v>
      </c>
      <c r="AV145" s="1">
        <f>'Asset Prices'!AV145/'Asset Prices'!AV146-1</f>
        <v>2.7886020457866367E-2</v>
      </c>
      <c r="AW145" s="1">
        <f>'Asset Prices'!AW145/'Asset Prices'!AW146-1</f>
        <v>6.61010260457775E-2</v>
      </c>
      <c r="AX145" s="1">
        <f>'Asset Prices'!AX145/'Asset Prices'!AX146-1</f>
        <v>6.5703022339027584E-2</v>
      </c>
      <c r="AY145" s="1">
        <f>'Asset Prices'!AY145/'Asset Prices'!AY146-1</f>
        <v>-1.8691588785046731E-2</v>
      </c>
      <c r="AZ145" s="1">
        <f>'Asset Prices'!AZ145/'Asset Prices'!AZ146-1</f>
        <v>-2.938748555390458E-2</v>
      </c>
      <c r="BA145" s="1">
        <f>'Asset Prices'!BA145/'Asset Prices'!BA146-1</f>
        <v>-5.8027079303675011E-2</v>
      </c>
      <c r="BB145" s="1">
        <f>'Asset Prices'!BB145/'Asset Prices'!BB146-1</f>
        <v>5.0592300098715182E-3</v>
      </c>
      <c r="BC145" s="1">
        <f>'Asset Prices'!BC145/'Asset Prices'!BC146-1</f>
        <v>-7.2501878287002164E-2</v>
      </c>
      <c r="BD145" s="1">
        <f>'Asset Prices'!BD145/'Asset Prices'!BD146-1</f>
        <v>-7.64392839864525E-3</v>
      </c>
    </row>
    <row r="146" spans="3:56" x14ac:dyDescent="0.25">
      <c r="C146" s="38">
        <f>'Asset Prices'!C146</f>
        <v>43349</v>
      </c>
      <c r="D146" s="1">
        <f>'Asset Prices'!D146/'Asset Prices'!D147-1</f>
        <v>-1.5265094725364636E-2</v>
      </c>
      <c r="E146" s="1">
        <f>'Asset Prices'!E146/'Asset Prices'!E147-1</f>
        <v>-1.4832022873481066E-2</v>
      </c>
      <c r="F146" s="1">
        <f>'Asset Prices'!F146/'Asset Prices'!F147-1</f>
        <v>-1.2285012285012331E-2</v>
      </c>
      <c r="G146" s="1">
        <f>'Asset Prices'!G146/'Asset Prices'!G147-1</f>
        <v>-1.3848697809011989E-2</v>
      </c>
      <c r="H146" s="1">
        <f>'Asset Prices'!H146/'Asset Prices'!H147-1</f>
        <v>1.8049762692363025E-2</v>
      </c>
      <c r="I146" s="1">
        <f>'Asset Prices'!I146/'Asset Prices'!I147-1</f>
        <v>-8.5059671245214963E-2</v>
      </c>
      <c r="J146" s="1">
        <f>'Asset Prices'!J146/'Asset Prices'!J147-1</f>
        <v>-8.5766342265476414E-3</v>
      </c>
      <c r="K146" s="1">
        <f>'Asset Prices'!K146/'Asset Prices'!K147-1</f>
        <v>-2.2008809516675276E-2</v>
      </c>
      <c r="L146" s="1">
        <f>'Asset Prices'!L146/'Asset Prices'!L147-1</f>
        <v>-6.6095207288802693E-2</v>
      </c>
      <c r="M146" s="1">
        <f>'Asset Prices'!M146/'Asset Prices'!M147-1</f>
        <v>-2.8673514962036739E-2</v>
      </c>
      <c r="N146" s="1">
        <f>'Asset Prices'!N146/'Asset Prices'!N147-1</f>
        <v>-5.6160517840630142E-2</v>
      </c>
      <c r="O146" s="1">
        <f>'Asset Prices'!O146/'Asset Prices'!O147-1</f>
        <v>4.3234587670136104E-2</v>
      </c>
      <c r="P146" s="1">
        <f>'Asset Prices'!P146/'Asset Prices'!P147-1</f>
        <v>-6.7062655681160432E-4</v>
      </c>
      <c r="Q146" s="1">
        <f>'Asset Prices'!Q146/'Asset Prices'!Q147-1</f>
        <v>-4.1932566851828001E-2</v>
      </c>
      <c r="R146" s="1">
        <f>'Asset Prices'!R146/'Asset Prices'!R147-1</f>
        <v>1.9652461729416482E-2</v>
      </c>
      <c r="S146" s="1">
        <f>'Asset Prices'!S146/'Asset Prices'!S147-1</f>
        <v>3.9677202420981939E-2</v>
      </c>
      <c r="T146" s="1">
        <f>'Asset Prices'!T146/'Asset Prices'!T147-1</f>
        <v>-9.7456619919181753E-3</v>
      </c>
      <c r="U146" s="1">
        <f>'Asset Prices'!U146/'Asset Prices'!U147-1</f>
        <v>-7.0461117029371412E-2</v>
      </c>
      <c r="V146" s="1">
        <f>'Asset Prices'!V146/'Asset Prices'!V147-1</f>
        <v>9.6450617283949658E-3</v>
      </c>
      <c r="W146" s="1">
        <f>'Asset Prices'!W146/'Asset Prices'!W147-1</f>
        <v>1.563902063837963E-2</v>
      </c>
      <c r="X146" s="1">
        <f>'Asset Prices'!X146/'Asset Prices'!X147-1</f>
        <v>3.4528115751397692E-3</v>
      </c>
      <c r="Y146" s="1">
        <f>'Asset Prices'!Y146/'Asset Prices'!Y147-1</f>
        <v>3.4550097639173272E-2</v>
      </c>
      <c r="Z146" s="1">
        <f>'Asset Prices'!Z146/'Asset Prices'!Z147-1</f>
        <v>5.6944444444444464E-2</v>
      </c>
      <c r="AA146" s="1">
        <f>'Asset Prices'!AA146/'Asset Prices'!AA147-1</f>
        <v>3.1720856463124392E-3</v>
      </c>
      <c r="AB146" s="1">
        <f>'Asset Prices'!AB146/'Asset Prices'!AB147-1</f>
        <v>-4.7961630695443569E-2</v>
      </c>
      <c r="AC146" s="1">
        <f>'Asset Prices'!AC146/'Asset Prices'!AC147-1</f>
        <v>9.0497737556560764E-3</v>
      </c>
      <c r="AD146" s="1">
        <f>'Asset Prices'!AD146/'Asset Prices'!AD147-1</f>
        <v>-2.8145229383624848E-4</v>
      </c>
      <c r="AE146" s="1">
        <f>'Asset Prices'!AE146/'Asset Prices'!AE147-1</f>
        <v>4.5968882602545058E-3</v>
      </c>
      <c r="AF146" s="1">
        <f>'Asset Prices'!AF146/'Asset Prices'!AF147-1</f>
        <v>-3.3514203638684847E-2</v>
      </c>
      <c r="AG146" s="1">
        <f>'Asset Prices'!AG146/'Asset Prices'!AG147-1</f>
        <v>2.9256875365710977E-2</v>
      </c>
      <c r="AH146" s="1">
        <f>'Asset Prices'!AH146/'Asset Prices'!AH147-1</f>
        <v>5.9408676429953289E-2</v>
      </c>
      <c r="AI146" s="1">
        <f>'Asset Prices'!AI146/'Asset Prices'!AI147-1</f>
        <v>-3.9180765805877038E-2</v>
      </c>
      <c r="AJ146" s="1">
        <f>'Asset Prices'!AJ146/'Asset Prices'!AJ147-1</f>
        <v>-2.7210884353741527E-2</v>
      </c>
      <c r="AK146" s="1">
        <f>'Asset Prices'!AK146/'Asset Prices'!AK147-1</f>
        <v>-1.0438413361169019E-2</v>
      </c>
      <c r="AL146" s="1">
        <f>'Asset Prices'!AL146/'Asset Prices'!AL147-1</f>
        <v>1.5655577299412693E-2</v>
      </c>
      <c r="AM146" s="1">
        <f>'Asset Prices'!AM146/'Asset Prices'!AM147-1</f>
        <v>3.1521962584799557E-3</v>
      </c>
      <c r="AN146" s="1">
        <f>'Asset Prices'!AN146/'Asset Prices'!AN147-1</f>
        <v>1.319370488699545E-2</v>
      </c>
      <c r="AO146" s="1">
        <f>'Asset Prices'!AO146/'Asset Prices'!AO147-1</f>
        <v>-8.4018264840183265E-3</v>
      </c>
      <c r="AP146" s="1">
        <f>'Asset Prices'!AP146/'Asset Prices'!AP147-1</f>
        <v>1.9166973829708889E-2</v>
      </c>
      <c r="AQ146" s="1">
        <f>'Asset Prices'!AQ146/'Asset Prices'!AQ147-1</f>
        <v>-1.8527353689567372E-2</v>
      </c>
      <c r="AR146" s="1">
        <f>'Asset Prices'!AR146/'Asset Prices'!AR147-1</f>
        <v>-2.6086956521739091E-2</v>
      </c>
      <c r="AS146" s="1">
        <f>'Asset Prices'!AS146/'Asset Prices'!AS147-1</f>
        <v>-1.0170353419781342E-2</v>
      </c>
      <c r="AT146" s="1">
        <f>'Asset Prices'!AT146/'Asset Prices'!AT147-1</f>
        <v>1.3518994186832556E-2</v>
      </c>
      <c r="AU146" s="1">
        <f>'Asset Prices'!AU146/'Asset Prices'!AU147-1</f>
        <v>-1.7901044867854932E-2</v>
      </c>
      <c r="AV146" s="1">
        <f>'Asset Prices'!AV146/'Asset Prices'!AV147-1</f>
        <v>2.9330659313111074E-2</v>
      </c>
      <c r="AW146" s="1">
        <f>'Asset Prices'!AW146/'Asset Prices'!AW147-1</f>
        <v>-4.9086982132338086E-3</v>
      </c>
      <c r="AX146" s="1">
        <f>'Asset Prices'!AX146/'Asset Prices'!AX147-1</f>
        <v>-7.0250458155161843E-2</v>
      </c>
      <c r="AY146" s="1">
        <f>'Asset Prices'!AY146/'Asset Prices'!AY147-1</f>
        <v>-3.0211480362537846E-2</v>
      </c>
      <c r="AZ146" s="1">
        <f>'Asset Prices'!AZ146/'Asset Prices'!AZ147-1</f>
        <v>1.0510510510510551E-2</v>
      </c>
      <c r="BA146" s="1">
        <f>'Asset Prices'!BA146/'Asset Prices'!BA147-1</f>
        <v>-1.7110266159695908E-2</v>
      </c>
      <c r="BB146" s="1">
        <f>'Asset Prices'!BB146/'Asset Prices'!BB147-1</f>
        <v>2.6732547827188702E-2</v>
      </c>
      <c r="BC146" s="1">
        <f>'Asset Prices'!BC146/'Asset Prices'!BC147-1</f>
        <v>-1.5168331483536912E-2</v>
      </c>
      <c r="BD146" s="1">
        <f>'Asset Prices'!BD146/'Asset Prices'!BD147-1</f>
        <v>1.3334640651044172E-2</v>
      </c>
    </row>
    <row r="147" spans="3:56" x14ac:dyDescent="0.25">
      <c r="C147" s="38">
        <f>'Asset Prices'!C147</f>
        <v>43342</v>
      </c>
      <c r="D147" s="1">
        <f>'Asset Prices'!D147/'Asset Prices'!D148-1</f>
        <v>3.2653061224489965E-2</v>
      </c>
      <c r="E147" s="1">
        <f>'Asset Prices'!E147/'Asset Prices'!E148-1</f>
        <v>-7.1428571428566734E-4</v>
      </c>
      <c r="F147" s="1">
        <f>'Asset Prices'!F147/'Asset Prices'!F148-1</f>
        <v>-1.8212519599565713E-2</v>
      </c>
      <c r="G147" s="1">
        <f>'Asset Prices'!G147/'Asset Prices'!G148-1</f>
        <v>-1.1846405228758128E-2</v>
      </c>
      <c r="H147" s="1">
        <f>'Asset Prices'!H147/'Asset Prices'!H148-1</f>
        <v>1.6594780320198899E-2</v>
      </c>
      <c r="I147" s="1">
        <f>'Asset Prices'!I147/'Asset Prices'!I148-1</f>
        <v>2.7414690572585165E-2</v>
      </c>
      <c r="J147" s="1">
        <f>'Asset Prices'!J147/'Asset Prices'!J148-1</f>
        <v>4.4271195879159064E-2</v>
      </c>
      <c r="K147" s="1">
        <f>'Asset Prices'!K147/'Asset Prices'!K148-1</f>
        <v>5.227810184455306E-2</v>
      </c>
      <c r="L147" s="1">
        <f>'Asset Prices'!L147/'Asset Prices'!L148-1</f>
        <v>9.3787776041513116E-2</v>
      </c>
      <c r="M147" s="1">
        <f>'Asset Prices'!M147/'Asset Prices'!M148-1</f>
        <v>4.081442915582012E-2</v>
      </c>
      <c r="N147" s="1">
        <f>'Asset Prices'!N147/'Asset Prices'!N148-1</f>
        <v>2.7252776049002669E-2</v>
      </c>
      <c r="O147" s="1">
        <f>'Asset Prices'!O147/'Asset Prices'!O148-1</f>
        <v>9.3948883725629706E-3</v>
      </c>
      <c r="P147" s="1">
        <f>'Asset Prices'!P147/'Asset Prices'!P148-1</f>
        <v>1.893791487700125E-2</v>
      </c>
      <c r="Q147" s="1">
        <f>'Asset Prices'!Q147/'Asset Prices'!Q148-1</f>
        <v>6.4523226711405757E-2</v>
      </c>
      <c r="R147" s="1">
        <f>'Asset Prices'!R147/'Asset Prices'!R148-1</f>
        <v>1.3629691759278861E-2</v>
      </c>
      <c r="S147" s="1">
        <f>'Asset Prices'!S147/'Asset Prices'!S148-1</f>
        <v>9.8471986417656421E-3</v>
      </c>
      <c r="T147" s="1">
        <f>'Asset Prices'!T147/'Asset Prices'!T148-1</f>
        <v>3.298412178752641E-2</v>
      </c>
      <c r="U147" s="1">
        <f>'Asset Prices'!U147/'Asset Prices'!U148-1</f>
        <v>3.0529690123644038E-3</v>
      </c>
      <c r="V147" s="1">
        <f>'Asset Prices'!V147/'Asset Prices'!V148-1</f>
        <v>2.5140204989364534E-3</v>
      </c>
      <c r="W147" s="1">
        <f>'Asset Prices'!W147/'Asset Prices'!W148-1</f>
        <v>-5.5569007263922443E-2</v>
      </c>
      <c r="X147" s="1">
        <f>'Asset Prices'!X147/'Asset Prices'!X148-1</f>
        <v>-3.1142435666283719E-3</v>
      </c>
      <c r="Y147" s="1">
        <f>'Asset Prices'!Y147/'Asset Prices'!Y148-1</f>
        <v>2.6681061074656842E-2</v>
      </c>
      <c r="Z147" s="1">
        <f>'Asset Prices'!Z147/'Asset Prices'!Z148-1</f>
        <v>2.564102564102555E-2</v>
      </c>
      <c r="AA147" s="1">
        <f>'Asset Prices'!AA147/'Asset Prices'!AA148-1</f>
        <v>2.9387755102040725E-2</v>
      </c>
      <c r="AB147" s="1">
        <f>'Asset Prices'!AB147/'Asset Prices'!AB148-1</f>
        <v>6.1068702290076216E-2</v>
      </c>
      <c r="AC147" s="1">
        <f>'Asset Prices'!AC147/'Asset Prices'!AC148-1</f>
        <v>-4.1118421052632748E-4</v>
      </c>
      <c r="AD147" s="1">
        <f>'Asset Prices'!AD147/'Asset Prices'!AD148-1</f>
        <v>1.8537983755374965E-2</v>
      </c>
      <c r="AE147" s="1">
        <f>'Asset Prices'!AE147/'Asset Prices'!AE148-1</f>
        <v>1.9834114677244941E-2</v>
      </c>
      <c r="AF147" s="1">
        <f>'Asset Prices'!AF147/'Asset Prices'!AF148-1</f>
        <v>6.455997281685355E-2</v>
      </c>
      <c r="AG147" s="1">
        <f>'Asset Prices'!AG147/'Asset Prices'!AG148-1</f>
        <v>7.2145545796737709E-2</v>
      </c>
      <c r="AH147" s="1">
        <f>'Asset Prices'!AH147/'Asset Prices'!AH148-1</f>
        <v>-6.1462655601659866E-2</v>
      </c>
      <c r="AI147" s="1">
        <f>'Asset Prices'!AI147/'Asset Prices'!AI148-1</f>
        <v>-1.5775635407537236E-2</v>
      </c>
      <c r="AJ147" s="1">
        <f>'Asset Prices'!AJ147/'Asset Prices'!AJ148-1</f>
        <v>-6.7567567567566877E-3</v>
      </c>
      <c r="AK147" s="1">
        <f>'Asset Prices'!AK147/'Asset Prices'!AK148-1</f>
        <v>1.3756613756613856E-2</v>
      </c>
      <c r="AL147" s="1">
        <f>'Asset Prices'!AL147/'Asset Prices'!AL148-1</f>
        <v>-1.6725873297809279E-2</v>
      </c>
      <c r="AM147" s="1">
        <f>'Asset Prices'!AM147/'Asset Prices'!AM148-1</f>
        <v>3.8522391139850232E-3</v>
      </c>
      <c r="AN147" s="1">
        <f>'Asset Prices'!AN147/'Asset Prices'!AN148-1</f>
        <v>-2.2432113341204207E-3</v>
      </c>
      <c r="AO147" s="1">
        <f>'Asset Prices'!AO147/'Asset Prices'!AO148-1</f>
        <v>8.6588061901251567E-3</v>
      </c>
      <c r="AP147" s="1">
        <f>'Asset Prices'!AP147/'Asset Prices'!AP148-1</f>
        <v>9.9581200558398475E-3</v>
      </c>
      <c r="AQ147" s="1">
        <f>'Asset Prices'!AQ147/'Asset Prices'!AQ148-1</f>
        <v>0.16736285157337782</v>
      </c>
      <c r="AR147" s="1">
        <f>'Asset Prices'!AR147/'Asset Prices'!AR148-1</f>
        <v>-1.9267214150347489E-2</v>
      </c>
      <c r="AS147" s="1">
        <f>'Asset Prices'!AS147/'Asset Prices'!AS148-1</f>
        <v>3.882725832012679E-2</v>
      </c>
      <c r="AT147" s="1">
        <f>'Asset Prices'!AT147/'Asset Prices'!AT148-1</f>
        <v>-1.6487169259406964E-2</v>
      </c>
      <c r="AU147" s="1">
        <f>'Asset Prices'!AU147/'Asset Prices'!AU148-1</f>
        <v>2.5527891585250595E-2</v>
      </c>
      <c r="AV147" s="1">
        <f>'Asset Prices'!AV147/'Asset Prices'!AV148-1</f>
        <v>-0.15280875013273865</v>
      </c>
      <c r="AW147" s="1">
        <f>'Asset Prices'!AW147/'Asset Prices'!AW148-1</f>
        <v>4.4717948717948763E-2</v>
      </c>
      <c r="AX147" s="1">
        <f>'Asset Prices'!AX147/'Asset Prices'!AX148-1</f>
        <v>3.8705583756345252E-2</v>
      </c>
      <c r="AY147" s="1">
        <f>'Asset Prices'!AY147/'Asset Prices'!AY148-1</f>
        <v>4.9128367670364659E-2</v>
      </c>
      <c r="AZ147" s="1">
        <f>'Asset Prices'!AZ147/'Asset Prices'!AZ148-1</f>
        <v>-5.310321938267526E-3</v>
      </c>
      <c r="BA147" s="1">
        <f>'Asset Prices'!BA147/'Asset Prices'!BA148-1</f>
        <v>3.5433070866141891E-2</v>
      </c>
      <c r="BB147" s="1">
        <f>'Asset Prices'!BB147/'Asset Prices'!BB148-1</f>
        <v>-3.4090909090908061E-3</v>
      </c>
      <c r="BC147" s="1">
        <f>'Asset Prices'!BC147/'Asset Prices'!BC148-1</f>
        <v>-7.7092511013214793E-3</v>
      </c>
      <c r="BD147" s="1">
        <f>'Asset Prices'!BD147/'Asset Prices'!BD148-1</f>
        <v>-2.4205893608878704E-2</v>
      </c>
    </row>
    <row r="148" spans="3:56" x14ac:dyDescent="0.25">
      <c r="C148" s="38">
        <f>'Asset Prices'!C148</f>
        <v>43335</v>
      </c>
      <c r="D148" s="1">
        <f>'Asset Prices'!D148/'Asset Prices'!D149-1</f>
        <v>1.0309278350515427E-2</v>
      </c>
      <c r="E148" s="1">
        <f>'Asset Prices'!E148/'Asset Prices'!E149-1</f>
        <v>-4.2674253200569723E-3</v>
      </c>
      <c r="F148" s="1">
        <f>'Asset Prices'!F148/'Asset Prices'!F149-1</f>
        <v>3.5727670206121109E-2</v>
      </c>
      <c r="G148" s="1">
        <f>'Asset Prices'!G148/'Asset Prices'!G149-1</f>
        <v>1.7879417879417936E-2</v>
      </c>
      <c r="H148" s="1">
        <f>'Asset Prices'!H148/'Asset Prices'!H149-1</f>
        <v>3.8896227799793959E-3</v>
      </c>
      <c r="I148" s="1">
        <f>'Asset Prices'!I148/'Asset Prices'!I149-1</f>
        <v>-1.030337721808805E-2</v>
      </c>
      <c r="J148" s="1">
        <f>'Asset Prices'!J148/'Asset Prices'!J149-1</f>
        <v>1.0172510781923938E-2</v>
      </c>
      <c r="K148" s="1">
        <f>'Asset Prices'!K148/'Asset Prices'!K149-1</f>
        <v>8.6826537752051625E-3</v>
      </c>
      <c r="L148" s="1">
        <f>'Asset Prices'!L148/'Asset Prices'!L149-1</f>
        <v>5.1885622131249365E-2</v>
      </c>
      <c r="M148" s="1">
        <f>'Asset Prices'!M148/'Asset Prices'!M149-1</f>
        <v>-7.4321813452249419E-4</v>
      </c>
      <c r="N148" s="1">
        <f>'Asset Prices'!N148/'Asset Prices'!N149-1</f>
        <v>-2.369164910216659E-3</v>
      </c>
      <c r="O148" s="1">
        <f>'Asset Prices'!O148/'Asset Prices'!O149-1</f>
        <v>-1.5024875621890588E-2</v>
      </c>
      <c r="P148" s="1">
        <f>'Asset Prices'!P148/'Asset Prices'!P149-1</f>
        <v>1.1853022520742718E-2</v>
      </c>
      <c r="Q148" s="1">
        <f>'Asset Prices'!Q148/'Asset Prices'!Q149-1</f>
        <v>3.5279043280182165E-2</v>
      </c>
      <c r="R148" s="1">
        <f>'Asset Prices'!R148/'Asset Prices'!R149-1</f>
        <v>-9.9647083246835466E-3</v>
      </c>
      <c r="S148" s="1">
        <f>'Asset Prices'!S148/'Asset Prices'!S149-1</f>
        <v>-3.721244925575129E-3</v>
      </c>
      <c r="T148" s="1">
        <f>'Asset Prices'!T148/'Asset Prices'!T149-1</f>
        <v>2.4559967253368065E-4</v>
      </c>
      <c r="U148" s="1">
        <f>'Asset Prices'!U148/'Asset Prices'!U149-1</f>
        <v>6.1434495469205874E-3</v>
      </c>
      <c r="V148" s="1">
        <f>'Asset Prices'!V148/'Asset Prices'!V149-1</f>
        <v>2.4366085578446883E-2</v>
      </c>
      <c r="W148" s="1">
        <f>'Asset Prices'!W148/'Asset Prices'!W149-1</f>
        <v>7.3982577038096409E-2</v>
      </c>
      <c r="X148" s="1">
        <f>'Asset Prices'!X148/'Asset Prices'!X149-1</f>
        <v>2.5033602150537515E-2</v>
      </c>
      <c r="Y148" s="1">
        <f>'Asset Prices'!Y148/'Asset Prices'!Y149-1</f>
        <v>1.7417228942742335E-2</v>
      </c>
      <c r="Z148" s="1">
        <f>'Asset Prices'!Z148/'Asset Prices'!Z149-1</f>
        <v>2.1834061135371119E-2</v>
      </c>
      <c r="AA148" s="1">
        <f>'Asset Prices'!AA148/'Asset Prices'!AA149-1</f>
        <v>2.8547439126784369E-2</v>
      </c>
      <c r="AB148" s="1">
        <f>'Asset Prices'!AB148/'Asset Prices'!AB149-1</f>
        <v>6.2162162162162193E-2</v>
      </c>
      <c r="AC148" s="1">
        <f>'Asset Prices'!AC148/'Asset Prices'!AC149-1</f>
        <v>4.5122475290072961E-2</v>
      </c>
      <c r="AD148" s="1">
        <f>'Asset Prices'!AD148/'Asset Prices'!AD149-1</f>
        <v>2.1872863978127155E-2</v>
      </c>
      <c r="AE148" s="1">
        <f>'Asset Prices'!AE148/'Asset Prices'!AE149-1</f>
        <v>4.9451242588621103E-2</v>
      </c>
      <c r="AF148" s="1">
        <f>'Asset Prices'!AF148/'Asset Prices'!AF149-1</f>
        <v>-6.7499156260546478E-3</v>
      </c>
      <c r="AG148" s="1">
        <f>'Asset Prices'!AG148/'Asset Prices'!AG149-1</f>
        <v>8.4353741496598689E-2</v>
      </c>
      <c r="AH148" s="1">
        <f>'Asset Prices'!AH148/'Asset Prices'!AH149-1</f>
        <v>5.9631766968947453E-2</v>
      </c>
      <c r="AI148" s="1">
        <f>'Asset Prices'!AI148/'Asset Prices'!AI149-1</f>
        <v>4.6788990825687993E-2</v>
      </c>
      <c r="AJ148" s="1">
        <f>'Asset Prices'!AJ148/'Asset Prices'!AJ149-1</f>
        <v>3.4965034965035002E-2</v>
      </c>
      <c r="AK148" s="1">
        <f>'Asset Prices'!AK148/'Asset Prices'!AK149-1</f>
        <v>1.2861736334405016E-2</v>
      </c>
      <c r="AL148" s="1">
        <f>'Asset Prices'!AL148/'Asset Prices'!AL149-1</f>
        <v>-2.5389497980380704E-2</v>
      </c>
      <c r="AM148" s="1">
        <f>'Asset Prices'!AM148/'Asset Prices'!AM149-1</f>
        <v>2.0641254988307267E-4</v>
      </c>
      <c r="AN148" s="1">
        <f>'Asset Prices'!AN148/'Asset Prices'!AN149-1</f>
        <v>4.2089039065742462E-3</v>
      </c>
      <c r="AO148" s="1">
        <f>'Asset Prices'!AO148/'Asset Prices'!AO149-1</f>
        <v>1.842638658557938E-4</v>
      </c>
      <c r="AP148" s="1">
        <f>'Asset Prices'!AP148/'Asset Prices'!AP149-1</f>
        <v>7.9573997789611273E-2</v>
      </c>
      <c r="AQ148" s="1">
        <f>'Asset Prices'!AQ148/'Asset Prices'!AQ149-1</f>
        <v>3.516863649466706E-2</v>
      </c>
      <c r="AR148" s="1">
        <f>'Asset Prices'!AR148/'Asset Prices'!AR149-1</f>
        <v>1.8987341772152E-3</v>
      </c>
      <c r="AS148" s="1">
        <f>'Asset Prices'!AS148/'Asset Prices'!AS149-1</f>
        <v>2.6420079260236484E-4</v>
      </c>
      <c r="AT148" s="1">
        <f>'Asset Prices'!AT148/'Asset Prices'!AT149-1</f>
        <v>1.8002165674066095E-2</v>
      </c>
      <c r="AU148" s="1">
        <f>'Asset Prices'!AU148/'Asset Prices'!AU149-1</f>
        <v>4.7896132684162041E-3</v>
      </c>
      <c r="AV148" s="1">
        <f>'Asset Prices'!AV148/'Asset Prices'!AV149-1</f>
        <v>-9.2582851130983412E-3</v>
      </c>
      <c r="AW148" s="1">
        <f>'Asset Prices'!AW148/'Asset Prices'!AW149-1</f>
        <v>5.778967163315496E-2</v>
      </c>
      <c r="AX148" s="1">
        <f>'Asset Prices'!AX148/'Asset Prices'!AX149-1</f>
        <v>8.9903181189488146E-2</v>
      </c>
      <c r="AY148" s="1">
        <f>'Asset Prices'!AY148/'Asset Prices'!AY149-1</f>
        <v>7.9872204472841712E-3</v>
      </c>
      <c r="AZ148" s="1">
        <f>'Asset Prices'!AZ148/'Asset Prices'!AZ149-1</f>
        <v>3.3973919011667908E-2</v>
      </c>
      <c r="BA148" s="1">
        <f>'Asset Prices'!BA148/'Asset Prices'!BA149-1</f>
        <v>-1.5503875968992276E-2</v>
      </c>
      <c r="BB148" s="1">
        <f>'Asset Prices'!BB148/'Asset Prices'!BB149-1</f>
        <v>-7.570022710068347E-4</v>
      </c>
      <c r="BC148" s="1">
        <f>'Asset Prices'!BC148/'Asset Prices'!BC149-1</f>
        <v>3.6845983787767711E-3</v>
      </c>
      <c r="BD148" s="1">
        <f>'Asset Prices'!BD148/'Asset Prices'!BD149-1</f>
        <v>-1.4427157001414392E-2</v>
      </c>
    </row>
    <row r="149" spans="3:56" x14ac:dyDescent="0.25">
      <c r="C149" s="38">
        <f>'Asset Prices'!C149</f>
        <v>43328</v>
      </c>
      <c r="D149" s="1">
        <f>'Asset Prices'!D149/'Asset Prices'!D150-1</f>
        <v>4.5711020641383548E-3</v>
      </c>
      <c r="E149" s="1">
        <f>'Asset Prices'!E149/'Asset Prices'!E150-1</f>
        <v>-1.4716187806587233E-2</v>
      </c>
      <c r="F149" s="1">
        <f>'Asset Prices'!F149/'Asset Prices'!F150-1</f>
        <v>-1.4890475018459415E-2</v>
      </c>
      <c r="G149" s="1">
        <f>'Asset Prices'!G149/'Asset Prices'!G150-1</f>
        <v>-9.0646889163575883E-3</v>
      </c>
      <c r="H149" s="1">
        <f>'Asset Prices'!H149/'Asset Prices'!H150-1</f>
        <v>-1.63153335258448E-2</v>
      </c>
      <c r="I149" s="1">
        <f>'Asset Prices'!I149/'Asset Prices'!I150-1</f>
        <v>-4.5824457916871619E-2</v>
      </c>
      <c r="J149" s="1">
        <f>'Asset Prices'!J149/'Asset Prices'!J150-1</f>
        <v>2.12562236690923E-2</v>
      </c>
      <c r="K149" s="1">
        <f>'Asset Prices'!K149/'Asset Prices'!K150-1</f>
        <v>-6.3207129764237813E-3</v>
      </c>
      <c r="L149" s="1">
        <f>'Asset Prices'!L149/'Asset Prices'!L150-1</f>
        <v>-7.7055186626975081E-2</v>
      </c>
      <c r="M149" s="1">
        <f>'Asset Prices'!M149/'Asset Prices'!M150-1</f>
        <v>-1.8510075681590243E-2</v>
      </c>
      <c r="N149" s="1">
        <f>'Asset Prices'!N149/'Asset Prices'!N150-1</f>
        <v>-3.1950397798269692E-2</v>
      </c>
      <c r="O149" s="1">
        <f>'Asset Prices'!O149/'Asset Prices'!O150-1</f>
        <v>3.2463529895212728E-2</v>
      </c>
      <c r="P149" s="1">
        <f>'Asset Prices'!P149/'Asset Prices'!P150-1</f>
        <v>-5.7267902039296104E-2</v>
      </c>
      <c r="Q149" s="1">
        <f>'Asset Prices'!Q149/'Asset Prices'!Q150-1</f>
        <v>-4.271267751519614E-2</v>
      </c>
      <c r="R149" s="1">
        <f>'Asset Prices'!R149/'Asset Prices'!R150-1</f>
        <v>1.1125104953820353E-2</v>
      </c>
      <c r="S149" s="1">
        <f>'Asset Prices'!S149/'Asset Prices'!S150-1</f>
        <v>2.1776702385067459E-2</v>
      </c>
      <c r="T149" s="1">
        <f>'Asset Prices'!T149/'Asset Prices'!T150-1</f>
        <v>1.125921019951992E-2</v>
      </c>
      <c r="U149" s="1">
        <f>'Asset Prices'!U149/'Asset Prices'!U150-1</f>
        <v>-4.9766491535318091E-2</v>
      </c>
      <c r="V149" s="1">
        <f>'Asset Prices'!V149/'Asset Prices'!V150-1</f>
        <v>-5.5565949485500532E-2</v>
      </c>
      <c r="W149" s="1">
        <f>'Asset Prices'!W149/'Asset Prices'!W150-1</f>
        <v>-2.2496187086934571E-2</v>
      </c>
      <c r="X149" s="1">
        <f>'Asset Prices'!X149/'Asset Prices'!X150-1</f>
        <v>8.9845736565519196E-3</v>
      </c>
      <c r="Y149" s="1">
        <f>'Asset Prices'!Y149/'Asset Prices'!Y150-1</f>
        <v>4.0999673300668782E-2</v>
      </c>
      <c r="Z149" s="1">
        <f>'Asset Prices'!Z149/'Asset Prices'!Z150-1</f>
        <v>3.1531531531531654E-2</v>
      </c>
      <c r="AA149" s="1">
        <f>'Asset Prices'!AA149/'Asset Prices'!AA150-1</f>
        <v>5.9121621621620601E-3</v>
      </c>
      <c r="AB149" s="1">
        <f>'Asset Prices'!AB149/'Asset Prices'!AB150-1</f>
        <v>-4.1450777202072464E-2</v>
      </c>
      <c r="AC149" s="1">
        <f>'Asset Prices'!AC149/'Asset Prices'!AC150-1</f>
        <v>0.15027187345526438</v>
      </c>
      <c r="AD149" s="1">
        <f>'Asset Prices'!AD149/'Asset Prices'!AD150-1</f>
        <v>-2.6705949439270071E-2</v>
      </c>
      <c r="AE149" s="1">
        <f>'Asset Prices'!AE149/'Asset Prices'!AE150-1</f>
        <v>6.858884796138609E-3</v>
      </c>
      <c r="AF149" s="1">
        <f>'Asset Prices'!AF149/'Asset Prices'!AF150-1</f>
        <v>-7.5795383655645754E-2</v>
      </c>
      <c r="AG149" s="1">
        <f>'Asset Prices'!AG149/'Asset Prices'!AG150-1</f>
        <v>2.3676880222841312E-2</v>
      </c>
      <c r="AH149" s="1">
        <f>'Asset Prices'!AH149/'Asset Prices'!AH150-1</f>
        <v>5.0216450216450381E-2</v>
      </c>
      <c r="AI149" s="1">
        <f>'Asset Prices'!AI149/'Asset Prices'!AI150-1</f>
        <v>-2.2772099695176684E-2</v>
      </c>
      <c r="AJ149" s="1">
        <f>'Asset Prices'!AJ149/'Asset Prices'!AJ150-1</f>
        <v>2.8776978417266008E-2</v>
      </c>
      <c r="AK149" s="1">
        <f>'Asset Prices'!AK149/'Asset Prices'!AK150-1</f>
        <v>8.6486486486485603E-3</v>
      </c>
      <c r="AL149" s="1">
        <f>'Asset Prices'!AL149/'Asset Prices'!AL150-1</f>
        <v>2.8181548501928111E-2</v>
      </c>
      <c r="AM149" s="1">
        <f>'Asset Prices'!AM149/'Asset Prices'!AM150-1</f>
        <v>3.9372798231678274E-3</v>
      </c>
      <c r="AN149" s="1">
        <f>'Asset Prices'!AN149/'Asset Prices'!AN150-1</f>
        <v>1.0059277887551676E-2</v>
      </c>
      <c r="AO149" s="1">
        <f>'Asset Prices'!AO149/'Asset Prices'!AO150-1</f>
        <v>2.3769100169779289E-2</v>
      </c>
      <c r="AP149" s="1">
        <f>'Asset Prices'!AP149/'Asset Prices'!AP150-1</f>
        <v>-2.805330127241823E-3</v>
      </c>
      <c r="AQ149" s="1">
        <f>'Asset Prices'!AQ149/'Asset Prices'!AQ150-1</f>
        <v>-1.2243735763098007E-2</v>
      </c>
      <c r="AR149" s="1">
        <f>'Asset Prices'!AR149/'Asset Prices'!AR150-1</f>
        <v>-0.11509381125735096</v>
      </c>
      <c r="AS149" s="1">
        <f>'Asset Prices'!AS149/'Asset Prices'!AS150-1</f>
        <v>3.3870527178366583E-2</v>
      </c>
      <c r="AT149" s="1">
        <f>'Asset Prices'!AT149/'Asset Prices'!AT150-1</f>
        <v>5.4976438669141814E-2</v>
      </c>
      <c r="AU149" s="1">
        <f>'Asset Prices'!AU149/'Asset Prices'!AU150-1</f>
        <v>4.4930417495030461E-3</v>
      </c>
      <c r="AV149" s="1">
        <f>'Asset Prices'!AV149/'Asset Prices'!AV150-1</f>
        <v>2.5350593311758374E-2</v>
      </c>
      <c r="AW149" s="1">
        <f>'Asset Prices'!AW149/'Asset Prices'!AW150-1</f>
        <v>3.2947329099738409E-2</v>
      </c>
      <c r="AX149" s="1">
        <f>'Asset Prices'!AX149/'Asset Prices'!AX150-1</f>
        <v>-5.0558108995403805E-2</v>
      </c>
      <c r="AY149" s="1">
        <f>'Asset Prices'!AY149/'Asset Prices'!AY150-1</f>
        <v>3.13014827018121E-2</v>
      </c>
      <c r="AZ149" s="1">
        <f>'Asset Prices'!AZ149/'Asset Prices'!AZ150-1</f>
        <v>-4.7712418300653536E-2</v>
      </c>
      <c r="BA149" s="1">
        <f>'Asset Prices'!BA149/'Asset Prices'!BA150-1</f>
        <v>-6.5217391304347783E-2</v>
      </c>
      <c r="BB149" s="1">
        <f>'Asset Prices'!BB149/'Asset Prices'!BB150-1</f>
        <v>2.7482499351827894E-2</v>
      </c>
      <c r="BC149" s="1">
        <f>'Asset Prices'!BC149/'Asset Prices'!BC150-1</f>
        <v>4.1043344840813178E-2</v>
      </c>
      <c r="BD149" s="1">
        <f>'Asset Prices'!BD149/'Asset Prices'!BD150-1</f>
        <v>9.4384143463899228E-4</v>
      </c>
    </row>
    <row r="150" spans="3:56" x14ac:dyDescent="0.25">
      <c r="C150" s="38">
        <f>'Asset Prices'!C150</f>
        <v>43321</v>
      </c>
      <c r="D150" s="1">
        <f>'Asset Prices'!D150/'Asset Prices'!D151-1</f>
        <v>7.8462424416931853E-3</v>
      </c>
      <c r="E150" s="1">
        <f>'Asset Prices'!E150/'Asset Prices'!E151-1</f>
        <v>1.2505543237250505E-2</v>
      </c>
      <c r="F150" s="1">
        <f>'Asset Prices'!F150/'Asset Prices'!F151-1</f>
        <v>3.3184996821360446E-2</v>
      </c>
      <c r="G150" s="1">
        <f>'Asset Prices'!G150/'Asset Prices'!G151-1</f>
        <v>1.3361169102296566E-2</v>
      </c>
      <c r="H150" s="1">
        <f>'Asset Prices'!H150/'Asset Prices'!H151-1</f>
        <v>3.6953843924354413E-3</v>
      </c>
      <c r="I150" s="1">
        <f>'Asset Prices'!I150/'Asset Prices'!I151-1</f>
        <v>3.8101717979248217E-2</v>
      </c>
      <c r="J150" s="1">
        <f>'Asset Prices'!J150/'Asset Prices'!J151-1</f>
        <v>7.1845315588987546E-3</v>
      </c>
      <c r="K150" s="1">
        <f>'Asset Prices'!K150/'Asset Prices'!K151-1</f>
        <v>3.4993703423048306E-2</v>
      </c>
      <c r="L150" s="1">
        <f>'Asset Prices'!L150/'Asset Prices'!L151-1</f>
        <v>1.4107402031930283E-2</v>
      </c>
      <c r="M150" s="1">
        <f>'Asset Prices'!M150/'Asset Prices'!M151-1</f>
        <v>1.9522171609184902E-2</v>
      </c>
      <c r="N150" s="1">
        <f>'Asset Prices'!N150/'Asset Prices'!N151-1</f>
        <v>1.8797386252850101E-2</v>
      </c>
      <c r="O150" s="1">
        <f>'Asset Prices'!O150/'Asset Prices'!O151-1</f>
        <v>-2.0504408447816758E-3</v>
      </c>
      <c r="P150" s="1">
        <f>'Asset Prices'!P150/'Asset Prices'!P151-1</f>
        <v>3.2894104068481367E-2</v>
      </c>
      <c r="Q150" s="1">
        <f>'Asset Prices'!Q150/'Asset Prices'!Q151-1</f>
        <v>-2.8538812785388057E-3</v>
      </c>
      <c r="R150" s="1">
        <f>'Asset Prices'!R150/'Asset Prices'!R151-1</f>
        <v>2.2317596566523656E-2</v>
      </c>
      <c r="S150" s="1">
        <f>'Asset Prices'!S150/'Asset Prices'!S151-1</f>
        <v>1.0831586303284402E-2</v>
      </c>
      <c r="T150" s="1">
        <f>'Asset Prices'!T150/'Asset Prices'!T151-1</f>
        <v>-6.458607604739397E-2</v>
      </c>
      <c r="U150" s="1">
        <f>'Asset Prices'!U150/'Asset Prices'!U151-1</f>
        <v>1.1689070718876593E-3</v>
      </c>
      <c r="V150" s="1">
        <f>'Asset Prices'!V150/'Asset Prices'!V151-1</f>
        <v>5.1958275929935072E-2</v>
      </c>
      <c r="W150" s="1">
        <f>'Asset Prices'!W150/'Asset Prices'!W151-1</f>
        <v>3.6354056902002219E-2</v>
      </c>
      <c r="X150" s="1">
        <f>'Asset Prices'!X150/'Asset Prices'!X151-1</f>
        <v>4.0571529370259318E-2</v>
      </c>
      <c r="Y150" s="1">
        <f>'Asset Prices'!Y150/'Asset Prices'!Y151-1</f>
        <v>0.21685549594542186</v>
      </c>
      <c r="Z150" s="1">
        <f>'Asset Prices'!Z150/'Asset Prices'!Z151-1</f>
        <v>0.13458262350936945</v>
      </c>
      <c r="AA150" s="1">
        <f>'Asset Prices'!AA150/'Asset Prices'!AA151-1</f>
        <v>3.5870516185476875E-2</v>
      </c>
      <c r="AB150" s="1">
        <f>'Asset Prices'!AB150/'Asset Prices'!AB151-1</f>
        <v>-4.9261083743842304E-2</v>
      </c>
      <c r="AC150" s="1">
        <f>'Asset Prices'!AC150/'Asset Prices'!AC151-1</f>
        <v>3.9702233250620278E-3</v>
      </c>
      <c r="AD150" s="1">
        <f>'Asset Prices'!AD150/'Asset Prices'!AD151-1</f>
        <v>4.7799243178649586E-2</v>
      </c>
      <c r="AE150" s="1">
        <f>'Asset Prices'!AE150/'Asset Prices'!AE151-1</f>
        <v>-8.6879879123645809E-3</v>
      </c>
      <c r="AF150" s="1">
        <f>'Asset Prices'!AF150/'Asset Prices'!AF151-1</f>
        <v>6.5470255898969931E-2</v>
      </c>
      <c r="AG150" s="1">
        <f>'Asset Prices'!AG150/'Asset Prices'!AG151-1</f>
        <v>3.3837293016558689E-2</v>
      </c>
      <c r="AH150" s="1">
        <f>'Asset Prices'!AH150/'Asset Prices'!AH151-1</f>
        <v>3.2171581769437019E-2</v>
      </c>
      <c r="AI150" s="1">
        <f>'Asset Prices'!AI150/'Asset Prices'!AI151-1</f>
        <v>0.1463514902363825</v>
      </c>
      <c r="AJ150" s="1">
        <f>'Asset Prices'!AJ150/'Asset Prices'!AJ151-1</f>
        <v>9.6852300242131761E-3</v>
      </c>
      <c r="AK150" s="1">
        <f>'Asset Prices'!AK150/'Asset Prices'!AK151-1</f>
        <v>3.874227961819221E-2</v>
      </c>
      <c r="AL150" s="1">
        <f>'Asset Prices'!AL150/'Asset Prices'!AL151-1</f>
        <v>1.8275185017369022E-2</v>
      </c>
      <c r="AM150" s="1">
        <f>'Asset Prices'!AM150/'Asset Prices'!AM151-1</f>
        <v>1.2660884163402386E-2</v>
      </c>
      <c r="AN150" s="1">
        <f>'Asset Prices'!AN150/'Asset Prices'!AN151-1</f>
        <v>3.3643736857915663E-3</v>
      </c>
      <c r="AO150" s="1">
        <f>'Asset Prices'!AO150/'Asset Prices'!AO151-1</f>
        <v>1.9815313582147054E-2</v>
      </c>
      <c r="AP150" s="1">
        <f>'Asset Prices'!AP150/'Asset Prices'!AP151-1</f>
        <v>2.4112456392366255E-2</v>
      </c>
      <c r="AQ150" s="1">
        <f>'Asset Prices'!AQ150/'Asset Prices'!AQ151-1</f>
        <v>2.3608277470125172E-2</v>
      </c>
      <c r="AR150" s="1">
        <f>'Asset Prices'!AR150/'Asset Prices'!AR151-1</f>
        <v>-1.4352746342809808E-2</v>
      </c>
      <c r="AS150" s="1">
        <f>'Asset Prices'!AS150/'Asset Prices'!AS151-1</f>
        <v>2.4644030668126149E-3</v>
      </c>
      <c r="AT150" s="1">
        <f>'Asset Prices'!AT150/'Asset Prices'!AT151-1</f>
        <v>2.9247501469723547E-2</v>
      </c>
      <c r="AU150" s="1">
        <f>'Asset Prices'!AU150/'Asset Prices'!AU151-1</f>
        <v>2.6111791105671189E-2</v>
      </c>
      <c r="AV150" s="1">
        <f>'Asset Prices'!AV150/'Asset Prices'!AV151-1</f>
        <v>2.2501654533421567E-2</v>
      </c>
      <c r="AW150" s="1">
        <f>'Asset Prices'!AW150/'Asset Prices'!AW151-1</f>
        <v>-8.7387987854551374E-3</v>
      </c>
      <c r="AX150" s="1">
        <f>'Asset Prices'!AX150/'Asset Prices'!AX151-1</f>
        <v>-1.0396361273554255E-2</v>
      </c>
      <c r="AY150" s="1">
        <f>'Asset Prices'!AY150/'Asset Prices'!AY151-1</f>
        <v>6.8661971830985991E-2</v>
      </c>
      <c r="AZ150" s="1">
        <f>'Asset Prices'!AZ150/'Asset Prices'!AZ151-1</f>
        <v>-3.90625E-3</v>
      </c>
      <c r="BA150" s="1">
        <f>'Asset Prices'!BA150/'Asset Prices'!BA151-1</f>
        <v>-0.15337423312883447</v>
      </c>
      <c r="BB150" s="1">
        <f>'Asset Prices'!BB150/'Asset Prices'!BB151-1</f>
        <v>1.0347085789129018E-2</v>
      </c>
      <c r="BC150" s="1">
        <f>'Asset Prices'!BC150/'Asset Prices'!BC151-1</f>
        <v>7.3723228995057566E-2</v>
      </c>
      <c r="BD150" s="1">
        <f>'Asset Prices'!BD150/'Asset Prices'!BD151-1</f>
        <v>-2.8070819190899932E-2</v>
      </c>
    </row>
    <row r="151" spans="3:56" x14ac:dyDescent="0.25">
      <c r="C151" s="38">
        <f>'Asset Prices'!C151</f>
        <v>43314</v>
      </c>
      <c r="D151" s="1">
        <f>'Asset Prices'!D151/'Asset Prices'!D152-1</f>
        <v>-2.5122807017543991E-2</v>
      </c>
      <c r="E151" s="1">
        <f>'Asset Prices'!E151/'Asset Prices'!E152-1</f>
        <v>-6.695445335212824E-3</v>
      </c>
      <c r="F151" s="1">
        <f>'Asset Prices'!F151/'Asset Prices'!F152-1</f>
        <v>6.3979526551503074E-3</v>
      </c>
      <c r="G151" s="1">
        <f>'Asset Prices'!G151/'Asset Prices'!G152-1</f>
        <v>-1.984857785962757E-2</v>
      </c>
      <c r="H151" s="1">
        <f>'Asset Prices'!H151/'Asset Prices'!H152-1</f>
        <v>-3.2052181231589483E-2</v>
      </c>
      <c r="I151" s="1">
        <f>'Asset Prices'!I151/'Asset Prices'!I152-1</f>
        <v>6.2407806649278363E-4</v>
      </c>
      <c r="J151" s="1">
        <f>'Asset Prices'!J151/'Asset Prices'!J152-1</f>
        <v>6.7864682560115241E-2</v>
      </c>
      <c r="K151" s="1">
        <f>'Asset Prices'!K151/'Asset Prices'!K152-1</f>
        <v>1.4563053097345069E-2</v>
      </c>
      <c r="L151" s="1">
        <f>'Asset Prices'!L151/'Asset Prices'!L152-1</f>
        <v>-5.1199427139276721E-2</v>
      </c>
      <c r="M151" s="1">
        <f>'Asset Prices'!M151/'Asset Prices'!M152-1</f>
        <v>-1.8700966976829103E-2</v>
      </c>
      <c r="N151" s="1">
        <f>'Asset Prices'!N151/'Asset Prices'!N152-1</f>
        <v>-3.451575262543749E-2</v>
      </c>
      <c r="O151" s="1">
        <f>'Asset Prices'!O151/'Asset Prices'!O152-1</f>
        <v>-2.1272325908087364E-2</v>
      </c>
      <c r="P151" s="1">
        <f>'Asset Prices'!P151/'Asset Prices'!P152-1</f>
        <v>-3.1169920328006362E-2</v>
      </c>
      <c r="Q151" s="1">
        <f>'Asset Prices'!Q151/'Asset Prices'!Q152-1</f>
        <v>1.3497878904743743E-2</v>
      </c>
      <c r="R151" s="1">
        <f>'Asset Prices'!R151/'Asset Prices'!R152-1</f>
        <v>-5.9726962457338217E-3</v>
      </c>
      <c r="S151" s="1">
        <f>'Asset Prices'!S151/'Asset Prices'!S152-1</f>
        <v>-1.1740331491712719E-2</v>
      </c>
      <c r="T151" s="1">
        <f>'Asset Prices'!T151/'Asset Prices'!T152-1</f>
        <v>-1.4049018859280782E-2</v>
      </c>
      <c r="U151" s="1">
        <f>'Asset Prices'!U151/'Asset Prices'!U152-1</f>
        <v>-4.0112201963534377E-2</v>
      </c>
      <c r="V151" s="1">
        <f>'Asset Prices'!V151/'Asset Prices'!V152-1</f>
        <v>-3.2743194365124628E-2</v>
      </c>
      <c r="W151" s="1">
        <f>'Asset Prices'!W151/'Asset Prices'!W152-1</f>
        <v>-1.1840547296408932E-3</v>
      </c>
      <c r="X151" s="1">
        <f>'Asset Prices'!X151/'Asset Prices'!X152-1</f>
        <v>-1.7636684303357075E-4</v>
      </c>
      <c r="Y151" s="1">
        <f>'Asset Prices'!Y151/'Asset Prices'!Y152-1</f>
        <v>-1.8532969190323878E-2</v>
      </c>
      <c r="Z151" s="1">
        <f>'Asset Prices'!Z151/'Asset Prices'!Z152-1</f>
        <v>-3.2948929159802298E-2</v>
      </c>
      <c r="AA151" s="1">
        <f>'Asset Prices'!AA151/'Asset Prices'!AA152-1</f>
        <v>-2.0565552699228884E-2</v>
      </c>
      <c r="AB151" s="1">
        <f>'Asset Prices'!AB151/'Asset Prices'!AB152-1</f>
        <v>-3.5629453681710332E-2</v>
      </c>
      <c r="AC151" s="1">
        <f>'Asset Prices'!AC151/'Asset Prices'!AC152-1</f>
        <v>-2.4752475247524774E-3</v>
      </c>
      <c r="AD151" s="1">
        <f>'Asset Prices'!AD151/'Asset Prices'!AD152-1</f>
        <v>1.2094335819391233E-2</v>
      </c>
      <c r="AE151" s="1">
        <f>'Asset Prices'!AE151/'Asset Prices'!AE152-1</f>
        <v>0.19500451399337959</v>
      </c>
      <c r="AF151" s="1">
        <f>'Asset Prices'!AF151/'Asset Prices'!AF152-1</f>
        <v>7.3652494141278613E-3</v>
      </c>
      <c r="AG151" s="1">
        <f>'Asset Prices'!AG151/'Asset Prices'!AG152-1</f>
        <v>-5.058099794941906E-2</v>
      </c>
      <c r="AH151" s="1">
        <f>'Asset Prices'!AH151/'Asset Prices'!AH152-1</f>
        <v>-1.5542521994134972E-2</v>
      </c>
      <c r="AI151" s="1">
        <f>'Asset Prices'!AI151/'Asset Prices'!AI152-1</f>
        <v>2.059732234809486E-3</v>
      </c>
      <c r="AJ151" s="1">
        <f>'Asset Prices'!AJ151/'Asset Prices'!AJ152-1</f>
        <v>-0.19493177387914229</v>
      </c>
      <c r="AK151" s="1">
        <f>'Asset Prices'!AK151/'Asset Prices'!AK152-1</f>
        <v>-9.4549499443827845E-3</v>
      </c>
      <c r="AL151" s="1">
        <f>'Asset Prices'!AL151/'Asset Prices'!AL152-1</f>
        <v>-2.689594356261038E-2</v>
      </c>
      <c r="AM151" s="1">
        <f>'Asset Prices'!AM151/'Asset Prices'!AM152-1</f>
        <v>-2.5560629813918601E-2</v>
      </c>
      <c r="AN151" s="1">
        <f>'Asset Prices'!AN151/'Asset Prices'!AN152-1</f>
        <v>-2.8823151875838726E-2</v>
      </c>
      <c r="AO151" s="1">
        <f>'Asset Prices'!AO151/'Asset Prices'!AO152-1</f>
        <v>1.5631105900742348E-2</v>
      </c>
      <c r="AP151" s="1">
        <f>'Asset Prices'!AP151/'Asset Prices'!AP152-1</f>
        <v>-6.1525840853160485E-4</v>
      </c>
      <c r="AQ151" s="1">
        <f>'Asset Prices'!AQ151/'Asset Prices'!AQ152-1</f>
        <v>-1.0668973471741672E-2</v>
      </c>
      <c r="AR151" s="1">
        <f>'Asset Prices'!AR151/'Asset Prices'!AR152-1</f>
        <v>-4.1787886802433283E-2</v>
      </c>
      <c r="AS151" s="1">
        <f>'Asset Prices'!AS151/'Asset Prices'!AS152-1</f>
        <v>1.1634349030470892E-2</v>
      </c>
      <c r="AT151" s="1">
        <f>'Asset Prices'!AT151/'Asset Prices'!AT152-1</f>
        <v>-5.1575132422637116E-2</v>
      </c>
      <c r="AU151" s="1">
        <f>'Asset Prices'!AU151/'Asset Prices'!AU152-1</f>
        <v>-2.4943310657596363E-2</v>
      </c>
      <c r="AV151" s="1">
        <f>'Asset Prices'!AV151/'Asset Prices'!AV152-1</f>
        <v>1.6139878950907738E-2</v>
      </c>
      <c r="AW151" s="1">
        <f>'Asset Prices'!AW151/'Asset Prices'!AW152-1</f>
        <v>0.19834930777422777</v>
      </c>
      <c r="AX151" s="1">
        <f>'Asset Prices'!AX151/'Asset Prices'!AX152-1</f>
        <v>-7.7890952666267221E-2</v>
      </c>
      <c r="AY151" s="1">
        <f>'Asset Prices'!AY151/'Asset Prices'!AY152-1</f>
        <v>1.7921146953405076E-2</v>
      </c>
      <c r="AZ151" s="1">
        <f>'Asset Prices'!AZ151/'Asset Prices'!AZ152-1</f>
        <v>7.8740157480314821E-3</v>
      </c>
      <c r="BA151" s="1">
        <f>'Asset Prices'!BA151/'Asset Prices'!BA152-1</f>
        <v>-3.9764359351988188E-2</v>
      </c>
      <c r="BB151" s="1">
        <f>'Asset Prices'!BB151/'Asset Prices'!BB152-1</f>
        <v>4.6052631578945569E-3</v>
      </c>
      <c r="BC151" s="1">
        <f>'Asset Prices'!BC151/'Asset Prices'!BC152-1</f>
        <v>2.8377806014400653E-2</v>
      </c>
      <c r="BD151" s="1">
        <f>'Asset Prices'!BD151/'Asset Prices'!BD152-1</f>
        <v>-1.0349523377212844E-2</v>
      </c>
    </row>
    <row r="152" spans="3:56" x14ac:dyDescent="0.25">
      <c r="C152" s="38">
        <f>'Asset Prices'!C152</f>
        <v>43307</v>
      </c>
      <c r="D152" s="1">
        <f>'Asset Prices'!D152/'Asset Prices'!D153-1</f>
        <v>1.6912866623849387E-2</v>
      </c>
      <c r="E152" s="1">
        <f>'Asset Prices'!E152/'Asset Prices'!E153-1</f>
        <v>1.2307143494158623E-2</v>
      </c>
      <c r="F152" s="1">
        <f>'Asset Prices'!F152/'Asset Prices'!F153-1</f>
        <v>1.5594541910331383E-2</v>
      </c>
      <c r="G152" s="1">
        <f>'Asset Prices'!G152/'Asset Prices'!G153-1</f>
        <v>8.8769611890999744E-3</v>
      </c>
      <c r="H152" s="1">
        <f>'Asset Prices'!H152/'Asset Prices'!H153-1</f>
        <v>2.2665327786544509E-2</v>
      </c>
      <c r="I152" s="1">
        <f>'Asset Prices'!I152/'Asset Prices'!I153-1</f>
        <v>-0.15296266038733242</v>
      </c>
      <c r="J152" s="1">
        <f>'Asset Prices'!J152/'Asset Prices'!J153-1</f>
        <v>1.2143006045445048E-2</v>
      </c>
      <c r="K152" s="1">
        <f>'Asset Prices'!K152/'Asset Prices'!K153-1</f>
        <v>-2.7413581030022449E-3</v>
      </c>
      <c r="L152" s="1">
        <f>'Asset Prices'!L152/'Asset Prices'!L153-1</f>
        <v>-3.129890453834272E-3</v>
      </c>
      <c r="M152" s="1">
        <f>'Asset Prices'!M152/'Asset Prices'!M153-1</f>
        <v>5.0000000000000044E-2</v>
      </c>
      <c r="N152" s="1">
        <f>'Asset Prices'!N152/'Asset Prices'!N153-1</f>
        <v>7.2054040530397989E-2</v>
      </c>
      <c r="O152" s="1">
        <f>'Asset Prices'!O152/'Asset Prices'!O153-1</f>
        <v>8.0559470887997309E-2</v>
      </c>
      <c r="P152" s="1">
        <f>'Asset Prices'!P152/'Asset Prices'!P153-1</f>
        <v>-5.5138541377073302E-3</v>
      </c>
      <c r="Q152" s="1">
        <f>'Asset Prices'!Q152/'Asset Prices'!Q153-1</f>
        <v>-1.9712680924605763E-2</v>
      </c>
      <c r="R152" s="1">
        <f>'Asset Prices'!R152/'Asset Prices'!R153-1</f>
        <v>2.1128294489218158E-2</v>
      </c>
      <c r="S152" s="1">
        <f>'Asset Prices'!S152/'Asset Prices'!S153-1</f>
        <v>2.2960084775697664E-2</v>
      </c>
      <c r="T152" s="1">
        <f>'Asset Prices'!T152/'Asset Prices'!T153-1</f>
        <v>-1.67417417417417E-2</v>
      </c>
      <c r="U152" s="1">
        <f>'Asset Prices'!U152/'Asset Prices'!U153-1</f>
        <v>-3.7137069547602986E-2</v>
      </c>
      <c r="V152" s="1">
        <f>'Asset Prices'!V152/'Asset Prices'!V153-1</f>
        <v>-4.7334058759521236E-2</v>
      </c>
      <c r="W152" s="1">
        <f>'Asset Prices'!W152/'Asset Prices'!W153-1</f>
        <v>-2.5262887919979438E-2</v>
      </c>
      <c r="X152" s="1">
        <f>'Asset Prices'!X152/'Asset Prices'!X153-1</f>
        <v>5.429527705466719E-2</v>
      </c>
      <c r="Y152" s="1">
        <f>'Asset Prices'!Y152/'Asset Prices'!Y153-1</f>
        <v>-2.8798787407856352E-2</v>
      </c>
      <c r="Z152" s="1">
        <f>'Asset Prices'!Z152/'Asset Prices'!Z153-1</f>
        <v>3.4071550255536653E-2</v>
      </c>
      <c r="AA152" s="1">
        <f>'Asset Prices'!AA152/'Asset Prices'!AA153-1</f>
        <v>-8.561643835616195E-4</v>
      </c>
      <c r="AB152" s="1">
        <f>'Asset Prices'!AB152/'Asset Prices'!AB153-1</f>
        <v>-1.6355140186915973E-2</v>
      </c>
      <c r="AC152" s="1">
        <f>'Asset Prices'!AC152/'Asset Prices'!AC153-1</f>
        <v>3.1664964249233929E-2</v>
      </c>
      <c r="AD152" s="1">
        <f>'Asset Prices'!AD152/'Asset Prices'!AD153-1</f>
        <v>-1.3913734843967407E-2</v>
      </c>
      <c r="AE152" s="1">
        <f>'Asset Prices'!AE152/'Asset Prices'!AE153-1</f>
        <v>-2.8504604589972282E-2</v>
      </c>
      <c r="AF152" s="1">
        <f>'Asset Prices'!AF152/'Asset Prices'!AF153-1</f>
        <v>5.9219858156028371E-2</v>
      </c>
      <c r="AG152" s="1">
        <f>'Asset Prices'!AG152/'Asset Prices'!AG153-1</f>
        <v>-2.4016010673782451E-2</v>
      </c>
      <c r="AH152" s="1">
        <f>'Asset Prices'!AH152/'Asset Prices'!AH153-1</f>
        <v>-3.9436619718309807E-2</v>
      </c>
      <c r="AI152" s="1">
        <f>'Asset Prices'!AI152/'Asset Prices'!AI153-1</f>
        <v>-0.10490412979351038</v>
      </c>
      <c r="AJ152" s="1">
        <f>'Asset Prices'!AJ152/'Asset Prices'!AJ153-1</f>
        <v>-2.6565464895635826E-2</v>
      </c>
      <c r="AK152" s="1">
        <f>'Asset Prices'!AK152/'Asset Prices'!AK153-1</f>
        <v>-9.3292990418557653E-2</v>
      </c>
      <c r="AL152" s="1">
        <f>'Asset Prices'!AL152/'Asset Prices'!AL153-1</f>
        <v>3.357132006683905E-2</v>
      </c>
      <c r="AM152" s="1">
        <f>'Asset Prices'!AM152/'Asset Prices'!AM153-1</f>
        <v>-1.6952559635486475E-2</v>
      </c>
      <c r="AN152" s="1">
        <f>'Asset Prices'!AN152/'Asset Prices'!AN153-1</f>
        <v>-8.5039916695592854E-3</v>
      </c>
      <c r="AO152" s="1">
        <f>'Asset Prices'!AO152/'Asset Prices'!AO153-1</f>
        <v>8.4729064039408275E-3</v>
      </c>
      <c r="AP152" s="1">
        <f>'Asset Prices'!AP152/'Asset Prices'!AP153-1</f>
        <v>-1.7401985873681802E-3</v>
      </c>
      <c r="AQ152" s="1">
        <f>'Asset Prices'!AQ152/'Asset Prices'!AQ153-1</f>
        <v>-2.079999999999993E-2</v>
      </c>
      <c r="AR152" s="1">
        <f>'Asset Prices'!AR152/'Asset Prices'!AR153-1</f>
        <v>2.1615779519048806E-2</v>
      </c>
      <c r="AS152" s="1">
        <f>'Asset Prices'!AS152/'Asset Prices'!AS153-1</f>
        <v>1.290684624017957E-2</v>
      </c>
      <c r="AT152" s="1">
        <f>'Asset Prices'!AT152/'Asset Prices'!AT153-1</f>
        <v>1.2133182844243695E-2</v>
      </c>
      <c r="AU152" s="1">
        <f>'Asset Prices'!AU152/'Asset Prices'!AU153-1</f>
        <v>1.777471860069646E-2</v>
      </c>
      <c r="AV152" s="1">
        <f>'Asset Prices'!AV152/'Asset Prices'!AV153-1</f>
        <v>1.9773688421534041E-2</v>
      </c>
      <c r="AW152" s="1">
        <f>'Asset Prices'!AW152/'Asset Prices'!AW153-1</f>
        <v>1.0039440659734611E-2</v>
      </c>
      <c r="AX152" s="1">
        <f>'Asset Prices'!AX152/'Asset Prices'!AX153-1</f>
        <v>-1.9964768056371152E-2</v>
      </c>
      <c r="AY152" s="1">
        <f>'Asset Prices'!AY152/'Asset Prices'!AY153-1</f>
        <v>-3.6269430051813489E-2</v>
      </c>
      <c r="AZ152" s="1">
        <f>'Asset Prices'!AZ152/'Asset Prices'!AZ153-1</f>
        <v>8.7704782392850067E-3</v>
      </c>
      <c r="BA152" s="1">
        <f>'Asset Prices'!BA152/'Asset Prices'!BA153-1</f>
        <v>0</v>
      </c>
      <c r="BB152" s="1">
        <f>'Asset Prices'!BB152/'Asset Prices'!BB153-1</f>
        <v>-7.8328981723236879E-3</v>
      </c>
      <c r="BC152" s="1">
        <f>'Asset Prices'!BC152/'Asset Prices'!BC153-1</f>
        <v>-0.17906815020862321</v>
      </c>
      <c r="BD152" s="1">
        <f>'Asset Prices'!BD152/'Asset Prices'!BD153-1</f>
        <v>2.8094082508866913E-2</v>
      </c>
    </row>
    <row r="153" spans="3:56" x14ac:dyDescent="0.25">
      <c r="C153" s="38">
        <f>'Asset Prices'!C153</f>
        <v>43300</v>
      </c>
      <c r="D153" s="1">
        <f>'Asset Prices'!D153/'Asset Prices'!D154-1</f>
        <v>1.6440314510364207E-3</v>
      </c>
      <c r="E153" s="1">
        <f>'Asset Prices'!E153/'Asset Prices'!E154-1</f>
        <v>3.5842956120092362E-2</v>
      </c>
      <c r="F153" s="1">
        <f>'Asset Prices'!F153/'Asset Prices'!F154-1</f>
        <v>-5.4284606436603156E-3</v>
      </c>
      <c r="G153" s="1">
        <f>'Asset Prices'!G153/'Asset Prices'!G154-1</f>
        <v>6.0228452751815986E-3</v>
      </c>
      <c r="H153" s="1">
        <f>'Asset Prices'!H153/'Asset Prices'!H154-1</f>
        <v>0</v>
      </c>
      <c r="I153" s="1">
        <f>'Asset Prices'!I153/'Asset Prices'!I154-1</f>
        <v>5.6543591726272435E-3</v>
      </c>
      <c r="J153" s="1">
        <f>'Asset Prices'!J153/'Asset Prices'!J154-1</f>
        <v>4.4495628958802769E-3</v>
      </c>
      <c r="K153" s="1">
        <f>'Asset Prices'!K153/'Asset Prices'!K154-1</f>
        <v>9.1004219033519185E-3</v>
      </c>
      <c r="L153" s="1">
        <f>'Asset Prices'!L153/'Asset Prices'!L154-1</f>
        <v>-0.11915356711003622</v>
      </c>
      <c r="M153" s="1">
        <f>'Asset Prices'!M153/'Asset Prices'!M154-1</f>
        <v>2.0155485171322596E-3</v>
      </c>
      <c r="N153" s="1">
        <f>'Asset Prices'!N153/'Asset Prices'!N154-1</f>
        <v>-1.7981119824185265E-3</v>
      </c>
      <c r="O153" s="1">
        <f>'Asset Prices'!O153/'Asset Prices'!O154-1</f>
        <v>-1.5267990604313386E-2</v>
      </c>
      <c r="P153" s="1">
        <f>'Asset Prices'!P153/'Asset Prices'!P154-1</f>
        <v>-7.8153732990070557E-3</v>
      </c>
      <c r="Q153" s="1">
        <f>'Asset Prices'!Q153/'Asset Prices'!Q154-1</f>
        <v>2.067140730940964E-2</v>
      </c>
      <c r="R153" s="1">
        <f>'Asset Prices'!R153/'Asset Prices'!R154-1</f>
        <v>-9.2792403970652915E-3</v>
      </c>
      <c r="S153" s="1">
        <f>'Asset Prices'!S153/'Asset Prices'!S154-1</f>
        <v>-1.1867364746945941E-2</v>
      </c>
      <c r="T153" s="1">
        <f>'Asset Prices'!T153/'Asset Prices'!T154-1</f>
        <v>1.858224363386074E-2</v>
      </c>
      <c r="U153" s="1">
        <f>'Asset Prices'!U153/'Asset Prices'!U154-1</f>
        <v>1.1888494124077553E-2</v>
      </c>
      <c r="V153" s="1">
        <f>'Asset Prices'!V153/'Asset Prices'!V154-1</f>
        <v>2.5288211230940938E-2</v>
      </c>
      <c r="W153" s="1">
        <f>'Asset Prices'!W153/'Asset Prices'!W154-1</f>
        <v>4.4048734770384401E-2</v>
      </c>
      <c r="X153" s="1">
        <f>'Asset Prices'!X153/'Asset Prices'!X154-1</f>
        <v>1.9139662687132741E-2</v>
      </c>
      <c r="Y153" s="1">
        <f>'Asset Prices'!Y153/'Asset Prices'!Y154-1</f>
        <v>1.7081039896769123E-3</v>
      </c>
      <c r="Z153" s="1">
        <f>'Asset Prices'!Z153/'Asset Prices'!Z154-1</f>
        <v>3.5273368606701938E-2</v>
      </c>
      <c r="AA153" s="1">
        <f>'Asset Prices'!AA153/'Asset Prices'!AA154-1</f>
        <v>-8.4889643463497144E-3</v>
      </c>
      <c r="AB153" s="1">
        <f>'Asset Prices'!AB153/'Asset Prices'!AB154-1</f>
        <v>-2.7272727272727337E-2</v>
      </c>
      <c r="AC153" s="1">
        <f>'Asset Prices'!AC153/'Asset Prices'!AC154-1</f>
        <v>4.5381740523224856E-2</v>
      </c>
      <c r="AD153" s="1">
        <f>'Asset Prices'!AD153/'Asset Prices'!AD154-1</f>
        <v>-1.0132808657156933E-2</v>
      </c>
      <c r="AE153" s="1">
        <f>'Asset Prices'!AE153/'Asset Prices'!AE154-1</f>
        <v>4.3790051876716252E-2</v>
      </c>
      <c r="AF153" s="1">
        <f>'Asset Prices'!AF153/'Asset Prices'!AF154-1</f>
        <v>-1.7699115044248481E-3</v>
      </c>
      <c r="AG153" s="1">
        <f>'Asset Prices'!AG153/'Asset Prices'!AG154-1</f>
        <v>6.7159167226327199E-3</v>
      </c>
      <c r="AH153" s="1">
        <f>'Asset Prices'!AH153/'Asset Prices'!AH154-1</f>
        <v>2.8091514624963843E-2</v>
      </c>
      <c r="AI153" s="1">
        <f>'Asset Prices'!AI153/'Asset Prices'!AI154-1</f>
        <v>9.4872830036334399E-2</v>
      </c>
      <c r="AJ153" s="1">
        <f>'Asset Prices'!AJ153/'Asset Prices'!AJ154-1</f>
        <v>9.5785440613027628E-3</v>
      </c>
      <c r="AK153" s="1">
        <f>'Asset Prices'!AK153/'Asset Prices'!AK154-1</f>
        <v>3.5509138381200955E-2</v>
      </c>
      <c r="AL153" s="1">
        <f>'Asset Prices'!AL153/'Asset Prices'!AL154-1</f>
        <v>2.4364245469772339E-3</v>
      </c>
      <c r="AM153" s="1">
        <f>'Asset Prices'!AM153/'Asset Prices'!AM154-1</f>
        <v>1.9050870604301995E-2</v>
      </c>
      <c r="AN153" s="1">
        <f>'Asset Prices'!AN153/'Asset Prices'!AN154-1</f>
        <v>-8.4322836000688683E-3</v>
      </c>
      <c r="AO153" s="1">
        <f>'Asset Prices'!AO153/'Asset Prices'!AO154-1</f>
        <v>-9.5628415300547109E-3</v>
      </c>
      <c r="AP153" s="1">
        <f>'Asset Prices'!AP153/'Asset Prices'!AP154-1</f>
        <v>3.6498673740053E-2</v>
      </c>
      <c r="AQ153" s="1">
        <f>'Asset Prices'!AQ153/'Asset Prices'!AQ154-1</f>
        <v>2.9261846328110241E-3</v>
      </c>
      <c r="AR153" s="1">
        <f>'Asset Prices'!AR153/'Asset Prices'!AR154-1</f>
        <v>-3.2318879612173168E-3</v>
      </c>
      <c r="AS153" s="1">
        <f>'Asset Prices'!AS153/'Asset Prices'!AS154-1</f>
        <v>-1.6013252346769646E-2</v>
      </c>
      <c r="AT153" s="1">
        <f>'Asset Prices'!AT153/'Asset Prices'!AT154-1</f>
        <v>1.4891179839633395E-2</v>
      </c>
      <c r="AU153" s="1">
        <f>'Asset Prices'!AU153/'Asset Prices'!AU154-1</f>
        <v>9.7268379670900629E-4</v>
      </c>
      <c r="AV153" s="1">
        <f>'Asset Prices'!AV153/'Asset Prices'!AV154-1</f>
        <v>2.0410543503615486E-2</v>
      </c>
      <c r="AW153" s="1">
        <f>'Asset Prices'!AW153/'Asset Prices'!AW154-1</f>
        <v>9.5014025880011399E-3</v>
      </c>
      <c r="AX153" s="1">
        <f>'Asset Prices'!AX153/'Asset Prices'!AX154-1</f>
        <v>-1.8443804034582123E-2</v>
      </c>
      <c r="AY153" s="1">
        <f>'Asset Prices'!AY153/'Asset Prices'!AY154-1</f>
        <v>8.7108013937282625E-3</v>
      </c>
      <c r="AZ153" s="1">
        <f>'Asset Prices'!AZ153/'Asset Prices'!AZ154-1</f>
        <v>6.328059950041709E-3</v>
      </c>
      <c r="BA153" s="1">
        <f>'Asset Prices'!BA153/'Asset Prices'!BA154-1</f>
        <v>-4.0960451977401169E-2</v>
      </c>
      <c r="BB153" s="1">
        <f>'Asset Prices'!BB153/'Asset Prices'!BB154-1</f>
        <v>1.2825598307549813E-2</v>
      </c>
      <c r="BC153" s="1">
        <f>'Asset Prices'!BC153/'Asset Prices'!BC154-1</f>
        <v>3.4160373966199309E-2</v>
      </c>
      <c r="BD153" s="1">
        <f>'Asset Prices'!BD153/'Asset Prices'!BD154-1</f>
        <v>-3.0706243602866001E-3</v>
      </c>
    </row>
    <row r="154" spans="3:56" x14ac:dyDescent="0.25">
      <c r="C154" s="38">
        <f>'Asset Prices'!C154</f>
        <v>43293</v>
      </c>
      <c r="D154" s="1">
        <f>'Asset Prices'!D154/'Asset Prices'!D155-1</f>
        <v>4.9591117113061856E-2</v>
      </c>
      <c r="E154" s="1">
        <f>'Asset Prices'!E154/'Asset Prices'!E155-1</f>
        <v>2.7624833871273902E-2</v>
      </c>
      <c r="F154" s="1">
        <f>'Asset Prices'!F154/'Asset Prices'!F155-1</f>
        <v>1.0711952971913963E-2</v>
      </c>
      <c r="G154" s="1">
        <f>'Asset Prices'!G154/'Asset Prices'!G155-1</f>
        <v>6.0339132349702673E-2</v>
      </c>
      <c r="H154" s="1">
        <f>'Asset Prices'!H154/'Asset Prices'!H155-1</f>
        <v>2.6581253221412249E-2</v>
      </c>
      <c r="I154" s="1">
        <f>'Asset Prices'!I154/'Asset Prices'!I155-1</f>
        <v>4.2680776014109245E-2</v>
      </c>
      <c r="J154" s="1">
        <f>'Asset Prices'!J154/'Asset Prices'!J155-1</f>
        <v>3.0366774541531694E-2</v>
      </c>
      <c r="K154" s="1">
        <f>'Asset Prices'!K154/'Asset Prices'!K155-1</f>
        <v>5.7003171091879246E-2</v>
      </c>
      <c r="L154" s="1">
        <f>'Asset Prices'!L154/'Asset Prices'!L155-1</f>
        <v>3.7927658826777844E-2</v>
      </c>
      <c r="M154" s="1">
        <f>'Asset Prices'!M154/'Asset Prices'!M155-1</f>
        <v>4.4406575781876345E-2</v>
      </c>
      <c r="N154" s="1">
        <f>'Asset Prices'!N154/'Asset Prices'!N155-1</f>
        <v>5.2545803432957561E-2</v>
      </c>
      <c r="O154" s="1">
        <f>'Asset Prices'!O154/'Asset Prices'!O155-1</f>
        <v>-1.5762925598991173E-2</v>
      </c>
      <c r="P154" s="1">
        <f>'Asset Prices'!P154/'Asset Prices'!P155-1</f>
        <v>8.2506721053119403E-3</v>
      </c>
      <c r="Q154" s="1">
        <f>'Asset Prices'!Q154/'Asset Prices'!Q155-1</f>
        <v>6.2803913527447408E-2</v>
      </c>
      <c r="R154" s="1">
        <f>'Asset Prices'!R154/'Asset Prices'!R155-1</f>
        <v>-5.36595836016307E-3</v>
      </c>
      <c r="S154" s="1">
        <f>'Asset Prices'!S154/'Asset Prices'!S155-1</f>
        <v>-2.7494908350305547E-2</v>
      </c>
      <c r="T154" s="1">
        <f>'Asset Prices'!T154/'Asset Prices'!T155-1</f>
        <v>3.3836666930192161E-2</v>
      </c>
      <c r="U154" s="1">
        <f>'Asset Prices'!U154/'Asset Prices'!U155-1</f>
        <v>1.329271669897536E-2</v>
      </c>
      <c r="V154" s="1">
        <f>'Asset Prices'!V154/'Asset Prices'!V155-1</f>
        <v>1.2424698795180822E-2</v>
      </c>
      <c r="W154" s="1">
        <f>'Asset Prices'!W154/'Asset Prices'!W155-1</f>
        <v>1.2883102793599166E-2</v>
      </c>
      <c r="X154" s="1">
        <f>'Asset Prices'!X154/'Asset Prices'!X155-1</f>
        <v>1.7547242576166688E-2</v>
      </c>
      <c r="Y154" s="1">
        <f>'Asset Prices'!Y154/'Asset Prices'!Y155-1</f>
        <v>-1.3849897061159355E-2</v>
      </c>
      <c r="Z154" s="1">
        <f>'Asset Prices'!Z154/'Asset Prices'!Z155-1</f>
        <v>-3.8983050847457568E-2</v>
      </c>
      <c r="AA154" s="1">
        <f>'Asset Prices'!AA154/'Asset Prices'!AA155-1</f>
        <v>5.1785714285714324E-2</v>
      </c>
      <c r="AB154" s="1">
        <f>'Asset Prices'!AB154/'Asset Prices'!AB155-1</f>
        <v>6.5375302663438273E-2</v>
      </c>
      <c r="AC154" s="1">
        <f>'Asset Prices'!AC154/'Asset Prices'!AC155-1</f>
        <v>6.7844925883694396E-2</v>
      </c>
      <c r="AD154" s="1">
        <f>'Asset Prices'!AD154/'Asset Prices'!AD155-1</f>
        <v>1.3661747108097311E-2</v>
      </c>
      <c r="AE154" s="1">
        <f>'Asset Prices'!AE154/'Asset Prices'!AE155-1</f>
        <v>-5.009867921663802E-3</v>
      </c>
      <c r="AF154" s="1">
        <f>'Asset Prices'!AF154/'Asset Prices'!AF155-1</f>
        <v>1.618705035971213E-2</v>
      </c>
      <c r="AG154" s="1">
        <f>'Asset Prices'!AG154/'Asset Prices'!AG155-1</f>
        <v>2.1962937542896466E-2</v>
      </c>
      <c r="AH154" s="1">
        <f>'Asset Prices'!AH154/'Asset Prices'!AH155-1</f>
        <v>-8.6132644272178815E-3</v>
      </c>
      <c r="AI154" s="1">
        <f>'Asset Prices'!AI154/'Asset Prices'!AI155-1</f>
        <v>-2.1335440537336936E-2</v>
      </c>
      <c r="AJ154" s="1">
        <f>'Asset Prices'!AJ154/'Asset Prices'!AJ155-1</f>
        <v>-5.7142857142856718E-3</v>
      </c>
      <c r="AK154" s="1">
        <f>'Asset Prices'!AK154/'Asset Prices'!AK155-1</f>
        <v>-6.7427385892117053E-3</v>
      </c>
      <c r="AL154" s="1">
        <f>'Asset Prices'!AL154/'Asset Prices'!AL155-1</f>
        <v>5.9742647058824705E-3</v>
      </c>
      <c r="AM154" s="1">
        <f>'Asset Prices'!AM154/'Asset Prices'!AM155-1</f>
        <v>3.5494590963727424E-2</v>
      </c>
      <c r="AN154" s="1">
        <f>'Asset Prices'!AN154/'Asset Prices'!AN155-1</f>
        <v>1.7510068289266378E-2</v>
      </c>
      <c r="AO154" s="1">
        <f>'Asset Prices'!AO154/'Asset Prices'!AO155-1</f>
        <v>-7.800312012480326E-4</v>
      </c>
      <c r="AP154" s="1">
        <f>'Asset Prices'!AP154/'Asset Prices'!AP155-1</f>
        <v>-8.6252235195118931E-3</v>
      </c>
      <c r="AQ154" s="1">
        <f>'Asset Prices'!AQ154/'Asset Prices'!AQ155-1</f>
        <v>7.0317235805213096E-2</v>
      </c>
      <c r="AR154" s="1">
        <f>'Asset Prices'!AR154/'Asset Prices'!AR155-1</f>
        <v>-3.3827738745771385E-2</v>
      </c>
      <c r="AS154" s="1">
        <f>'Asset Prices'!AS154/'Asset Prices'!AS155-1</f>
        <v>-1.6538037486218959E-3</v>
      </c>
      <c r="AT154" s="1">
        <f>'Asset Prices'!AT154/'Asset Prices'!AT155-1</f>
        <v>6.9204152249136008E-3</v>
      </c>
      <c r="AU154" s="1">
        <f>'Asset Prices'!AU154/'Asset Prices'!AU155-1</f>
        <v>1.8828970187463989E-2</v>
      </c>
      <c r="AV154" s="1">
        <f>'Asset Prices'!AV154/'Asset Prices'!AV155-1</f>
        <v>2.0835813787355661E-2</v>
      </c>
      <c r="AW154" s="1">
        <f>'Asset Prices'!AW154/'Asset Prices'!AW155-1</f>
        <v>9.016474302061761E-2</v>
      </c>
      <c r="AX154" s="1">
        <f>'Asset Prices'!AX154/'Asset Prices'!AX155-1</f>
        <v>0.10509554140127397</v>
      </c>
      <c r="AY154" s="1">
        <f>'Asset Prices'!AY154/'Asset Prices'!AY155-1</f>
        <v>-2.2146507666098825E-2</v>
      </c>
      <c r="AZ154" s="1">
        <f>'Asset Prices'!AZ154/'Asset Prices'!AZ155-1</f>
        <v>-9.4028373474100979E-3</v>
      </c>
      <c r="BA154" s="1">
        <f>'Asset Prices'!BA154/'Asset Prices'!BA155-1</f>
        <v>-1.1173184357541777E-2</v>
      </c>
      <c r="BB154" s="1">
        <f>'Asset Prices'!BB154/'Asset Prices'!BB155-1</f>
        <v>-2.2236586942469327E-2</v>
      </c>
      <c r="BC154" s="1">
        <f>'Asset Prices'!BC154/'Asset Prices'!BC155-1</f>
        <v>-2.1807949349278877E-2</v>
      </c>
      <c r="BD154" s="1">
        <f>'Asset Prices'!BD154/'Asset Prices'!BD155-1</f>
        <v>2.3134044173648061E-2</v>
      </c>
    </row>
    <row r="155" spans="3:56" x14ac:dyDescent="0.25">
      <c r="C155" s="38">
        <f>'Asset Prices'!C155</f>
        <v>43286</v>
      </c>
      <c r="D155" s="1">
        <f>'Asset Prices'!D155/'Asset Prices'!D156-1</f>
        <v>4.1434383004368414E-3</v>
      </c>
      <c r="E155" s="1">
        <f>'Asset Prices'!E155/'Asset Prices'!E156-1</f>
        <v>5.4404886895105253E-3</v>
      </c>
      <c r="F155" s="1">
        <f>'Asset Prices'!F155/'Asset Prices'!F156-1</f>
        <v>6.7642956764295548E-2</v>
      </c>
      <c r="G155" s="1">
        <f>'Asset Prices'!G155/'Asset Prices'!G156-1</f>
        <v>3.5812043795620196E-2</v>
      </c>
      <c r="H155" s="1">
        <f>'Asset Prices'!H155/'Asset Prices'!H156-1</f>
        <v>-1.6172903036094644E-3</v>
      </c>
      <c r="I155" s="1">
        <f>'Asset Prices'!I155/'Asset Prices'!I156-1</f>
        <v>1.1313254853997812E-2</v>
      </c>
      <c r="J155" s="1">
        <f>'Asset Prices'!J155/'Asset Prices'!J156-1</f>
        <v>-5.3908355795140306E-4</v>
      </c>
      <c r="K155" s="1">
        <f>'Asset Prices'!K155/'Asset Prices'!K156-1</f>
        <v>-1.010902465544139E-3</v>
      </c>
      <c r="L155" s="1">
        <f>'Asset Prices'!L155/'Asset Prices'!L156-1</f>
        <v>7.5110009610033224E-3</v>
      </c>
      <c r="M155" s="1">
        <f>'Asset Prices'!M155/'Asset Prices'!M156-1</f>
        <v>1.1456960356889478E-2</v>
      </c>
      <c r="N155" s="1">
        <f>'Asset Prices'!N155/'Asset Prices'!N156-1</f>
        <v>1.2877402864800658E-2</v>
      </c>
      <c r="O155" s="1">
        <f>'Asset Prices'!O155/'Asset Prices'!O156-1</f>
        <v>1.0405606285835534E-2</v>
      </c>
      <c r="P155" s="1">
        <f>'Asset Prices'!P155/'Asset Prices'!P156-1</f>
        <v>-7.140705031636041E-2</v>
      </c>
      <c r="Q155" s="1">
        <f>'Asset Prices'!Q155/'Asset Prices'!Q156-1</f>
        <v>-7.0389761489237923E-3</v>
      </c>
      <c r="R155" s="1">
        <f>'Asset Prices'!R155/'Asset Prices'!R156-1</f>
        <v>2.036793692509864E-2</v>
      </c>
      <c r="S155" s="1">
        <f>'Asset Prices'!S155/'Asset Prices'!S156-1</f>
        <v>2.9350104821803003E-2</v>
      </c>
      <c r="T155" s="1">
        <f>'Asset Prices'!T155/'Asset Prices'!T156-1</f>
        <v>9.8195752834104866E-3</v>
      </c>
      <c r="U155" s="1">
        <f>'Asset Prices'!U155/'Asset Prices'!U156-1</f>
        <v>-4.4961650357048466E-2</v>
      </c>
      <c r="V155" s="1">
        <f>'Asset Prices'!V155/'Asset Prices'!V156-1</f>
        <v>2.0753266717909336E-2</v>
      </c>
      <c r="W155" s="1">
        <f>'Asset Prices'!W155/'Asset Prices'!W156-1</f>
        <v>-1.6668889185224689E-2</v>
      </c>
      <c r="X155" s="1">
        <f>'Asset Prices'!X155/'Asset Prices'!X156-1</f>
        <v>2.2879684418145807E-2</v>
      </c>
      <c r="Y155" s="1">
        <f>'Asset Prices'!Y155/'Asset Prices'!Y156-1</f>
        <v>1.597261838169084E-2</v>
      </c>
      <c r="Z155" s="1">
        <f>'Asset Prices'!Z155/'Asset Prices'!Z156-1</f>
        <v>0.10902255639097747</v>
      </c>
      <c r="AA155" s="1">
        <f>'Asset Prices'!AA155/'Asset Prices'!AA156-1</f>
        <v>2.1897810218978186E-2</v>
      </c>
      <c r="AB155" s="1">
        <f>'Asset Prices'!AB155/'Asset Prices'!AB156-1</f>
        <v>2.2277227722772297E-2</v>
      </c>
      <c r="AC155" s="1">
        <f>'Asset Prices'!AC155/'Asset Prices'!AC156-1</f>
        <v>5.6626506024096468E-2</v>
      </c>
      <c r="AD155" s="1">
        <f>'Asset Prices'!AD155/'Asset Prices'!AD156-1</f>
        <v>5.3132832080200476E-3</v>
      </c>
      <c r="AE155" s="1">
        <f>'Asset Prices'!AE155/'Asset Prices'!AE156-1</f>
        <v>4.6718576195773132E-2</v>
      </c>
      <c r="AF155" s="1">
        <f>'Asset Prices'!AF155/'Asset Prices'!AF156-1</f>
        <v>-1.8014835747085733E-2</v>
      </c>
      <c r="AG155" s="1">
        <f>'Asset Prices'!AG155/'Asset Prices'!AG156-1</f>
        <v>-1.370801919122755E-3</v>
      </c>
      <c r="AH155" s="1">
        <f>'Asset Prices'!AH155/'Asset Prices'!AH156-1</f>
        <v>-5.3017944535073469E-2</v>
      </c>
      <c r="AI155" s="1">
        <f>'Asset Prices'!AI155/'Asset Prices'!AI156-1</f>
        <v>3.3272096346192992E-2</v>
      </c>
      <c r="AJ155" s="1">
        <f>'Asset Prices'!AJ155/'Asset Prices'!AJ156-1</f>
        <v>-1.1299435028248594E-2</v>
      </c>
      <c r="AK155" s="1">
        <f>'Asset Prices'!AK155/'Asset Prices'!AK156-1</f>
        <v>2.2269353128314018E-2</v>
      </c>
      <c r="AL155" s="1">
        <f>'Asset Prices'!AL155/'Asset Prices'!AL156-1</f>
        <v>2.8355387523629538E-2</v>
      </c>
      <c r="AM155" s="1">
        <f>'Asset Prices'!AM155/'Asset Prices'!AM156-1</f>
        <v>9.925735504141775E-3</v>
      </c>
      <c r="AN155" s="1">
        <f>'Asset Prices'!AN155/'Asset Prices'!AN156-1</f>
        <v>1.3966976386340813E-2</v>
      </c>
      <c r="AO155" s="1">
        <f>'Asset Prices'!AO155/'Asset Prices'!AO156-1</f>
        <v>8.2579630357846323E-3</v>
      </c>
      <c r="AP155" s="1">
        <f>'Asset Prices'!AP155/'Asset Prices'!AP156-1</f>
        <v>-2.7273680897934582E-3</v>
      </c>
      <c r="AQ155" s="1">
        <f>'Asset Prices'!AQ155/'Asset Prices'!AQ156-1</f>
        <v>8.0456258274774761E-3</v>
      </c>
      <c r="AR155" s="1">
        <f>'Asset Prices'!AR155/'Asset Prices'!AR156-1</f>
        <v>3.8648648648648587E-2</v>
      </c>
      <c r="AS155" s="1">
        <f>'Asset Prices'!AS155/'Asset Prices'!AS156-1</f>
        <v>-1.3762730525735956E-3</v>
      </c>
      <c r="AT155" s="1">
        <f>'Asset Prices'!AT155/'Asset Prices'!AT156-1</f>
        <v>1.4776883686905773E-2</v>
      </c>
      <c r="AU155" s="1">
        <f>'Asset Prices'!AU155/'Asset Prices'!AU156-1</f>
        <v>1.0346266166040952E-2</v>
      </c>
      <c r="AV155" s="1">
        <f>'Asset Prices'!AV155/'Asset Prices'!AV156-1</f>
        <v>-1.1998588401364696E-2</v>
      </c>
      <c r="AW155" s="1">
        <f>'Asset Prices'!AW155/'Asset Prices'!AW156-1</f>
        <v>1.3395981205638341E-2</v>
      </c>
      <c r="AX155" s="1">
        <f>'Asset Prices'!AX155/'Asset Prices'!AX156-1</f>
        <v>1.2903225806451646E-2</v>
      </c>
      <c r="AY155" s="1">
        <f>'Asset Prices'!AY155/'Asset Prices'!AY156-1</f>
        <v>3.5273368606701938E-2</v>
      </c>
      <c r="AZ155" s="1">
        <f>'Asset Prices'!AZ155/'Asset Prices'!AZ156-1</f>
        <v>2.1491155562902708E-3</v>
      </c>
      <c r="BA155" s="1">
        <f>'Asset Prices'!BA155/'Asset Prices'!BA156-1</f>
        <v>2.2857142857142909E-2</v>
      </c>
      <c r="BB155" s="1">
        <f>'Asset Prices'!BB155/'Asset Prices'!BB156-1</f>
        <v>3.4229175023398728E-2</v>
      </c>
      <c r="BC155" s="1">
        <f>'Asset Prices'!BC155/'Asset Prices'!BC156-1</f>
        <v>2.3766654663305742E-2</v>
      </c>
      <c r="BD155" s="1">
        <f>'Asset Prices'!BD155/'Asset Prices'!BD156-1</f>
        <v>1.0483179262366082E-3</v>
      </c>
    </row>
    <row r="156" spans="3:56" x14ac:dyDescent="0.25">
      <c r="C156" s="38">
        <f>'Asset Prices'!C156</f>
        <v>43279</v>
      </c>
      <c r="D156" s="1">
        <f>'Asset Prices'!D156/'Asset Prices'!D157-1</f>
        <v>-1.3305582397978077E-2</v>
      </c>
      <c r="E156" s="1">
        <f>'Asset Prices'!E156/'Asset Prices'!E157-1</f>
        <v>-1.0577013882330788E-2</v>
      </c>
      <c r="F156" s="1">
        <f>'Asset Prices'!F156/'Asset Prices'!F157-1</f>
        <v>-3.0294833648904396E-2</v>
      </c>
      <c r="G156" s="1">
        <f>'Asset Prices'!G156/'Asset Prices'!G157-1</f>
        <v>1.7169373549884126E-2</v>
      </c>
      <c r="H156" s="1">
        <f>'Asset Prices'!H156/'Asset Prices'!H157-1</f>
        <v>-2.508421128072813E-2</v>
      </c>
      <c r="I156" s="1">
        <f>'Asset Prices'!I156/'Asset Prices'!I157-1</f>
        <v>-2.6153846153846194E-2</v>
      </c>
      <c r="J156" s="1">
        <f>'Asset Prices'!J156/'Asset Prices'!J157-1</f>
        <v>2.1567993098248195E-4</v>
      </c>
      <c r="K156" s="1">
        <f>'Asset Prices'!K156/'Asset Prices'!K157-1</f>
        <v>-1.6627943267330192E-2</v>
      </c>
      <c r="L156" s="1">
        <f>'Asset Prices'!L156/'Asset Prices'!L157-1</f>
        <v>-4.8189870980165583E-2</v>
      </c>
      <c r="M156" s="1">
        <f>'Asset Prices'!M156/'Asset Prices'!M157-1</f>
        <v>-2.4817085228396318E-2</v>
      </c>
      <c r="N156" s="1">
        <f>'Asset Prices'!N156/'Asset Prices'!N157-1</f>
        <v>-3.6478998495006243E-2</v>
      </c>
      <c r="O156" s="1">
        <f>'Asset Prices'!O156/'Asset Prices'!O157-1</f>
        <v>2.4698074203024722E-2</v>
      </c>
      <c r="P156" s="1">
        <f>'Asset Prices'!P156/'Asset Prices'!P157-1</f>
        <v>4.192600276625269E-3</v>
      </c>
      <c r="Q156" s="1">
        <f>'Asset Prices'!Q156/'Asset Prices'!Q157-1</f>
        <v>-4.3937708565072287E-2</v>
      </c>
      <c r="R156" s="1">
        <f>'Asset Prices'!R156/'Asset Prices'!R157-1</f>
        <v>4.1277080957810686E-2</v>
      </c>
      <c r="S156" s="1">
        <f>'Asset Prices'!S156/'Asset Prices'!S157-1</f>
        <v>2.8017241379310276E-2</v>
      </c>
      <c r="T156" s="1">
        <f>'Asset Prices'!T156/'Asset Prices'!T157-1</f>
        <v>-6.3336573693262399E-2</v>
      </c>
      <c r="U156" s="1">
        <f>'Asset Prices'!U156/'Asset Prices'!U157-1</f>
        <v>-4.7607052896725399E-2</v>
      </c>
      <c r="V156" s="1">
        <f>'Asset Prices'!V156/'Asset Prices'!V157-1</f>
        <v>6.9659442724459009E-3</v>
      </c>
      <c r="W156" s="1">
        <f>'Asset Prices'!W156/'Asset Prices'!W157-1</f>
        <v>-2.9004272950925891E-2</v>
      </c>
      <c r="X156" s="1">
        <f>'Asset Prices'!X156/'Asset Prices'!X157-1</f>
        <v>-4.6095954844778797E-2</v>
      </c>
      <c r="Y156" s="1">
        <f>'Asset Prices'!Y156/'Asset Prices'!Y157-1</f>
        <v>2.9763070283260529E-2</v>
      </c>
      <c r="Z156" s="1">
        <f>'Asset Prices'!Z156/'Asset Prices'!Z157-1</f>
        <v>8.1300813008130079E-2</v>
      </c>
      <c r="AA156" s="1">
        <f>'Asset Prices'!AA156/'Asset Prices'!AA157-1</f>
        <v>-5.6798623063683329E-2</v>
      </c>
      <c r="AB156" s="1">
        <f>'Asset Prices'!AB156/'Asset Prices'!AB157-1</f>
        <v>-3.1175059952038398E-2</v>
      </c>
      <c r="AC156" s="1">
        <f>'Asset Prices'!AC156/'Asset Prices'!AC157-1</f>
        <v>-4.3227665706051854E-2</v>
      </c>
      <c r="AD156" s="1">
        <f>'Asset Prices'!AD156/'Asset Prices'!AD157-1</f>
        <v>-0.11048689138576784</v>
      </c>
      <c r="AE156" s="1">
        <f>'Asset Prices'!AE156/'Asset Prices'!AE157-1</f>
        <v>-3.4963962582425956E-2</v>
      </c>
      <c r="AF156" s="1">
        <f>'Asset Prices'!AF156/'Asset Prices'!AF157-1</f>
        <v>-2.4665257223397408E-3</v>
      </c>
      <c r="AG156" s="1">
        <f>'Asset Prices'!AG156/'Asset Prices'!AG157-1</f>
        <v>-5.1365409622886937E-2</v>
      </c>
      <c r="AH156" s="1">
        <f>'Asset Prices'!AH156/'Asset Prices'!AH157-1</f>
        <v>1.3612850530901888E-3</v>
      </c>
      <c r="AI156" s="1">
        <f>'Asset Prices'!AI156/'Asset Prices'!AI157-1</f>
        <v>-6.8985176738882492E-2</v>
      </c>
      <c r="AJ156" s="1">
        <f>'Asset Prices'!AJ156/'Asset Prices'!AJ157-1</f>
        <v>-0.10756302521008398</v>
      </c>
      <c r="AK156" s="1">
        <f>'Asset Prices'!AK156/'Asset Prices'!AK157-1</f>
        <v>-2.1276595744680882E-2</v>
      </c>
      <c r="AL156" s="1">
        <f>'Asset Prices'!AL156/'Asset Prices'!AL157-1</f>
        <v>4.6316136476017622E-2</v>
      </c>
      <c r="AM156" s="1">
        <f>'Asset Prices'!AM156/'Asset Prices'!AM157-1</f>
        <v>-8.5663716814159407E-3</v>
      </c>
      <c r="AN156" s="1">
        <f>'Asset Prices'!AN156/'Asset Prices'!AN157-1</f>
        <v>-4.9467051410400087E-3</v>
      </c>
      <c r="AO156" s="1">
        <f>'Asset Prices'!AO156/'Asset Prices'!AO157-1</f>
        <v>4.5856467201315976E-2</v>
      </c>
      <c r="AP156" s="1">
        <f>'Asset Prices'!AP156/'Asset Prices'!AP157-1</f>
        <v>-9.969882646173156E-3</v>
      </c>
      <c r="AQ156" s="1">
        <f>'Asset Prices'!AQ156/'Asset Prices'!AQ157-1</f>
        <v>-0.13236723513298576</v>
      </c>
      <c r="AR156" s="1">
        <f>'Asset Prices'!AR156/'Asset Prices'!AR157-1</f>
        <v>-5.4024851431666576E-4</v>
      </c>
      <c r="AS156" s="1">
        <f>'Asset Prices'!AS156/'Asset Prices'!AS157-1</f>
        <v>-5.9539218224178181E-2</v>
      </c>
      <c r="AT156" s="1">
        <f>'Asset Prices'!AT156/'Asset Prices'!AT157-1</f>
        <v>3.9659224441832563E-3</v>
      </c>
      <c r="AU156" s="1">
        <f>'Asset Prices'!AU156/'Asset Prices'!AU157-1</f>
        <v>2.7696793002915276E-2</v>
      </c>
      <c r="AV156" s="1">
        <f>'Asset Prices'!AV156/'Asset Prices'!AV157-1</f>
        <v>-1.4033866852238397E-2</v>
      </c>
      <c r="AW156" s="1">
        <f>'Asset Prices'!AW156/'Asset Prices'!AW157-1</f>
        <v>-8.9228808158062445E-2</v>
      </c>
      <c r="AX156" s="1">
        <f>'Asset Prices'!AX156/'Asset Prices'!AX157-1</f>
        <v>-6.4009661835748743E-2</v>
      </c>
      <c r="AY156" s="1">
        <f>'Asset Prices'!AY156/'Asset Prices'!AY157-1</f>
        <v>1.7667844522968323E-3</v>
      </c>
      <c r="AZ156" s="1">
        <f>'Asset Prices'!AZ156/'Asset Prices'!AZ157-1</f>
        <v>0</v>
      </c>
      <c r="BA156" s="1">
        <f>'Asset Prices'!BA156/'Asset Prices'!BA157-1</f>
        <v>-5.660377358490587E-2</v>
      </c>
      <c r="BB156" s="1">
        <f>'Asset Prices'!BB156/'Asset Prices'!BB157-1</f>
        <v>5.377066810055231E-3</v>
      </c>
      <c r="BC156" s="1">
        <f>'Asset Prices'!BC156/'Asset Prices'!BC157-1</f>
        <v>-4.9948682860075366E-2</v>
      </c>
      <c r="BD156" s="1">
        <f>'Asset Prices'!BD156/'Asset Prices'!BD157-1</f>
        <v>2.6712328767123372E-2</v>
      </c>
    </row>
    <row r="157" spans="3:56" x14ac:dyDescent="0.25">
      <c r="C157" s="38">
        <f>'Asset Prices'!C157</f>
        <v>43272</v>
      </c>
      <c r="D157" s="1">
        <f>'Asset Prices'!D157/'Asset Prices'!D158-1</f>
        <v>-3.4814814814814188E-3</v>
      </c>
      <c r="E157" s="1">
        <f>'Asset Prices'!E157/'Asset Prices'!E158-1</f>
        <v>-2.6298850574712596E-2</v>
      </c>
      <c r="F157" s="1">
        <f>'Asset Prices'!F157/'Asset Prices'!F158-1</f>
        <v>-1.0174029451137989E-2</v>
      </c>
      <c r="G157" s="1">
        <f>'Asset Prices'!G157/'Asset Prices'!G158-1</f>
        <v>-6.1002178649237404E-2</v>
      </c>
      <c r="H157" s="1">
        <f>'Asset Prices'!H157/'Asset Prices'!H158-1</f>
        <v>-8.8872926733707613E-2</v>
      </c>
      <c r="I157" s="1">
        <f>'Asset Prices'!I157/'Asset Prices'!I158-1</f>
        <v>2.3830089934454568E-2</v>
      </c>
      <c r="J157" s="1">
        <f>'Asset Prices'!J157/'Asset Prices'!J158-1</f>
        <v>-2.7987421383647848E-2</v>
      </c>
      <c r="K157" s="1">
        <f>'Asset Prices'!K157/'Asset Prices'!K158-1</f>
        <v>3.6893947304306174E-3</v>
      </c>
      <c r="L157" s="1">
        <f>'Asset Prices'!L157/'Asset Prices'!L158-1</f>
        <v>5.7449028940871116E-2</v>
      </c>
      <c r="M157" s="1">
        <f>'Asset Prices'!M157/'Asset Prices'!M158-1</f>
        <v>-2.7607966870439871E-3</v>
      </c>
      <c r="N157" s="1">
        <f>'Asset Prices'!N157/'Asset Prices'!N158-1</f>
        <v>8.0423408125092077E-3</v>
      </c>
      <c r="O157" s="1">
        <f>'Asset Prices'!O157/'Asset Prices'!O158-1</f>
        <v>-2.4962014326026516E-3</v>
      </c>
      <c r="P157" s="1">
        <f>'Asset Prices'!P157/'Asset Prices'!P158-1</f>
        <v>-3.5317426134895413E-3</v>
      </c>
      <c r="Q157" s="1">
        <f>'Asset Prices'!Q157/'Asset Prices'!Q158-1</f>
        <v>-1.8210609659540689E-2</v>
      </c>
      <c r="R157" s="1">
        <f>'Asset Prices'!R157/'Asset Prices'!R158-1</f>
        <v>2.2859808724049469E-2</v>
      </c>
      <c r="S157" s="1">
        <f>'Asset Prices'!S157/'Asset Prices'!S158-1</f>
        <v>2.8444772811230035E-2</v>
      </c>
      <c r="T157" s="1">
        <f>'Asset Prices'!T157/'Asset Prices'!T158-1</f>
        <v>-3.618018018018021E-2</v>
      </c>
      <c r="U157" s="1">
        <f>'Asset Prices'!U157/'Asset Prices'!U158-1</f>
        <v>-1.4888337468982438E-2</v>
      </c>
      <c r="V157" s="1">
        <f>'Asset Prices'!V157/'Asset Prices'!V158-1</f>
        <v>-2.6191822121725994E-2</v>
      </c>
      <c r="W157" s="1">
        <f>'Asset Prices'!W157/'Asset Prices'!W158-1</f>
        <v>5.3327877795963152E-2</v>
      </c>
      <c r="X157" s="1">
        <f>'Asset Prices'!X157/'Asset Prices'!X158-1</f>
        <v>2.3296110897188971E-2</v>
      </c>
      <c r="Y157" s="1">
        <f>'Asset Prices'!Y157/'Asset Prices'!Y158-1</f>
        <v>-3.4593572773281678E-2</v>
      </c>
      <c r="Z157" s="1">
        <f>'Asset Prices'!Z157/'Asset Prices'!Z158-1</f>
        <v>1.0266940451745477E-2</v>
      </c>
      <c r="AA157" s="1">
        <f>'Asset Prices'!AA157/'Asset Prices'!AA158-1</f>
        <v>-6.5916398713826374E-2</v>
      </c>
      <c r="AB157" s="1">
        <f>'Asset Prices'!AB157/'Asset Prices'!AB158-1</f>
        <v>-4.5766590389016093E-2</v>
      </c>
      <c r="AC157" s="1">
        <f>'Asset Prices'!AC157/'Asset Prices'!AC158-1</f>
        <v>-0.12018255578093306</v>
      </c>
      <c r="AD157" s="1">
        <f>'Asset Prices'!AD157/'Asset Prices'!AD158-1</f>
        <v>4.2987641053198189E-3</v>
      </c>
      <c r="AE157" s="1">
        <f>'Asset Prices'!AE157/'Asset Prices'!AE158-1</f>
        <v>5.6460105305791597E-2</v>
      </c>
      <c r="AF157" s="1">
        <f>'Asset Prices'!AF157/'Asset Prices'!AF158-1</f>
        <v>-3.7313432835820892E-2</v>
      </c>
      <c r="AG157" s="1">
        <f>'Asset Prices'!AG157/'Asset Prices'!AG158-1</f>
        <v>1.6523463317911435E-2</v>
      </c>
      <c r="AH157" s="1">
        <f>'Asset Prices'!AH157/'Asset Prices'!AH158-1</f>
        <v>-1.7914438502673824E-2</v>
      </c>
      <c r="AI157" s="1">
        <f>'Asset Prices'!AI157/'Asset Prices'!AI158-1</f>
        <v>4.8207171314740949E-2</v>
      </c>
      <c r="AJ157" s="1">
        <f>'Asset Prices'!AJ157/'Asset Prices'!AJ158-1</f>
        <v>-1.8151815181518205E-2</v>
      </c>
      <c r="AK157" s="1">
        <f>'Asset Prices'!AK157/'Asset Prices'!AK158-1</f>
        <v>1.2079831932773066E-2</v>
      </c>
      <c r="AL157" s="1">
        <f>'Asset Prices'!AL157/'Asset Prices'!AL158-1</f>
        <v>7.8073089700996245E-3</v>
      </c>
      <c r="AM157" s="1">
        <f>'Asset Prices'!AM157/'Asset Prices'!AM158-1</f>
        <v>-2.720385674931125E-2</v>
      </c>
      <c r="AN157" s="1">
        <f>'Asset Prices'!AN157/'Asset Prices'!AN158-1</f>
        <v>6.2814814814815545E-3</v>
      </c>
      <c r="AO157" s="1">
        <f>'Asset Prices'!AO157/'Asset Prices'!AO158-1</f>
        <v>1.6938519447929679E-2</v>
      </c>
      <c r="AP157" s="1">
        <f>'Asset Prices'!AP157/'Asset Prices'!AP158-1</f>
        <v>1.8295262267343571E-2</v>
      </c>
      <c r="AQ157" s="1">
        <f>'Asset Prices'!AQ157/'Asset Prices'!AQ158-1</f>
        <v>-5.2970711297071094E-2</v>
      </c>
      <c r="AR157" s="1">
        <f>'Asset Prices'!AR157/'Asset Prices'!AR158-1</f>
        <v>-5.4647599591419849E-2</v>
      </c>
      <c r="AS157" s="1">
        <f>'Asset Prices'!AS157/'Asset Prices'!AS158-1</f>
        <v>-2.2272842318400321E-2</v>
      </c>
      <c r="AT157" s="1">
        <f>'Asset Prices'!AT157/'Asset Prices'!AT158-1</f>
        <v>2.406738868832714E-2</v>
      </c>
      <c r="AU157" s="1">
        <f>'Asset Prices'!AU157/'Asset Prices'!AU158-1</f>
        <v>1.8039687312088049E-3</v>
      </c>
      <c r="AV157" s="1">
        <f>'Asset Prices'!AV157/'Asset Prices'!AV158-1</f>
        <v>-2.3998188815938515E-2</v>
      </c>
      <c r="AW157" s="1">
        <f>'Asset Prices'!AW157/'Asset Prices'!AW158-1</f>
        <v>-3.3782000527843747E-2</v>
      </c>
      <c r="AX157" s="1">
        <f>'Asset Prices'!AX157/'Asset Prices'!AX158-1</f>
        <v>-4.2774566473988584E-2</v>
      </c>
      <c r="AY157" s="1">
        <f>'Asset Prices'!AY157/'Asset Prices'!AY158-1</f>
        <v>-2.5817555938037917E-2</v>
      </c>
      <c r="AZ157" s="1">
        <f>'Asset Prices'!AZ157/'Asset Prices'!AZ158-1</f>
        <v>-1.9452099205705897E-2</v>
      </c>
      <c r="BA157" s="1">
        <f>'Asset Prices'!BA157/'Asset Prices'!BA158-1</f>
        <v>1.5047879616963078E-2</v>
      </c>
      <c r="BB157" s="1">
        <f>'Asset Prices'!BB157/'Asset Prices'!BB158-1</f>
        <v>5.7126616455876134E-2</v>
      </c>
      <c r="BC157" s="1">
        <f>'Asset Prices'!BC157/'Asset Prices'!BC158-1</f>
        <v>-2.2734871280508218E-2</v>
      </c>
      <c r="BD157" s="1">
        <f>'Asset Prices'!BD157/'Asset Prices'!BD158-1</f>
        <v>6.7251461988304007E-2</v>
      </c>
    </row>
    <row r="158" spans="3:56" x14ac:dyDescent="0.25">
      <c r="C158" s="38">
        <f>'Asset Prices'!C158</f>
        <v>43265</v>
      </c>
      <c r="D158" s="1">
        <f>'Asset Prices'!D158/'Asset Prices'!D159-1</f>
        <v>8.667065152420772E-3</v>
      </c>
      <c r="E158" s="1">
        <f>'Asset Prices'!E158/'Asset Prices'!E159-1</f>
        <v>6.1286230116131657E-2</v>
      </c>
      <c r="F158" s="1">
        <f>'Asset Prices'!F158/'Asset Prices'!F159-1</f>
        <v>-8.0256821829860492E-4</v>
      </c>
      <c r="G158" s="1">
        <f>'Asset Prices'!G158/'Asset Prices'!G159-1</f>
        <v>-3.7332214765100735E-2</v>
      </c>
      <c r="H158" s="1">
        <f>'Asset Prices'!H158/'Asset Prices'!H159-1</f>
        <v>-2.0154840360867676E-2</v>
      </c>
      <c r="I158" s="1">
        <f>'Asset Prices'!I158/'Asset Prices'!I159-1</f>
        <v>4.5860346476777503E-2</v>
      </c>
      <c r="J158" s="1">
        <f>'Asset Prices'!J158/'Asset Prices'!J159-1</f>
        <v>-1.3749612322960791E-2</v>
      </c>
      <c r="K158" s="1">
        <f>'Asset Prices'!K158/'Asset Prices'!K159-1</f>
        <v>2.045817794352689E-2</v>
      </c>
      <c r="L158" s="1">
        <f>'Asset Prices'!L158/'Asset Prices'!L159-1</f>
        <v>8.7078029883785435E-2</v>
      </c>
      <c r="M158" s="1">
        <f>'Asset Prices'!M158/'Asset Prices'!M159-1</f>
        <v>5.3528945281522411E-3</v>
      </c>
      <c r="N158" s="1">
        <f>'Asset Prices'!N158/'Asset Prices'!N159-1</f>
        <v>2.2645933604837465E-2</v>
      </c>
      <c r="O158" s="1">
        <f>'Asset Prices'!O158/'Asset Prices'!O159-1</f>
        <v>1.1638120333772539E-2</v>
      </c>
      <c r="P158" s="1">
        <f>'Asset Prices'!P158/'Asset Prices'!P159-1</f>
        <v>3.8697266586140477E-2</v>
      </c>
      <c r="Q158" s="1">
        <f>'Asset Prices'!Q158/'Asset Prices'!Q159-1</f>
        <v>7.9423552988329593E-2</v>
      </c>
      <c r="R158" s="1">
        <f>'Asset Prices'!R158/'Asset Prices'!R159-1</f>
        <v>3.5112359550562022E-3</v>
      </c>
      <c r="S158" s="1">
        <f>'Asset Prices'!S158/'Asset Prices'!S159-1</f>
        <v>5.7008980866849024E-2</v>
      </c>
      <c r="T158" s="1">
        <f>'Asset Prices'!T158/'Asset Prices'!T159-1</f>
        <v>-4.9483648881238906E-3</v>
      </c>
      <c r="U158" s="1">
        <f>'Asset Prices'!U158/'Asset Prices'!U159-1</f>
        <v>3.759011328527273E-2</v>
      </c>
      <c r="V158" s="1">
        <f>'Asset Prices'!V158/'Asset Prices'!V159-1</f>
        <v>1.2013729977116805E-2</v>
      </c>
      <c r="W158" s="1">
        <f>'Asset Prices'!W158/'Asset Prices'!W159-1</f>
        <v>2.316494557633253E-2</v>
      </c>
      <c r="X158" s="1">
        <f>'Asset Prices'!X158/'Asset Prices'!X159-1</f>
        <v>2.5671406003159536E-2</v>
      </c>
      <c r="Y158" s="1">
        <f>'Asset Prices'!Y158/'Asset Prices'!Y159-1</f>
        <v>-3.0154541993955286E-3</v>
      </c>
      <c r="Z158" s="1">
        <f>'Asset Prices'!Z158/'Asset Prices'!Z159-1</f>
        <v>3.1779661016949179E-2</v>
      </c>
      <c r="AA158" s="1">
        <f>'Asset Prices'!AA158/'Asset Prices'!AA159-1</f>
        <v>-2.2780832678711671E-2</v>
      </c>
      <c r="AB158" s="1">
        <f>'Asset Prices'!AB158/'Asset Prices'!AB159-1</f>
        <v>-1.5765765765765827E-2</v>
      </c>
      <c r="AC158" s="1">
        <f>'Asset Prices'!AC158/'Asset Prices'!AC159-1</f>
        <v>3.5623409669209849E-3</v>
      </c>
      <c r="AD158" s="1">
        <f>'Asset Prices'!AD158/'Asset Prices'!AD159-1</f>
        <v>1.8145345126287848E-2</v>
      </c>
      <c r="AE158" s="1">
        <f>'Asset Prices'!AE158/'Asset Prices'!AE159-1</f>
        <v>-2.9557424730760062E-2</v>
      </c>
      <c r="AF158" s="1">
        <f>'Asset Prices'!AF158/'Asset Prices'!AF159-1</f>
        <v>6.1433447098975247E-3</v>
      </c>
      <c r="AG158" s="1">
        <f>'Asset Prices'!AG158/'Asset Prices'!AG159-1</f>
        <v>2.5762711864406818E-2</v>
      </c>
      <c r="AH158" s="1">
        <f>'Asset Prices'!AH158/'Asset Prices'!AH159-1</f>
        <v>2.6745119015769703E-4</v>
      </c>
      <c r="AI158" s="1">
        <f>'Asset Prices'!AI158/'Asset Prices'!AI159-1</f>
        <v>4.8038430744596905E-3</v>
      </c>
      <c r="AJ158" s="1">
        <f>'Asset Prices'!AJ158/'Asset Prices'!AJ159-1</f>
        <v>-2.2580645161290325E-2</v>
      </c>
      <c r="AK158" s="1">
        <f>'Asset Prices'!AK158/'Asset Prices'!AK159-1</f>
        <v>1.4384656366542403E-2</v>
      </c>
      <c r="AL158" s="1">
        <f>'Asset Prices'!AL158/'Asset Prices'!AL159-1</f>
        <v>8.0375083724046892E-3</v>
      </c>
      <c r="AM158" s="1">
        <f>'Asset Prices'!AM158/'Asset Prices'!AM159-1</f>
        <v>-1.1007154650524154E-3</v>
      </c>
      <c r="AN158" s="1">
        <f>'Asset Prices'!AN158/'Asset Prices'!AN159-1</f>
        <v>-5.27645242772945E-2</v>
      </c>
      <c r="AO158" s="1">
        <f>'Asset Prices'!AO158/'Asset Prices'!AO159-1</f>
        <v>-2.4280759028769583E-2</v>
      </c>
      <c r="AP158" s="1">
        <f>'Asset Prices'!AP158/'Asset Prices'!AP159-1</f>
        <v>6.3492063492076589E-4</v>
      </c>
      <c r="AQ158" s="1">
        <f>'Asset Prices'!AQ158/'Asset Prices'!AQ159-1</f>
        <v>4.2302660270387982E-2</v>
      </c>
      <c r="AR158" s="1">
        <f>'Asset Prices'!AR158/'Asset Prices'!AR159-1</f>
        <v>1.5033696215655867E-2</v>
      </c>
      <c r="AS158" s="1">
        <f>'Asset Prices'!AS158/'Asset Prices'!AS159-1</f>
        <v>-3.657644476956845E-2</v>
      </c>
      <c r="AT158" s="1">
        <f>'Asset Prices'!AT158/'Asset Prices'!AT159-1</f>
        <v>1.0948905109489093E-2</v>
      </c>
      <c r="AU158" s="1">
        <f>'Asset Prices'!AU158/'Asset Prices'!AU159-1</f>
        <v>1.3185952391313815E-2</v>
      </c>
      <c r="AV158" s="1">
        <f>'Asset Prices'!AV158/'Asset Prices'!AV159-1</f>
        <v>7.7842850170815048E-2</v>
      </c>
      <c r="AW158" s="1">
        <f>'Asset Prices'!AW158/'Asset Prices'!AW159-1</f>
        <v>0.10316381987577627</v>
      </c>
      <c r="AX158" s="1">
        <f>'Asset Prices'!AX158/'Asset Prices'!AX159-1</f>
        <v>1.5854374633000656E-2</v>
      </c>
      <c r="AY158" s="1">
        <f>'Asset Prices'!AY158/'Asset Prices'!AY159-1</f>
        <v>-6.8376068376068133E-3</v>
      </c>
      <c r="AZ158" s="1">
        <f>'Asset Prices'!AZ158/'Asset Prices'!AZ159-1</f>
        <v>-3.4887359198998769E-2</v>
      </c>
      <c r="BA158" s="1">
        <f>'Asset Prices'!BA158/'Asset Prices'!BA159-1</f>
        <v>8.2758620689655782E-3</v>
      </c>
      <c r="BB158" s="1">
        <f>'Asset Prices'!BB158/'Asset Prices'!BB159-1</f>
        <v>-1.1240691302515038E-2</v>
      </c>
      <c r="BC158" s="1">
        <f>'Asset Prices'!BC158/'Asset Prices'!BC159-1</f>
        <v>-2.9999999999998916E-3</v>
      </c>
      <c r="BD158" s="1">
        <f>'Asset Prices'!BD158/'Asset Prices'!BD159-1</f>
        <v>-1.7846153846153845E-2</v>
      </c>
    </row>
    <row r="159" spans="3:56" x14ac:dyDescent="0.25">
      <c r="C159" s="38">
        <f>'Asset Prices'!C159</f>
        <v>43258</v>
      </c>
      <c r="D159" s="1">
        <f>'Asset Prices'!D159/'Asset Prices'!D160-1</f>
        <v>2.38678090575275E-2</v>
      </c>
      <c r="E159" s="1">
        <f>'Asset Prices'!E159/'Asset Prices'!E160-1</f>
        <v>3.0159847190107669E-2</v>
      </c>
      <c r="F159" s="1">
        <f>'Asset Prices'!F159/'Asset Prices'!F160-1</f>
        <v>4.1225626740947208E-2</v>
      </c>
      <c r="G159" s="1">
        <f>'Asset Prices'!G159/'Asset Prices'!G160-1</f>
        <v>2.0547945205479534E-2</v>
      </c>
      <c r="H159" s="1">
        <f>'Asset Prices'!H159/'Asset Prices'!H160-1</f>
        <v>2.883286156276732E-2</v>
      </c>
      <c r="I159" s="1">
        <f>'Asset Prices'!I159/'Asset Prices'!I160-1</f>
        <v>-1.8771509020752863E-2</v>
      </c>
      <c r="J159" s="1">
        <f>'Asset Prices'!J159/'Asset Prices'!J160-1</f>
        <v>3.5265157596189978E-2</v>
      </c>
      <c r="K159" s="1">
        <f>'Asset Prices'!K159/'Asset Prices'!K160-1</f>
        <v>3.6622034584749885E-2</v>
      </c>
      <c r="L159" s="1">
        <f>'Asset Prices'!L159/'Asset Prices'!L160-1</f>
        <v>2.7872582480090946E-2</v>
      </c>
      <c r="M159" s="1">
        <f>'Asset Prices'!M159/'Asset Prices'!M160-1</f>
        <v>2.0639417239983748E-2</v>
      </c>
      <c r="N159" s="1">
        <f>'Asset Prices'!N159/'Asset Prices'!N160-1</f>
        <v>3.1290909090909258E-2</v>
      </c>
      <c r="O159" s="1">
        <f>'Asset Prices'!O159/'Asset Prices'!O160-1</f>
        <v>1.1550422034651175E-2</v>
      </c>
      <c r="P159" s="1">
        <f>'Asset Prices'!P159/'Asset Prices'!P160-1</f>
        <v>2.0172135556750792E-3</v>
      </c>
      <c r="Q159" s="1">
        <f>'Asset Prices'!Q159/'Asset Prices'!Q160-1</f>
        <v>2.2202138876336708E-2</v>
      </c>
      <c r="R159" s="1">
        <f>'Asset Prices'!R159/'Asset Prices'!R160-1</f>
        <v>-6.1511423550087985E-2</v>
      </c>
      <c r="S159" s="1">
        <f>'Asset Prices'!S159/'Asset Prices'!S160-1</f>
        <v>-6.2591508052708633E-2</v>
      </c>
      <c r="T159" s="1">
        <f>'Asset Prices'!T159/'Asset Prices'!T160-1</f>
        <v>3.0141843971630999E-2</v>
      </c>
      <c r="U159" s="1">
        <f>'Asset Prices'!U159/'Asset Prices'!U160-1</f>
        <v>-3.634784766158039E-2</v>
      </c>
      <c r="V159" s="1">
        <f>'Asset Prices'!V159/'Asset Prices'!V160-1</f>
        <v>1.3529184383455739E-2</v>
      </c>
      <c r="W159" s="1">
        <f>'Asset Prices'!W159/'Asset Prices'!W160-1</f>
        <v>4.9963369963369919E-2</v>
      </c>
      <c r="X159" s="1">
        <f>'Asset Prices'!X159/'Asset Prices'!X160-1</f>
        <v>-8.6139389193421456E-3</v>
      </c>
      <c r="Y159" s="1">
        <f>'Asset Prices'!Y159/'Asset Prices'!Y160-1</f>
        <v>4.8409405241123249E-2</v>
      </c>
      <c r="Z159" s="1">
        <f>'Asset Prices'!Z159/'Asset Prices'!Z160-1</f>
        <v>3.5087719298245723E-2</v>
      </c>
      <c r="AA159" s="1">
        <f>'Asset Prices'!AA159/'Asset Prices'!AA160-1</f>
        <v>2.9102667744543176E-2</v>
      </c>
      <c r="AB159" s="1">
        <f>'Asset Prices'!AB159/'Asset Prices'!AB160-1</f>
        <v>9.0909090909090384E-3</v>
      </c>
      <c r="AC159" s="1">
        <f>'Asset Prices'!AC159/'Asset Prices'!AC160-1</f>
        <v>-7.575757575757569E-3</v>
      </c>
      <c r="AD159" s="1">
        <f>'Asset Prices'!AD159/'Asset Prices'!AD160-1</f>
        <v>4.1995249406175716E-2</v>
      </c>
      <c r="AE159" s="1">
        <f>'Asset Prices'!AE159/'Asset Prices'!AE160-1</f>
        <v>7.9606212339811577E-2</v>
      </c>
      <c r="AF159" s="1">
        <f>'Asset Prices'!AF159/'Asset Prices'!AF160-1</f>
        <v>6.5842124408876046E-2</v>
      </c>
      <c r="AG159" s="1">
        <f>'Asset Prices'!AG159/'Asset Prices'!AG160-1</f>
        <v>4.314002828854302E-2</v>
      </c>
      <c r="AH159" s="1">
        <f>'Asset Prices'!AH159/'Asset Prices'!AH160-1</f>
        <v>2.1584699453551792E-2</v>
      </c>
      <c r="AI159" s="1">
        <f>'Asset Prices'!AI159/'Asset Prices'!AI160-1</f>
        <v>8.3026230218946395E-2</v>
      </c>
      <c r="AJ159" s="1">
        <f>'Asset Prices'!AJ159/'Asset Prices'!AJ160-1</f>
        <v>-1.6103059581320522E-3</v>
      </c>
      <c r="AK159" s="1">
        <f>'Asset Prices'!AK159/'Asset Prices'!AK160-1</f>
        <v>-6.3525674960297485E-3</v>
      </c>
      <c r="AL159" s="1">
        <f>'Asset Prices'!AL159/'Asset Prices'!AL160-1</f>
        <v>-3.9253539253539249E-2</v>
      </c>
      <c r="AM159" s="1">
        <f>'Asset Prices'!AM159/'Asset Prices'!AM160-1</f>
        <v>2.8660392045856797E-2</v>
      </c>
      <c r="AN159" s="1">
        <f>'Asset Prices'!AN159/'Asset Prices'!AN160-1</f>
        <v>2.3732904263877641E-2</v>
      </c>
      <c r="AO159" s="1">
        <f>'Asset Prices'!AO159/'Asset Prices'!AO160-1</f>
        <v>2.8109922383050101E-2</v>
      </c>
      <c r="AP159" s="1">
        <f>'Asset Prices'!AP159/'Asset Prices'!AP160-1</f>
        <v>4.6279893711248965E-2</v>
      </c>
      <c r="AQ159" s="1">
        <f>'Asset Prices'!AQ159/'Asset Prices'!AQ160-1</f>
        <v>3.4653912101795914E-2</v>
      </c>
      <c r="AR159" s="1">
        <f>'Asset Prices'!AR159/'Asset Prices'!AR160-1</f>
        <v>-8.9904957616234737E-3</v>
      </c>
      <c r="AS159" s="1">
        <f>'Asset Prices'!AS159/'Asset Prices'!AS160-1</f>
        <v>6.6302652106084103E-2</v>
      </c>
      <c r="AT159" s="1">
        <f>'Asset Prices'!AT159/'Asset Prices'!AT160-1</f>
        <v>1.1225588190066249E-2</v>
      </c>
      <c r="AU159" s="1">
        <f>'Asset Prices'!AU159/'Asset Prices'!AU160-1</f>
        <v>3.7005280021661591E-2</v>
      </c>
      <c r="AV159" s="1">
        <f>'Asset Prices'!AV159/'Asset Prices'!AV160-1</f>
        <v>-7.6280421358518868E-3</v>
      </c>
      <c r="AW159" s="1">
        <f>'Asset Prices'!AW159/'Asset Prices'!AW160-1</f>
        <v>-2.3039726936569527E-2</v>
      </c>
      <c r="AX159" s="1">
        <f>'Asset Prices'!AX159/'Asset Prices'!AX160-1</f>
        <v>2.0371479928100733E-2</v>
      </c>
      <c r="AY159" s="1">
        <f>'Asset Prices'!AY159/'Asset Prices'!AY160-1</f>
        <v>8.6206896551723755E-3</v>
      </c>
      <c r="AZ159" s="1">
        <f>'Asset Prices'!AZ159/'Asset Prices'!AZ160-1</f>
        <v>5.031446540880502E-3</v>
      </c>
      <c r="BA159" s="1">
        <f>'Asset Prices'!BA159/'Asset Prices'!BA160-1</f>
        <v>2.6912181303116345E-2</v>
      </c>
      <c r="BB159" s="1">
        <f>'Asset Prices'!BB159/'Asset Prices'!BB160-1</f>
        <v>-5.1698867421718808E-2</v>
      </c>
      <c r="BC159" s="1">
        <f>'Asset Prices'!BC159/'Asset Prices'!BC160-1</f>
        <v>-8.9197224975222644E-3</v>
      </c>
      <c r="BD159" s="1">
        <f>'Asset Prices'!BD159/'Asset Prices'!BD160-1</f>
        <v>4.4456347080878533E-2</v>
      </c>
    </row>
    <row r="160" spans="3:56" x14ac:dyDescent="0.25">
      <c r="C160" s="38">
        <f>'Asset Prices'!C160</f>
        <v>43251</v>
      </c>
      <c r="D160" s="1">
        <f>'Asset Prices'!D160/'Asset Prices'!D161-1</f>
        <v>-8.871028887709409E-3</v>
      </c>
      <c r="E160" s="1">
        <f>'Asset Prices'!E160/'Asset Prices'!E161-1</f>
        <v>-2.5854470668886465E-2</v>
      </c>
      <c r="F160" s="1">
        <f>'Asset Prices'!F160/'Asset Prices'!F161-1</f>
        <v>-5.2646162371849936E-3</v>
      </c>
      <c r="G160" s="1">
        <f>'Asset Prices'!G160/'Asset Prices'!G161-1</f>
        <v>5.5962117950925094E-3</v>
      </c>
      <c r="H160" s="1">
        <f>'Asset Prices'!H160/'Asset Prices'!H161-1</f>
        <v>-3.6715282181357001E-2</v>
      </c>
      <c r="I160" s="1">
        <f>'Asset Prices'!I160/'Asset Prices'!I161-1</f>
        <v>3.1463453988060053E-2</v>
      </c>
      <c r="J160" s="1">
        <f>'Asset Prices'!J160/'Asset Prices'!J161-1</f>
        <v>-6.8030826468243877E-3</v>
      </c>
      <c r="K160" s="1">
        <f>'Asset Prices'!K160/'Asset Prices'!K161-1</f>
        <v>1.6561971716768431E-2</v>
      </c>
      <c r="L160" s="1">
        <f>'Asset Prices'!L160/'Asset Prices'!L161-1</f>
        <v>6.6134157863093623E-3</v>
      </c>
      <c r="M160" s="1">
        <f>'Asset Prices'!M160/'Asset Prices'!M161-1</f>
        <v>5.3911097548571263E-3</v>
      </c>
      <c r="N160" s="1">
        <f>'Asset Prices'!N160/'Asset Prices'!N161-1</f>
        <v>1.3404578746142093E-2</v>
      </c>
      <c r="O160" s="1">
        <f>'Asset Prices'!O160/'Asset Prices'!O161-1</f>
        <v>-1.7781171593760137E-2</v>
      </c>
      <c r="P160" s="1">
        <f>'Asset Prices'!P160/'Asset Prices'!P161-1</f>
        <v>2.8207964601769886E-2</v>
      </c>
      <c r="Q160" s="1">
        <f>'Asset Prices'!Q160/'Asset Prices'!Q161-1</f>
        <v>4.7028766086298246E-2</v>
      </c>
      <c r="R160" s="1">
        <f>'Asset Prices'!R160/'Asset Prices'!R161-1</f>
        <v>1.5165031222123204E-2</v>
      </c>
      <c r="S160" s="1">
        <f>'Asset Prices'!S160/'Asset Prices'!S161-1</f>
        <v>-6.545454545454521E-3</v>
      </c>
      <c r="T160" s="1">
        <f>'Asset Prices'!T160/'Asset Prices'!T161-1</f>
        <v>-1.8205555958511588E-2</v>
      </c>
      <c r="U160" s="1">
        <f>'Asset Prices'!U160/'Asset Prices'!U161-1</f>
        <v>1.6391375614676518E-2</v>
      </c>
      <c r="V160" s="1">
        <f>'Asset Prices'!V160/'Asset Prices'!V161-1</f>
        <v>5.4411193159735749E-3</v>
      </c>
      <c r="W160" s="1">
        <f>'Asset Prices'!W160/'Asset Prices'!W161-1</f>
        <v>-3.7376586741890039E-2</v>
      </c>
      <c r="X160" s="1">
        <f>'Asset Prices'!X160/'Asset Prices'!X161-1</f>
        <v>-2.5385666861941214E-3</v>
      </c>
      <c r="Y160" s="1">
        <f>'Asset Prices'!Y160/'Asset Prices'!Y161-1</f>
        <v>-2.7852477907254536E-2</v>
      </c>
      <c r="Z160" s="1">
        <f>'Asset Prices'!Z160/'Asset Prices'!Z161-1</f>
        <v>5.069124423963145E-2</v>
      </c>
      <c r="AA160" s="1">
        <f>'Asset Prices'!AA160/'Asset Prices'!AA161-1</f>
        <v>5.6910569105690367E-3</v>
      </c>
      <c r="AB160" s="1">
        <f>'Asset Prices'!AB160/'Asset Prices'!AB161-1</f>
        <v>6.2801932367150037E-2</v>
      </c>
      <c r="AC160" s="1">
        <f>'Asset Prices'!AC160/'Asset Prices'!AC161-1</f>
        <v>1.1235955056179803E-2</v>
      </c>
      <c r="AD160" s="1">
        <f>'Asset Prices'!AD160/'Asset Prices'!AD161-1</f>
        <v>-3.837368661489271E-2</v>
      </c>
      <c r="AE160" s="1">
        <f>'Asset Prices'!AE160/'Asset Prices'!AE161-1</f>
        <v>1.805771556937974E-2</v>
      </c>
      <c r="AF160" s="1">
        <f>'Asset Prices'!AF160/'Asset Prices'!AF161-1</f>
        <v>-1.3280689160086179E-2</v>
      </c>
      <c r="AG160" s="1">
        <f>'Asset Prices'!AG160/'Asset Prices'!AG161-1</f>
        <v>1.0000000000000009E-2</v>
      </c>
      <c r="AH160" s="1">
        <f>'Asset Prices'!AH160/'Asset Prices'!AH161-1</f>
        <v>0.18446601941747587</v>
      </c>
      <c r="AI160" s="1">
        <f>'Asset Prices'!AI160/'Asset Prices'!AI161-1</f>
        <v>-4.9453946012775529E-2</v>
      </c>
      <c r="AJ160" s="1">
        <f>'Asset Prices'!AJ160/'Asset Prices'!AJ161-1</f>
        <v>4.5454545454545414E-2</v>
      </c>
      <c r="AK160" s="1">
        <f>'Asset Prices'!AK160/'Asset Prices'!AK161-1</f>
        <v>-7.8781512605041737E-3</v>
      </c>
      <c r="AL160" s="1">
        <f>'Asset Prices'!AL160/'Asset Prices'!AL161-1</f>
        <v>-7.3458958799106355E-3</v>
      </c>
      <c r="AM160" s="1">
        <f>'Asset Prices'!AM160/'Asset Prices'!AM161-1</f>
        <v>-1.9157354063996657E-2</v>
      </c>
      <c r="AN160" s="1">
        <f>'Asset Prices'!AN160/'Asset Prices'!AN161-1</f>
        <v>-5.8272394881169198E-3</v>
      </c>
      <c r="AO160" s="1">
        <f>'Asset Prices'!AO160/'Asset Prices'!AO161-1</f>
        <v>-1.9942434210526327E-2</v>
      </c>
      <c r="AP160" s="1">
        <f>'Asset Prices'!AP160/'Asset Prices'!AP161-1</f>
        <v>1.7804823078656717E-2</v>
      </c>
      <c r="AQ160" s="1">
        <f>'Asset Prices'!AQ160/'Asset Prices'!AQ161-1</f>
        <v>-4.7287421545868846E-2</v>
      </c>
      <c r="AR160" s="1">
        <f>'Asset Prices'!AR160/'Asset Prices'!AR161-1</f>
        <v>-2.601951463597707E-2</v>
      </c>
      <c r="AS160" s="1">
        <f>'Asset Prices'!AS160/'Asset Prices'!AS161-1</f>
        <v>-2.2120518688024338E-2</v>
      </c>
      <c r="AT160" s="1">
        <f>'Asset Prices'!AT160/'Asset Prices'!AT161-1</f>
        <v>6.8122000309644992E-3</v>
      </c>
      <c r="AU160" s="1">
        <f>'Asset Prices'!AU160/'Asset Prices'!AU161-1</f>
        <v>-1.7774822695035386E-2</v>
      </c>
      <c r="AV160" s="1">
        <f>'Asset Prices'!AV160/'Asset Prices'!AV161-1</f>
        <v>-0.12741679873217115</v>
      </c>
      <c r="AW160" s="1">
        <f>'Asset Prices'!AW160/'Asset Prices'!AW161-1</f>
        <v>2.3483745754488083E-2</v>
      </c>
      <c r="AX160" s="1">
        <f>'Asset Prices'!AX160/'Asset Prices'!AX161-1</f>
        <v>-8.3184789067139997E-3</v>
      </c>
      <c r="AY160" s="1">
        <f>'Asset Prices'!AY160/'Asset Prices'!AY161-1</f>
        <v>0.12621359223300965</v>
      </c>
      <c r="AZ160" s="1">
        <f>'Asset Prices'!AZ160/'Asset Prices'!AZ161-1</f>
        <v>-5.0037341299477123E-2</v>
      </c>
      <c r="BA160" s="1">
        <f>'Asset Prices'!BA160/'Asset Prices'!BA161-1</f>
        <v>-1.3966480446927387E-2</v>
      </c>
      <c r="BB160" s="1">
        <f>'Asset Prices'!BB160/'Asset Prices'!BB161-1</f>
        <v>2.7941377893439201E-2</v>
      </c>
      <c r="BC160" s="1">
        <f>'Asset Prices'!BC160/'Asset Prices'!BC161-1</f>
        <v>-2.9644268774704496E-3</v>
      </c>
      <c r="BD160" s="1">
        <f>'Asset Prices'!BD160/'Asset Prices'!BD161-1</f>
        <v>-3.9015853407453172E-2</v>
      </c>
    </row>
    <row r="161" spans="3:56" x14ac:dyDescent="0.25">
      <c r="C161" s="38">
        <f>'Asset Prices'!C161</f>
        <v>43244</v>
      </c>
      <c r="D161" s="1">
        <f>'Asset Prices'!D161/'Asset Prices'!D162-1</f>
        <v>1.5085045793888918E-2</v>
      </c>
      <c r="E161" s="1">
        <f>'Asset Prices'!E161/'Asset Prices'!E162-1</f>
        <v>-2.1372436266053341E-2</v>
      </c>
      <c r="F161" s="1">
        <f>'Asset Prices'!F161/'Asset Prices'!F162-1</f>
        <v>1.7479560191711485E-2</v>
      </c>
      <c r="G161" s="1">
        <f>'Asset Prices'!G161/'Asset Prices'!G162-1</f>
        <v>-1.718951439621752E-3</v>
      </c>
      <c r="H161" s="1">
        <f>'Asset Prices'!H161/'Asset Prices'!H162-1</f>
        <v>2.609148285509777E-2</v>
      </c>
      <c r="I161" s="1">
        <f>'Asset Prices'!I161/'Asset Prices'!I162-1</f>
        <v>1.1808881149325323E-2</v>
      </c>
      <c r="J161" s="1">
        <f>'Asset Prices'!J161/'Asset Prices'!J162-1</f>
        <v>6.2035402962725694E-3</v>
      </c>
      <c r="K161" s="1">
        <f>'Asset Prices'!K161/'Asset Prices'!K162-1</f>
        <v>1.3472334614606396E-2</v>
      </c>
      <c r="L161" s="1">
        <f>'Asset Prices'!L161/'Asset Prices'!L162-1</f>
        <v>7.4011438410921837E-2</v>
      </c>
      <c r="M161" s="1">
        <f>'Asset Prices'!M161/'Asset Prices'!M162-1</f>
        <v>2.2145976294447811E-2</v>
      </c>
      <c r="N161" s="1">
        <f>'Asset Prices'!N161/'Asset Prices'!N162-1</f>
        <v>3.875108669515237E-3</v>
      </c>
      <c r="O161" s="1">
        <f>'Asset Prices'!O161/'Asset Prices'!O162-1</f>
        <v>-1.0043196544276434E-2</v>
      </c>
      <c r="P161" s="1">
        <f>'Asset Prices'!P161/'Asset Prices'!P162-1</f>
        <v>-2.3362592842673835E-2</v>
      </c>
      <c r="Q161" s="1">
        <f>'Asset Prices'!Q161/'Asset Prices'!Q162-1</f>
        <v>8.3082809510795164E-2</v>
      </c>
      <c r="R161" s="1">
        <f>'Asset Prices'!R161/'Asset Prices'!R162-1</f>
        <v>2.3043577458361941E-2</v>
      </c>
      <c r="S161" s="1">
        <f>'Asset Prices'!S161/'Asset Prices'!S162-1</f>
        <v>2.8421839940164562E-2</v>
      </c>
      <c r="T161" s="1">
        <f>'Asset Prices'!T161/'Asset Prices'!T162-1</f>
        <v>-3.0370959577697976E-3</v>
      </c>
      <c r="U161" s="1">
        <f>'Asset Prices'!U161/'Asset Prices'!U162-1</f>
        <v>1.6013323084806519E-2</v>
      </c>
      <c r="V161" s="1">
        <f>'Asset Prices'!V161/'Asset Prices'!V162-1</f>
        <v>3.1189083820664099E-3</v>
      </c>
      <c r="W161" s="1">
        <f>'Asset Prices'!W161/'Asset Prices'!W162-1</f>
        <v>-0.10002538715409992</v>
      </c>
      <c r="X161" s="1">
        <f>'Asset Prices'!X161/'Asset Prices'!X162-1</f>
        <v>-2.4013722126929649E-2</v>
      </c>
      <c r="Y161" s="1">
        <f>'Asset Prices'!Y161/'Asset Prices'!Y162-1</f>
        <v>5.4074932450431934E-3</v>
      </c>
      <c r="Z161" s="1">
        <f>'Asset Prices'!Z161/'Asset Prices'!Z162-1</f>
        <v>-2.2988505747126853E-3</v>
      </c>
      <c r="AA161" s="1">
        <f>'Asset Prices'!AA161/'Asset Prices'!AA162-1</f>
        <v>4.0816326530612734E-3</v>
      </c>
      <c r="AB161" s="1">
        <f>'Asset Prices'!AB161/'Asset Prices'!AB162-1</f>
        <v>1.4705882352941124E-2</v>
      </c>
      <c r="AC161" s="1">
        <f>'Asset Prices'!AC161/'Asset Prices'!AC162-1</f>
        <v>-2.0020020020020013E-2</v>
      </c>
      <c r="AD161" s="1">
        <f>'Asset Prices'!AD161/'Asset Prices'!AD162-1</f>
        <v>2.9052275291463037E-2</v>
      </c>
      <c r="AE161" s="1">
        <f>'Asset Prices'!AE161/'Asset Prices'!AE162-1</f>
        <v>1.2687024236591071E-2</v>
      </c>
      <c r="AF161" s="1">
        <f>'Asset Prices'!AF161/'Asset Prices'!AF162-1</f>
        <v>-5.710206995003575E-3</v>
      </c>
      <c r="AG161" s="1">
        <f>'Asset Prices'!AG161/'Asset Prices'!AG162-1</f>
        <v>5.0251256281406143E-3</v>
      </c>
      <c r="AH161" s="1">
        <f>'Asset Prices'!AH161/'Asset Prices'!AH162-1</f>
        <v>-3.6482694106641733E-2</v>
      </c>
      <c r="AI161" s="1">
        <f>'Asset Prices'!AI161/'Asset Prices'!AI162-1</f>
        <v>-3.7103174603174582E-2</v>
      </c>
      <c r="AJ161" s="1">
        <f>'Asset Prices'!AJ161/'Asset Prices'!AJ162-1</f>
        <v>-1.8181818181818188E-2</v>
      </c>
      <c r="AK161" s="1">
        <f>'Asset Prices'!AK161/'Asset Prices'!AK162-1</f>
        <v>-1.449275362318847E-2</v>
      </c>
      <c r="AL161" s="1">
        <f>'Asset Prices'!AL161/'Asset Prices'!AL162-1</f>
        <v>2.2868343678536407E-2</v>
      </c>
      <c r="AM161" s="1">
        <f>'Asset Prices'!AM161/'Asset Prices'!AM162-1</f>
        <v>-2.9757785467128262E-3</v>
      </c>
      <c r="AN161" s="1">
        <f>'Asset Prices'!AN161/'Asset Prices'!AN162-1</f>
        <v>2.2071703842111434E-2</v>
      </c>
      <c r="AO161" s="1">
        <f>'Asset Prices'!AO161/'Asset Prices'!AO162-1</f>
        <v>1.6509926854754386E-2</v>
      </c>
      <c r="AP161" s="1">
        <f>'Asset Prices'!AP161/'Asset Prices'!AP162-1</f>
        <v>2.8631042077199576E-2</v>
      </c>
      <c r="AQ161" s="1">
        <f>'Asset Prices'!AQ161/'Asset Prices'!AQ162-1</f>
        <v>1.2624064078007979E-2</v>
      </c>
      <c r="AR161" s="1">
        <f>'Asset Prices'!AR161/'Asset Prices'!AR162-1</f>
        <v>1.5497967479674912E-2</v>
      </c>
      <c r="AS161" s="1">
        <f>'Asset Prices'!AS161/'Asset Prices'!AS162-1</f>
        <v>-1.8712574850299424E-2</v>
      </c>
      <c r="AT161" s="1">
        <f>'Asset Prices'!AT161/'Asset Prices'!AT162-1</f>
        <v>1.1431255872220492E-2</v>
      </c>
      <c r="AU161" s="1">
        <f>'Asset Prices'!AU161/'Asset Prices'!AU162-1</f>
        <v>6.1546695210061841E-3</v>
      </c>
      <c r="AV161" s="1">
        <f>'Asset Prices'!AV161/'Asset Prices'!AV162-1</f>
        <v>3.8180082723513475E-3</v>
      </c>
      <c r="AW161" s="1">
        <f>'Asset Prices'!AW161/'Asset Prices'!AW162-1</f>
        <v>1.3373979742354214E-2</v>
      </c>
      <c r="AX161" s="1">
        <f>'Asset Prices'!AX161/'Asset Prices'!AX162-1</f>
        <v>-4.3750000000000178E-2</v>
      </c>
      <c r="AY161" s="1">
        <f>'Asset Prices'!AY161/'Asset Prices'!AY162-1</f>
        <v>-5.791505791505891E-3</v>
      </c>
      <c r="AZ161" s="1">
        <f>'Asset Prices'!AZ161/'Asset Prices'!AZ162-1</f>
        <v>7.8277886497064575E-3</v>
      </c>
      <c r="BA161" s="1">
        <f>'Asset Prices'!BA161/'Asset Prices'!BA162-1</f>
        <v>6.5476190476190466E-2</v>
      </c>
      <c r="BB161" s="1">
        <f>'Asset Prices'!BB161/'Asset Prices'!BB162-1</f>
        <v>3.3989519898031562E-2</v>
      </c>
      <c r="BC161" s="1">
        <f>'Asset Prices'!BC161/'Asset Prices'!BC162-1</f>
        <v>-5.5676516329704384E-2</v>
      </c>
      <c r="BD161" s="1">
        <f>'Asset Prices'!BD161/'Asset Prices'!BD162-1</f>
        <v>3.0225898822780817E-2</v>
      </c>
    </row>
    <row r="162" spans="3:56" x14ac:dyDescent="0.25">
      <c r="C162" s="38">
        <f>'Asset Prices'!C162</f>
        <v>43237</v>
      </c>
      <c r="D162" s="1">
        <f>'Asset Prices'!D162/'Asset Prices'!D163-1</f>
        <v>-8.1679389312976358E-3</v>
      </c>
      <c r="E162" s="1">
        <f>'Asset Prices'!E162/'Asset Prices'!E163-1</f>
        <v>2.6160503540519242E-2</v>
      </c>
      <c r="F162" s="1">
        <f>'Asset Prices'!F162/'Asset Prices'!F163-1</f>
        <v>4.446407538280317E-2</v>
      </c>
      <c r="G162" s="1">
        <f>'Asset Prices'!G162/'Asset Prices'!G163-1</f>
        <v>-8.3102493074792561E-3</v>
      </c>
      <c r="H162" s="1">
        <f>'Asset Prices'!H162/'Asset Prices'!H163-1</f>
        <v>-1.8185360784568338E-3</v>
      </c>
      <c r="I162" s="1">
        <f>'Asset Prices'!I162/'Asset Prices'!I163-1</f>
        <v>-9.5402360804183184E-3</v>
      </c>
      <c r="J162" s="1">
        <f>'Asset Prices'!J162/'Asset Prices'!J163-1</f>
        <v>-1.604925278888647E-2</v>
      </c>
      <c r="K162" s="1">
        <f>'Asset Prices'!K162/'Asset Prices'!K163-1</f>
        <v>-1.6978646182911894E-2</v>
      </c>
      <c r="L162" s="1">
        <f>'Asset Prices'!L162/'Asset Prices'!L163-1</f>
        <v>-1.3288834951456274E-2</v>
      </c>
      <c r="M162" s="1">
        <f>'Asset Prices'!M162/'Asset Prices'!M163-1</f>
        <v>-1.7669288121744398E-2</v>
      </c>
      <c r="N162" s="1">
        <f>'Asset Prices'!N162/'Asset Prices'!N163-1</f>
        <v>-2.1900187250671665E-2</v>
      </c>
      <c r="O162" s="1">
        <f>'Asset Prices'!O162/'Asset Prices'!O163-1</f>
        <v>-3.1219722252127102E-3</v>
      </c>
      <c r="P162" s="1">
        <f>'Asset Prices'!P162/'Asset Prices'!P163-1</f>
        <v>7.9858432778256994E-3</v>
      </c>
      <c r="Q162" s="1">
        <f>'Asset Prices'!Q162/'Asset Prices'!Q163-1</f>
        <v>5.397328340474572E-2</v>
      </c>
      <c r="R162" s="1">
        <f>'Asset Prices'!R162/'Asset Prices'!R163-1</f>
        <v>-3.1381215469613255E-2</v>
      </c>
      <c r="S162" s="1">
        <f>'Asset Prices'!S162/'Asset Prices'!S163-1</f>
        <v>-5.1100070972320832E-2</v>
      </c>
      <c r="T162" s="1">
        <f>'Asset Prices'!T162/'Asset Prices'!T163-1</f>
        <v>-2.0206393880349838E-3</v>
      </c>
      <c r="U162" s="1">
        <f>'Asset Prices'!U162/'Asset Prices'!U163-1</f>
        <v>-1.1898734177215209E-2</v>
      </c>
      <c r="V162" s="1">
        <f>'Asset Prices'!V162/'Asset Prices'!V163-1</f>
        <v>-5.3330872854770228E-2</v>
      </c>
      <c r="W162" s="1">
        <f>'Asset Prices'!W162/'Asset Prices'!W163-1</f>
        <v>2.5380710659898442E-2</v>
      </c>
      <c r="X162" s="1">
        <f>'Asset Prices'!X162/'Asset Prices'!X163-1</f>
        <v>1.0204081632653184E-2</v>
      </c>
      <c r="Y162" s="1">
        <f>'Asset Prices'!Y162/'Asset Prices'!Y163-1</f>
        <v>-2.8244346436478662E-2</v>
      </c>
      <c r="Z162" s="1">
        <f>'Asset Prices'!Z162/'Asset Prices'!Z163-1</f>
        <v>3.8186157517899888E-2</v>
      </c>
      <c r="AA162" s="1">
        <f>'Asset Prices'!AA162/'Asset Prices'!AA163-1</f>
        <v>-3.0854430379746889E-2</v>
      </c>
      <c r="AB162" s="1">
        <f>'Asset Prices'!AB162/'Asset Prices'!AB163-1</f>
        <v>3.8167938931297662E-2</v>
      </c>
      <c r="AC162" s="1">
        <f>'Asset Prices'!AC162/'Asset Prices'!AC163-1</f>
        <v>1.6276703967446737E-2</v>
      </c>
      <c r="AD162" s="1">
        <f>'Asset Prices'!AD162/'Asset Prices'!AD163-1</f>
        <v>-1.9723502304147433E-2</v>
      </c>
      <c r="AE162" s="1">
        <f>'Asset Prices'!AE162/'Asset Prices'!AE163-1</f>
        <v>8.7573342674507337E-4</v>
      </c>
      <c r="AF162" s="1">
        <f>'Asset Prices'!AF162/'Asset Prices'!AF163-1</f>
        <v>6.2168309325246529E-2</v>
      </c>
      <c r="AG162" s="1">
        <f>'Asset Prices'!AG162/'Asset Prices'!AG163-1</f>
        <v>7.071483474250595E-2</v>
      </c>
      <c r="AH162" s="1">
        <f>'Asset Prices'!AH162/'Asset Prices'!AH163-1</f>
        <v>2.3292916400765806E-2</v>
      </c>
      <c r="AI162" s="1">
        <f>'Asset Prices'!AI162/'Asset Prices'!AI163-1</f>
        <v>8.9965397923875257E-2</v>
      </c>
      <c r="AJ162" s="1">
        <f>'Asset Prices'!AJ162/'Asset Prices'!AJ163-1</f>
        <v>2.3688663282571909E-2</v>
      </c>
      <c r="AK162" s="1">
        <f>'Asset Prices'!AK162/'Asset Prices'!AK163-1</f>
        <v>2.7113237639553533E-2</v>
      </c>
      <c r="AL162" s="1">
        <f>'Asset Prices'!AL162/'Asset Prices'!AL163-1</f>
        <v>-7.9403662291362975E-3</v>
      </c>
      <c r="AM162" s="1">
        <f>'Asset Prices'!AM162/'Asset Prices'!AM163-1</f>
        <v>1.8025513033832485E-3</v>
      </c>
      <c r="AN162" s="1">
        <f>'Asset Prices'!AN162/'Asset Prices'!AN163-1</f>
        <v>1.355270166301703E-2</v>
      </c>
      <c r="AO162" s="1">
        <f>'Asset Prices'!AO162/'Asset Prices'!AO163-1</f>
        <v>1.3771186440677985E-2</v>
      </c>
      <c r="AP162" s="1">
        <f>'Asset Prices'!AP162/'Asset Prices'!AP163-1</f>
        <v>3.6027380809415144E-2</v>
      </c>
      <c r="AQ162" s="1">
        <f>'Asset Prices'!AQ162/'Asset Prices'!AQ163-1</f>
        <v>-1.6946251283807001E-2</v>
      </c>
      <c r="AR162" s="1">
        <f>'Asset Prices'!AR162/'Asset Prices'!AR163-1</f>
        <v>-2.6224641266699766E-2</v>
      </c>
      <c r="AS162" s="1">
        <f>'Asset Prices'!AS162/'Asset Prices'!AS163-1</f>
        <v>5.751978891820575E-2</v>
      </c>
      <c r="AT162" s="1">
        <f>'Asset Prices'!AT162/'Asset Prices'!AT163-1</f>
        <v>1.7851450430347526E-2</v>
      </c>
      <c r="AU162" s="1">
        <f>'Asset Prices'!AU162/'Asset Prices'!AU163-1</f>
        <v>-5.6321788105903048E-3</v>
      </c>
      <c r="AV162" s="1">
        <f>'Asset Prices'!AV162/'Asset Prices'!AV163-1</f>
        <v>1.8030662923774532E-2</v>
      </c>
      <c r="AW162" s="1">
        <f>'Asset Prices'!AW162/'Asset Prices'!AW163-1</f>
        <v>-7.1493791088385716E-2</v>
      </c>
      <c r="AX162" s="1">
        <f>'Asset Prices'!AX162/'Asset Prices'!AX163-1</f>
        <v>-3.1370390753990063E-2</v>
      </c>
      <c r="AY162" s="1">
        <f>'Asset Prices'!AY162/'Asset Prices'!AY163-1</f>
        <v>-1.3333333333333197E-2</v>
      </c>
      <c r="AZ162" s="1">
        <f>'Asset Prices'!AZ162/'Asset Prices'!AZ163-1</f>
        <v>2.9762827468609476E-2</v>
      </c>
      <c r="BA162" s="1">
        <f>'Asset Prices'!BA162/'Asset Prices'!BA163-1</f>
        <v>2.4390243902439046E-2</v>
      </c>
      <c r="BB162" s="1">
        <f>'Asset Prices'!BB162/'Asset Prices'!BB163-1</f>
        <v>-3.0215629721192183E-2</v>
      </c>
      <c r="BC162" s="1">
        <f>'Asset Prices'!BC162/'Asset Prices'!BC163-1</f>
        <v>-2.1725636250775615E-3</v>
      </c>
      <c r="BD162" s="1">
        <f>'Asset Prices'!BD162/'Asset Prices'!BD163-1</f>
        <v>7.6861580630424919E-2</v>
      </c>
    </row>
    <row r="163" spans="3:56" x14ac:dyDescent="0.25">
      <c r="C163" s="38">
        <f>'Asset Prices'!C163</f>
        <v>43230</v>
      </c>
      <c r="D163" s="1">
        <f>'Asset Prices'!D163/'Asset Prices'!D164-1</f>
        <v>3.0036169208994989E-2</v>
      </c>
      <c r="E163" s="1">
        <f>'Asset Prices'!E163/'Asset Prices'!E164-1</f>
        <v>2.9566626164439169E-2</v>
      </c>
      <c r="F163" s="1">
        <f>'Asset Prices'!F163/'Asset Prices'!F164-1</f>
        <v>1.5246636771300448E-2</v>
      </c>
      <c r="G163" s="1">
        <f>'Asset Prices'!G163/'Asset Prices'!G164-1</f>
        <v>4.1500221926320302E-2</v>
      </c>
      <c r="H163" s="1">
        <f>'Asset Prices'!H163/'Asset Prices'!H164-1</f>
        <v>7.0872165808874676E-2</v>
      </c>
      <c r="I163" s="1">
        <f>'Asset Prices'!I163/'Asset Prices'!I164-1</f>
        <v>6.6141822778990944E-2</v>
      </c>
      <c r="J163" s="1">
        <f>'Asset Prices'!J163/'Asset Prices'!J164-1</f>
        <v>7.4339985301599798E-2</v>
      </c>
      <c r="K163" s="1">
        <f>'Asset Prices'!K163/'Asset Prices'!K164-1</f>
        <v>2.3538953294212961E-2</v>
      </c>
      <c r="L163" s="1">
        <f>'Asset Prices'!L163/'Asset Prices'!L164-1</f>
        <v>5.7460938753248536E-2</v>
      </c>
      <c r="M163" s="1">
        <f>'Asset Prices'!M163/'Asset Prices'!M164-1</f>
        <v>4.0820665461890115E-2</v>
      </c>
      <c r="N163" s="1">
        <f>'Asset Prices'!N163/'Asset Prices'!N164-1</f>
        <v>7.7141186787489158E-2</v>
      </c>
      <c r="O163" s="1">
        <f>'Asset Prices'!O163/'Asset Prices'!O164-1</f>
        <v>3.5562987736900808E-2</v>
      </c>
      <c r="P163" s="1">
        <f>'Asset Prices'!P163/'Asset Prices'!P164-1</f>
        <v>-1.6423439103851467E-2</v>
      </c>
      <c r="Q163" s="1">
        <f>'Asset Prices'!Q163/'Asset Prices'!Q164-1</f>
        <v>8.8539625303754921E-2</v>
      </c>
      <c r="R163" s="1">
        <f>'Asset Prices'!R163/'Asset Prices'!R164-1</f>
        <v>-2.6462994836488729E-2</v>
      </c>
      <c r="S163" s="1">
        <f>'Asset Prices'!S163/'Asset Prices'!S164-1</f>
        <v>-1.6404886561954601E-2</v>
      </c>
      <c r="T163" s="1">
        <f>'Asset Prices'!T163/'Asset Prices'!T164-1</f>
        <v>2.9188948306595464E-2</v>
      </c>
      <c r="U163" s="1">
        <f>'Asset Prices'!U163/'Asset Prices'!U164-1</f>
        <v>4.8301486199575416E-2</v>
      </c>
      <c r="V163" s="1">
        <f>'Asset Prices'!V163/'Asset Prices'!V164-1</f>
        <v>1.0441916837590881E-2</v>
      </c>
      <c r="W163" s="1">
        <f>'Asset Prices'!W163/'Asset Prices'!W164-1</f>
        <v>2.4263431542461023E-2</v>
      </c>
      <c r="X163" s="1">
        <f>'Asset Prices'!X163/'Asset Prices'!X164-1</f>
        <v>-5.7427258805513581E-3</v>
      </c>
      <c r="Y163" s="1">
        <f>'Asset Prices'!Y163/'Asset Prices'!Y164-1</f>
        <v>8.1709297599009689E-2</v>
      </c>
      <c r="Z163" s="1">
        <f>'Asset Prices'!Z163/'Asset Prices'!Z164-1</f>
        <v>6.3451776649746217E-2</v>
      </c>
      <c r="AA163" s="1">
        <f>'Asset Prices'!AA163/'Asset Prices'!AA164-1</f>
        <v>2.3790642347343294E-3</v>
      </c>
      <c r="AB163" s="1">
        <f>'Asset Prices'!AB163/'Asset Prices'!AB164-1</f>
        <v>7.9670329670329609E-2</v>
      </c>
      <c r="AC163" s="1">
        <f>'Asset Prices'!AC163/'Asset Prices'!AC164-1</f>
        <v>8.1408140814081209E-2</v>
      </c>
      <c r="AD163" s="1">
        <f>'Asset Prices'!AD163/'Asset Prices'!AD164-1</f>
        <v>8.5760032022415666E-2</v>
      </c>
      <c r="AE163" s="1">
        <f>'Asset Prices'!AE163/'Asset Prices'!AE164-1</f>
        <v>8.6489058039961986E-2</v>
      </c>
      <c r="AF163" s="1">
        <f>'Asset Prices'!AF163/'Asset Prices'!AF164-1</f>
        <v>-2.3324694557571357E-2</v>
      </c>
      <c r="AG163" s="1">
        <f>'Asset Prices'!AG163/'Asset Prices'!AG164-1</f>
        <v>3.2539682539682424E-2</v>
      </c>
      <c r="AH163" s="1">
        <f>'Asset Prices'!AH163/'Asset Prices'!AH164-1</f>
        <v>-2.2285896211398093E-3</v>
      </c>
      <c r="AI163" s="1">
        <f>'Asset Prices'!AI163/'Asset Prices'!AI164-1</f>
        <v>1.1816192560174965E-2</v>
      </c>
      <c r="AJ163" s="1">
        <f>'Asset Prices'!AJ163/'Asset Prices'!AJ164-1</f>
        <v>-0.17802503477051468</v>
      </c>
      <c r="AK163" s="1">
        <f>'Asset Prices'!AK163/'Asset Prices'!AK164-1</f>
        <v>-2.0822488287350449E-2</v>
      </c>
      <c r="AL163" s="1">
        <f>'Asset Prices'!AL163/'Asset Prices'!AL164-1</f>
        <v>-2.3884846567541862E-2</v>
      </c>
      <c r="AM163" s="1">
        <f>'Asset Prices'!AM163/'Asset Prices'!AM164-1</f>
        <v>1.5846186351151426E-2</v>
      </c>
      <c r="AN163" s="1">
        <f>'Asset Prices'!AN163/'Asset Prices'!AN164-1</f>
        <v>1.2948863976979696E-2</v>
      </c>
      <c r="AO163" s="1">
        <f>'Asset Prices'!AO163/'Asset Prices'!AO164-1</f>
        <v>-1.3377926421404673E-2</v>
      </c>
      <c r="AP163" s="1">
        <f>'Asset Prices'!AP163/'Asset Prices'!AP164-1</f>
        <v>-3.4705600765917444E-3</v>
      </c>
      <c r="AQ163" s="1">
        <f>'Asset Prices'!AQ163/'Asset Prices'!AQ164-1</f>
        <v>0.10403477274874806</v>
      </c>
      <c r="AR163" s="1">
        <f>'Asset Prices'!AR163/'Asset Prices'!AR164-1</f>
        <v>1.5322783220296454E-2</v>
      </c>
      <c r="AS163" s="1">
        <f>'Asset Prices'!AS163/'Asset Prices'!AS164-1</f>
        <v>5.1317614424410518E-2</v>
      </c>
      <c r="AT163" s="1">
        <f>'Asset Prices'!AT163/'Asset Prices'!AT164-1</f>
        <v>9.0061112898038864E-3</v>
      </c>
      <c r="AU163" s="1">
        <f>'Asset Prices'!AU163/'Asset Prices'!AU164-1</f>
        <v>-7.2205344956631778E-3</v>
      </c>
      <c r="AV163" s="1">
        <f>'Asset Prices'!AV163/'Asset Prices'!AV164-1</f>
        <v>-3.0766010883214734E-2</v>
      </c>
      <c r="AW163" s="1">
        <f>'Asset Prices'!AW163/'Asset Prices'!AW164-1</f>
        <v>4.1856925418569224E-2</v>
      </c>
      <c r="AX163" s="1">
        <f>'Asset Prices'!AX163/'Asset Prices'!AX164-1</f>
        <v>8.4776119402985239E-2</v>
      </c>
      <c r="AY163" s="1">
        <f>'Asset Prices'!AY163/'Asset Prices'!AY164-1</f>
        <v>6.4908722109533246E-2</v>
      </c>
      <c r="AZ163" s="1">
        <f>'Asset Prices'!AZ163/'Asset Prices'!AZ164-1</f>
        <v>8.6026936026935896E-2</v>
      </c>
      <c r="BA163" s="1">
        <f>'Asset Prices'!BA163/'Asset Prices'!BA164-1</f>
        <v>2.3400936037441422E-2</v>
      </c>
      <c r="BB163" s="1">
        <f>'Asset Prices'!BB163/'Asset Prices'!BB164-1</f>
        <v>-1.1271048343291623E-2</v>
      </c>
      <c r="BC163" s="1">
        <f>'Asset Prices'!BC163/'Asset Prices'!BC164-1</f>
        <v>2.2208121827411276E-2</v>
      </c>
      <c r="BD163" s="1">
        <f>'Asset Prices'!BD163/'Asset Prices'!BD164-1</f>
        <v>-1.1961182577296392E-2</v>
      </c>
    </row>
    <row r="164" spans="3:56" x14ac:dyDescent="0.25">
      <c r="C164" s="38">
        <f>'Asset Prices'!C164</f>
        <v>43223</v>
      </c>
      <c r="D164" s="1">
        <f>'Asset Prices'!D164/'Asset Prices'!D165-1</f>
        <v>7.8690588605612177E-4</v>
      </c>
      <c r="E164" s="1">
        <f>'Asset Prices'!E164/'Asset Prices'!E165-1</f>
        <v>-1.0817307692307709E-2</v>
      </c>
      <c r="F164" s="1">
        <f>'Asset Prices'!F164/'Asset Prices'!F165-1</f>
        <v>-1.6899338721528157E-2</v>
      </c>
      <c r="G164" s="1">
        <f>'Asset Prices'!G164/'Asset Prices'!G165-1</f>
        <v>-1.9582245430809331E-2</v>
      </c>
      <c r="H164" s="1">
        <f>'Asset Prices'!H164/'Asset Prices'!H165-1</f>
        <v>-1.7292051124325081E-2</v>
      </c>
      <c r="I164" s="1">
        <f>'Asset Prices'!I164/'Asset Prices'!I165-1</f>
        <v>-8.03858520900258E-4</v>
      </c>
      <c r="J164" s="1">
        <f>'Asset Prices'!J164/'Asset Prices'!J165-1</f>
        <v>7.7152600170502961E-2</v>
      </c>
      <c r="K164" s="1">
        <f>'Asset Prices'!K164/'Asset Prices'!K165-1</f>
        <v>3.56498194945849E-2</v>
      </c>
      <c r="L164" s="1">
        <f>'Asset Prices'!L164/'Asset Prices'!L165-1</f>
        <v>-7.2934581820498501E-3</v>
      </c>
      <c r="M164" s="1">
        <f>'Asset Prices'!M164/'Asset Prices'!M165-1</f>
        <v>-2.015701251856683E-3</v>
      </c>
      <c r="N164" s="1">
        <f>'Asset Prices'!N164/'Asset Prices'!N165-1</f>
        <v>-1.6303879000488797E-2</v>
      </c>
      <c r="O164" s="1">
        <f>'Asset Prices'!O164/'Asset Prices'!O165-1</f>
        <v>-3.8482152427912975E-2</v>
      </c>
      <c r="P164" s="1">
        <f>'Asset Prices'!P164/'Asset Prices'!P165-1</f>
        <v>-2.0373365977353175E-2</v>
      </c>
      <c r="Q164" s="1">
        <f>'Asset Prices'!Q164/'Asset Prices'!Q165-1</f>
        <v>-1.8276963330639884E-2</v>
      </c>
      <c r="R164" s="1">
        <f>'Asset Prices'!R164/'Asset Prices'!R165-1</f>
        <v>0</v>
      </c>
      <c r="S164" s="1">
        <f>'Asset Prices'!S164/'Asset Prices'!S165-1</f>
        <v>-6.5880721220527017E-3</v>
      </c>
      <c r="T164" s="1">
        <f>'Asset Prices'!T164/'Asset Prices'!T165-1</f>
        <v>-2.2648083623693416E-2</v>
      </c>
      <c r="U164" s="1">
        <f>'Asset Prices'!U164/'Asset Prices'!U165-1</f>
        <v>3.0775543701272001E-2</v>
      </c>
      <c r="V164" s="1">
        <f>'Asset Prices'!V164/'Asset Prices'!V165-1</f>
        <v>-1.2156934978817424E-2</v>
      </c>
      <c r="W164" s="1">
        <f>'Asset Prices'!W164/'Asset Prices'!W165-1</f>
        <v>-8.0666490346469333E-3</v>
      </c>
      <c r="X164" s="1">
        <f>'Asset Prices'!X164/'Asset Prices'!X165-1</f>
        <v>-1.9887429643527077E-2</v>
      </c>
      <c r="Y164" s="1">
        <f>'Asset Prices'!Y164/'Asset Prices'!Y165-1</f>
        <v>-2.8340080994633254E-3</v>
      </c>
      <c r="Z164" s="1">
        <f>'Asset Prices'!Z164/'Asset Prices'!Z165-1</f>
        <v>5.1020408163264808E-3</v>
      </c>
      <c r="AA164" s="1">
        <f>'Asset Prices'!AA164/'Asset Prices'!AA165-1</f>
        <v>2.6037428803905582E-2</v>
      </c>
      <c r="AB164" s="1">
        <f>'Asset Prices'!AB164/'Asset Prices'!AB165-1</f>
        <v>5.8139534883721034E-2</v>
      </c>
      <c r="AC164" s="1">
        <f>'Asset Prices'!AC164/'Asset Prices'!AC165-1</f>
        <v>3.8652678078410219E-3</v>
      </c>
      <c r="AD164" s="1">
        <f>'Asset Prices'!AD164/'Asset Prices'!AD165-1</f>
        <v>3.4793414103759135E-2</v>
      </c>
      <c r="AE164" s="1">
        <f>'Asset Prices'!AE164/'Asset Prices'!AE165-1</f>
        <v>-8.6776079984908217E-3</v>
      </c>
      <c r="AF164" s="1">
        <f>'Asset Prices'!AF164/'Asset Prices'!AF165-1</f>
        <v>-5.8888479941111571E-3</v>
      </c>
      <c r="AG164" s="1">
        <f>'Asset Prices'!AG164/'Asset Prices'!AG165-1</f>
        <v>1.2861736334405016E-2</v>
      </c>
      <c r="AH164" s="1">
        <f>'Asset Prices'!AH164/'Asset Prices'!AH165-1</f>
        <v>-4.8470160557406827E-2</v>
      </c>
      <c r="AI164" s="1">
        <f>'Asset Prices'!AI164/'Asset Prices'!AI165-1</f>
        <v>4.6485001144950688E-2</v>
      </c>
      <c r="AJ164" s="1">
        <f>'Asset Prices'!AJ164/'Asset Prices'!AJ165-1</f>
        <v>9.8314606741574107E-3</v>
      </c>
      <c r="AK164" s="1">
        <f>'Asset Prices'!AK164/'Asset Prices'!AK165-1</f>
        <v>2.0865936358893666E-3</v>
      </c>
      <c r="AL164" s="1">
        <f>'Asset Prices'!AL164/'Asset Prices'!AL165-1</f>
        <v>-3.0665440049064685E-2</v>
      </c>
      <c r="AM164" s="1">
        <f>'Asset Prices'!AM164/'Asset Prices'!AM165-1</f>
        <v>-3.2238276990185333E-2</v>
      </c>
      <c r="AN164" s="1">
        <f>'Asset Prices'!AN164/'Asset Prices'!AN165-1</f>
        <v>-7.7330319433704942E-3</v>
      </c>
      <c r="AO164" s="1">
        <f>'Asset Prices'!AO164/'Asset Prices'!AO165-1</f>
        <v>-3.8585209003215382E-2</v>
      </c>
      <c r="AP164" s="1">
        <f>'Asset Prices'!AP164/'Asset Prices'!AP165-1</f>
        <v>-1.8096357226791926E-2</v>
      </c>
      <c r="AQ164" s="1">
        <f>'Asset Prices'!AQ164/'Asset Prices'!AQ165-1</f>
        <v>4.8652397938961478E-2</v>
      </c>
      <c r="AR164" s="1">
        <f>'Asset Prices'!AR164/'Asset Prices'!AR165-1</f>
        <v>-2.3546725533480473E-2</v>
      </c>
      <c r="AS164" s="1">
        <f>'Asset Prices'!AS164/'Asset Prices'!AS165-1</f>
        <v>-8.7341772151898756E-2</v>
      </c>
      <c r="AT164" s="1">
        <f>'Asset Prices'!AT164/'Asset Prices'!AT165-1</f>
        <v>-1.2231930103256627E-2</v>
      </c>
      <c r="AU164" s="1">
        <f>'Asset Prices'!AU164/'Asset Prices'!AU165-1</f>
        <v>-2.4732706427927353E-2</v>
      </c>
      <c r="AV164" s="1">
        <f>'Asset Prices'!AV164/'Asset Prices'!AV165-1</f>
        <v>-1.4133911069844296E-2</v>
      </c>
      <c r="AW164" s="1">
        <f>'Asset Prices'!AW164/'Asset Prices'!AW165-1</f>
        <v>-7.3015873015872979E-2</v>
      </c>
      <c r="AX164" s="1">
        <f>'Asset Prices'!AX164/'Asset Prices'!AX165-1</f>
        <v>-8.6197490452809555E-2</v>
      </c>
      <c r="AY164" s="1">
        <f>'Asset Prices'!AY164/'Asset Prices'!AY165-1</f>
        <v>-4.6421663442939964E-2</v>
      </c>
      <c r="AZ164" s="1">
        <f>'Asset Prices'!AZ164/'Asset Prices'!AZ165-1</f>
        <v>-5.217807563427479E-2</v>
      </c>
      <c r="BA164" s="1">
        <f>'Asset Prices'!BA164/'Asset Prices'!BA165-1</f>
        <v>-1.6871165644171793E-2</v>
      </c>
      <c r="BB164" s="1">
        <f>'Asset Prices'!BB164/'Asset Prices'!BB165-1</f>
        <v>6.0789397868049599E-2</v>
      </c>
      <c r="BC164" s="1">
        <f>'Asset Prices'!BC164/'Asset Prices'!BC165-1</f>
        <v>2.2257551669315756E-3</v>
      </c>
      <c r="BD164" s="1">
        <f>'Asset Prices'!BD164/'Asset Prices'!BD165-1</f>
        <v>-5.1279306284123694E-2</v>
      </c>
    </row>
    <row r="165" spans="3:56" x14ac:dyDescent="0.25">
      <c r="C165" s="38">
        <f>'Asset Prices'!C165</f>
        <v>43216</v>
      </c>
      <c r="D165" s="1">
        <f>'Asset Prices'!D165/'Asset Prices'!D166-1</f>
        <v>2.5169409486931249E-2</v>
      </c>
      <c r="E165" s="1">
        <f>'Asset Prices'!E165/'Asset Prices'!E166-1</f>
        <v>-1.0407374368123667E-2</v>
      </c>
      <c r="F165" s="1">
        <f>'Asset Prices'!F165/'Asset Prices'!F166-1</f>
        <v>3.5295907500380252E-2</v>
      </c>
      <c r="G165" s="1">
        <f>'Asset Prices'!G165/'Asset Prices'!G166-1</f>
        <v>-1.8368218709952977E-2</v>
      </c>
      <c r="H165" s="1">
        <f>'Asset Prices'!H165/'Asset Prices'!H166-1</f>
        <v>-6.0308285163776398E-2</v>
      </c>
      <c r="I165" s="1">
        <f>'Asset Prices'!I165/'Asset Prices'!I166-1</f>
        <v>3.6049970255800146E-2</v>
      </c>
      <c r="J165" s="1">
        <f>'Asset Prices'!J165/'Asset Prices'!J166-1</f>
        <v>-4.9652777777777879E-2</v>
      </c>
      <c r="K165" s="1">
        <f>'Asset Prices'!K165/'Asset Prices'!K166-1</f>
        <v>-2.5017502617363907E-2</v>
      </c>
      <c r="L165" s="1">
        <f>'Asset Prices'!L165/'Asset Prices'!L166-1</f>
        <v>-5.626690712353466E-2</v>
      </c>
      <c r="M165" s="1">
        <f>'Asset Prices'!M165/'Asset Prices'!M166-1</f>
        <v>-1.9248777442513743E-2</v>
      </c>
      <c r="N165" s="1">
        <f>'Asset Prices'!N165/'Asset Prices'!N166-1</f>
        <v>-4.2351645325623077E-2</v>
      </c>
      <c r="O165" s="1">
        <f>'Asset Prices'!O165/'Asset Prices'!O166-1</f>
        <v>-2.8858486532705729E-3</v>
      </c>
      <c r="P165" s="1">
        <f>'Asset Prices'!P165/'Asset Prices'!P166-1</f>
        <v>-3.8759689922481799E-3</v>
      </c>
      <c r="Q165" s="1">
        <f>'Asset Prices'!Q165/'Asset Prices'!Q166-1</f>
        <v>2.8127225255162536E-2</v>
      </c>
      <c r="R165" s="1">
        <f>'Asset Prices'!R165/'Asset Prices'!R166-1</f>
        <v>2.4014100022031304E-2</v>
      </c>
      <c r="S165" s="1">
        <f>'Asset Prices'!S165/'Asset Prices'!S166-1</f>
        <v>1.980198019801982E-2</v>
      </c>
      <c r="T165" s="1">
        <f>'Asset Prices'!T165/'Asset Prices'!T166-1</f>
        <v>1.0172939979653517E-3</v>
      </c>
      <c r="U165" s="1">
        <f>'Asset Prices'!U165/'Asset Prices'!U166-1</f>
        <v>-9.8862405200433878E-3</v>
      </c>
      <c r="V165" s="1">
        <f>'Asset Prices'!V165/'Asset Prices'!V166-1</f>
        <v>-2.3912261776339427E-2</v>
      </c>
      <c r="W165" s="1">
        <f>'Asset Prices'!W165/'Asset Prices'!W166-1</f>
        <v>3.1088082901554515E-2</v>
      </c>
      <c r="X165" s="1">
        <f>'Asset Prices'!X165/'Asset Prices'!X166-1</f>
        <v>-2.7372262773722622E-2</v>
      </c>
      <c r="Y165" s="1">
        <f>'Asset Prices'!Y165/'Asset Prices'!Y166-1</f>
        <v>-2.8132992309310323E-2</v>
      </c>
      <c r="Z165" s="1">
        <f>'Asset Prices'!Z165/'Asset Prices'!Z166-1</f>
        <v>2.6178010471204161E-2</v>
      </c>
      <c r="AA165" s="1">
        <f>'Asset Prices'!AA165/'Asset Prices'!AA166-1</f>
        <v>-3.3044846577497955E-2</v>
      </c>
      <c r="AB165" s="1">
        <f>'Asset Prices'!AB165/'Asset Prices'!AB166-1</f>
        <v>-5.2341597796143224E-2</v>
      </c>
      <c r="AC165" s="1">
        <f>'Asset Prices'!AC165/'Asset Prices'!AC166-1</f>
        <v>-4.432717678100262E-2</v>
      </c>
      <c r="AD165" s="1">
        <f>'Asset Prices'!AD165/'Asset Prices'!AD166-1</f>
        <v>-9.2387218045112851E-2</v>
      </c>
      <c r="AE165" s="1">
        <f>'Asset Prices'!AE165/'Asset Prices'!AE166-1</f>
        <v>-1.887840088839543E-2</v>
      </c>
      <c r="AF165" s="1">
        <f>'Asset Prices'!AF165/'Asset Prices'!AF166-1</f>
        <v>5.1063829787234116E-2</v>
      </c>
      <c r="AG165" s="1">
        <f>'Asset Prices'!AG165/'Asset Prices'!AG166-1</f>
        <v>-9.5541401273884219E-3</v>
      </c>
      <c r="AH165" s="1">
        <f>'Asset Prices'!AH165/'Asset Prices'!AH166-1</f>
        <v>5.093919134033742E-2</v>
      </c>
      <c r="AI165" s="1">
        <f>'Asset Prices'!AI165/'Asset Prices'!AI166-1</f>
        <v>3.1656035908339319E-2</v>
      </c>
      <c r="AJ165" s="1">
        <f>'Asset Prices'!AJ165/'Asset Prices'!AJ166-1</f>
        <v>-3.9136302294196956E-2</v>
      </c>
      <c r="AK165" s="1">
        <f>'Asset Prices'!AK165/'Asset Prices'!AK166-1</f>
        <v>-2.492370295015256E-2</v>
      </c>
      <c r="AL165" s="1">
        <f>'Asset Prices'!AL165/'Asset Prices'!AL166-1</f>
        <v>9.2850510677808806E-3</v>
      </c>
      <c r="AM165" s="1">
        <f>'Asset Prices'!AM165/'Asset Prices'!AM166-1</f>
        <v>-6.6350710900473509E-3</v>
      </c>
      <c r="AN165" s="1">
        <f>'Asset Prices'!AN165/'Asset Prices'!AN166-1</f>
        <v>2.7881381840415775E-2</v>
      </c>
      <c r="AO165" s="1">
        <f>'Asset Prices'!AO165/'Asset Prices'!AO166-1</f>
        <v>2.7462316745818782E-2</v>
      </c>
      <c r="AP165" s="1">
        <f>'Asset Prices'!AP165/'Asset Prices'!AP166-1</f>
        <v>2.9767666989351405E-2</v>
      </c>
      <c r="AQ165" s="1">
        <f>'Asset Prices'!AQ165/'Asset Prices'!AQ166-1</f>
        <v>-4.711547540364458E-2</v>
      </c>
      <c r="AR165" s="1">
        <f>'Asset Prices'!AR165/'Asset Prices'!AR166-1</f>
        <v>-2.7896995708154515E-2</v>
      </c>
      <c r="AS165" s="1">
        <f>'Asset Prices'!AS165/'Asset Prices'!AS166-1</f>
        <v>-3.2099975496201916E-2</v>
      </c>
      <c r="AT165" s="1">
        <f>'Asset Prices'!AT165/'Asset Prices'!AT166-1</f>
        <v>2.2247482949009578E-2</v>
      </c>
      <c r="AU165" s="1">
        <f>'Asset Prices'!AU165/'Asset Prices'!AU166-1</f>
        <v>-9.9897976534604194E-3</v>
      </c>
      <c r="AV165" s="1">
        <f>'Asset Prices'!AV165/'Asset Prices'!AV166-1</f>
        <v>-1.9919110212335722E-2</v>
      </c>
      <c r="AW165" s="1">
        <f>'Asset Prices'!AW165/'Asset Prices'!AW166-1</f>
        <v>-2.877697841726623E-2</v>
      </c>
      <c r="AX165" s="1">
        <f>'Asset Prices'!AX165/'Asset Prices'!AX166-1</f>
        <v>-2.7070063694267565E-2</v>
      </c>
      <c r="AY165" s="1">
        <f>'Asset Prices'!AY165/'Asset Prices'!AY166-1</f>
        <v>9.765625E-3</v>
      </c>
      <c r="AZ165" s="1">
        <f>'Asset Prices'!AZ165/'Asset Prices'!AZ166-1</f>
        <v>-6.3928304705003547E-2</v>
      </c>
      <c r="BA165" s="1">
        <f>'Asset Prices'!BA165/'Asset Prices'!BA166-1</f>
        <v>1.3996889580093486E-2</v>
      </c>
      <c r="BB165" s="1">
        <f>'Asset Prices'!BB165/'Asset Prices'!BB166-1</f>
        <v>2.586079503472738E-2</v>
      </c>
      <c r="BC165" s="1">
        <f>'Asset Prices'!BC165/'Asset Prices'!BC166-1</f>
        <v>9.6200766817706507E-2</v>
      </c>
      <c r="BD165" s="1">
        <f>'Asset Prices'!BD165/'Asset Prices'!BD166-1</f>
        <v>8.7473002159828006E-3</v>
      </c>
    </row>
    <row r="166" spans="3:56" x14ac:dyDescent="0.25">
      <c r="C166" s="38">
        <f>'Asset Prices'!C166</f>
        <v>43209</v>
      </c>
      <c r="D166" s="1">
        <f>'Asset Prices'!D166/'Asset Prices'!D167-1</f>
        <v>2.387048814735282E-2</v>
      </c>
      <c r="E166" s="1">
        <f>'Asset Prices'!E166/'Asset Prices'!E167-1</f>
        <v>4.9805757545571261E-3</v>
      </c>
      <c r="F166" s="1">
        <f>'Asset Prices'!F166/'Asset Prices'!F167-1</f>
        <v>-3.0101814962372631E-2</v>
      </c>
      <c r="G166" s="1">
        <f>'Asset Prices'!G166/'Asset Prices'!G167-1</f>
        <v>2.048823016564949E-2</v>
      </c>
      <c r="H166" s="1">
        <f>'Asset Prices'!H166/'Asset Prices'!H167-1</f>
        <v>3.7032103370187919E-2</v>
      </c>
      <c r="I166" s="1">
        <f>'Asset Prices'!I166/'Asset Prices'!I167-1</f>
        <v>2.5813144565814294E-2</v>
      </c>
      <c r="J166" s="1">
        <f>'Asset Prices'!J166/'Asset Prices'!J167-1</f>
        <v>-7.6949580797058825E-3</v>
      </c>
      <c r="K166" s="1">
        <f>'Asset Prices'!K166/'Asset Prices'!K167-1</f>
        <v>7.4842940973420813E-2</v>
      </c>
      <c r="L166" s="1">
        <f>'Asset Prices'!L166/'Asset Prices'!L167-1</f>
        <v>7.582861762328208E-2</v>
      </c>
      <c r="M166" s="1">
        <f>'Asset Prices'!M166/'Asset Prices'!M167-1</f>
        <v>2.7035691387048422E-2</v>
      </c>
      <c r="N166" s="1">
        <f>'Asset Prices'!N166/'Asset Prices'!N167-1</f>
        <v>5.0284876938946788E-2</v>
      </c>
      <c r="O166" s="1">
        <f>'Asset Prices'!O166/'Asset Prices'!O167-1</f>
        <v>-2.1031704509783311E-2</v>
      </c>
      <c r="P166" s="1">
        <f>'Asset Prices'!P166/'Asset Prices'!P167-1</f>
        <v>2.4083489430024141E-2</v>
      </c>
      <c r="Q166" s="1">
        <f>'Asset Prices'!Q166/'Asset Prices'!Q167-1</f>
        <v>-4.1628753412192854E-2</v>
      </c>
      <c r="R166" s="1">
        <f>'Asset Prices'!R166/'Asset Prices'!R167-1</f>
        <v>3.1122217174011757E-2</v>
      </c>
      <c r="S166" s="1">
        <f>'Asset Prices'!S166/'Asset Prices'!S167-1</f>
        <v>2.6870007262164153E-2</v>
      </c>
      <c r="T166" s="1">
        <f>'Asset Prices'!T166/'Asset Prices'!T167-1</f>
        <v>3.4659048191865383E-2</v>
      </c>
      <c r="U166" s="1">
        <f>'Asset Prices'!U166/'Asset Prices'!U167-1</f>
        <v>2.0312284095619804E-2</v>
      </c>
      <c r="V166" s="1">
        <f>'Asset Prices'!V166/'Asset Prices'!V167-1</f>
        <v>-1.9911894273127784E-2</v>
      </c>
      <c r="W166" s="1">
        <f>'Asset Prices'!W166/'Asset Prices'!W167-1</f>
        <v>2.8611500701262393E-2</v>
      </c>
      <c r="X166" s="1">
        <f>'Asset Prices'!X166/'Asset Prices'!X167-1</f>
        <v>-2.548234437568242E-3</v>
      </c>
      <c r="Y166" s="1">
        <f>'Asset Prices'!Y166/'Asset Prices'!Y167-1</f>
        <v>5.3253211763381048E-2</v>
      </c>
      <c r="Z166" s="1">
        <f>'Asset Prices'!Z166/'Asset Prices'!Z167-1</f>
        <v>6.1111111111111116E-2</v>
      </c>
      <c r="AA166" s="1">
        <f>'Asset Prices'!AA166/'Asset Prices'!AA167-1</f>
        <v>2.6655896607431284E-2</v>
      </c>
      <c r="AB166" s="1">
        <f>'Asset Prices'!AB166/'Asset Prices'!AB167-1</f>
        <v>2.2535211267605604E-2</v>
      </c>
      <c r="AC166" s="1">
        <f>'Asset Prices'!AC166/'Asset Prices'!AC167-1</f>
        <v>-7.7858880778588824E-2</v>
      </c>
      <c r="AD166" s="1">
        <f>'Asset Prices'!AD166/'Asset Prices'!AD167-1</f>
        <v>5.6079404466501392E-2</v>
      </c>
      <c r="AE166" s="1">
        <f>'Asset Prices'!AE166/'Asset Prices'!AE167-1</f>
        <v>-2.2523744911804533E-2</v>
      </c>
      <c r="AF166" s="1">
        <f>'Asset Prices'!AF166/'Asset Prices'!AF167-1</f>
        <v>4.1498791297340798E-2</v>
      </c>
      <c r="AG166" s="1">
        <f>'Asset Prices'!AG166/'Asset Prices'!AG167-1</f>
        <v>1.9480519480519431E-2</v>
      </c>
      <c r="AH166" s="1">
        <f>'Asset Prices'!AH166/'Asset Prices'!AH167-1</f>
        <v>-9.6894767107533086E-2</v>
      </c>
      <c r="AI166" s="1">
        <f>'Asset Prices'!AI166/'Asset Prices'!AI167-1</f>
        <v>-4.0788579197824748E-2</v>
      </c>
      <c r="AJ166" s="1">
        <f>'Asset Prices'!AJ166/'Asset Prices'!AJ167-1</f>
        <v>2.9166666666666563E-2</v>
      </c>
      <c r="AK166" s="1">
        <f>'Asset Prices'!AK166/'Asset Prices'!AK167-1</f>
        <v>5.6265984654730872E-3</v>
      </c>
      <c r="AL166" s="1">
        <f>'Asset Prices'!AL166/'Asset Prices'!AL167-1</f>
        <v>2.8325907065563261E-2</v>
      </c>
      <c r="AM166" s="1">
        <f>'Asset Prices'!AM166/'Asset Prices'!AM167-1</f>
        <v>-6.5603846397165877E-2</v>
      </c>
      <c r="AN166" s="1">
        <f>'Asset Prices'!AN166/'Asset Prices'!AN167-1</f>
        <v>3.1470736629667151E-2</v>
      </c>
      <c r="AO166" s="1">
        <f>'Asset Prices'!AO166/'Asset Prices'!AO167-1</f>
        <v>1.4453288646836926E-2</v>
      </c>
      <c r="AP166" s="1">
        <f>'Asset Prices'!AP166/'Asset Prices'!AP167-1</f>
        <v>1.3328486610928447E-3</v>
      </c>
      <c r="AQ166" s="1">
        <f>'Asset Prices'!AQ166/'Asset Prices'!AQ167-1</f>
        <v>-4.5117022276529584E-3</v>
      </c>
      <c r="AR166" s="1">
        <f>'Asset Prices'!AR166/'Asset Prices'!AR167-1</f>
        <v>3.8118811881188153E-2</v>
      </c>
      <c r="AS166" s="1">
        <f>'Asset Prices'!AS166/'Asset Prices'!AS167-1</f>
        <v>-1.0906446921958191E-2</v>
      </c>
      <c r="AT166" s="1">
        <f>'Asset Prices'!AT166/'Asset Prices'!AT167-1</f>
        <v>1.7683027598744072E-2</v>
      </c>
      <c r="AU166" s="1">
        <f>'Asset Prices'!AU166/'Asset Prices'!AU167-1</f>
        <v>5.2763481763258069E-2</v>
      </c>
      <c r="AV166" s="1">
        <f>'Asset Prices'!AV166/'Asset Prices'!AV167-1</f>
        <v>8.1549439347605723E-3</v>
      </c>
      <c r="AW166" s="1">
        <f>'Asset Prices'!AW166/'Asset Prices'!AW167-1</f>
        <v>4.7550690830791442E-2</v>
      </c>
      <c r="AX166" s="1">
        <f>'Asset Prices'!AX166/'Asset Prices'!AX167-1</f>
        <v>4.7999999999999154E-3</v>
      </c>
      <c r="AY166" s="1">
        <f>'Asset Prices'!AY166/'Asset Prices'!AY167-1</f>
        <v>4.0650406504065151E-2</v>
      </c>
      <c r="AZ166" s="1">
        <f>'Asset Prices'!AZ166/'Asset Prices'!AZ167-1</f>
        <v>3.0475604124980737E-2</v>
      </c>
      <c r="BA166" s="1">
        <f>'Asset Prices'!BA166/'Asset Prices'!BA167-1</f>
        <v>3.3762057877813501E-2</v>
      </c>
      <c r="BB166" s="1">
        <f>'Asset Prices'!BB166/'Asset Prices'!BB167-1</f>
        <v>2.2823458282950515E-2</v>
      </c>
      <c r="BC166" s="1">
        <f>'Asset Prices'!BC166/'Asset Prices'!BC167-1</f>
        <v>-0.13192133131618766</v>
      </c>
      <c r="BD166" s="1">
        <f>'Asset Prices'!BD166/'Asset Prices'!BD167-1</f>
        <v>8.7145969498909626E-3</v>
      </c>
    </row>
    <row r="167" spans="3:56" x14ac:dyDescent="0.25">
      <c r="C167" s="38">
        <f>'Asset Prices'!C167</f>
        <v>43202</v>
      </c>
      <c r="D167" s="1">
        <f>'Asset Prices'!D167/'Asset Prices'!D168-1</f>
        <v>-9.9018070797929347E-4</v>
      </c>
      <c r="E167" s="1">
        <f>'Asset Prices'!E167/'Asset Prices'!E168-1</f>
        <v>-1.6844579375183577E-2</v>
      </c>
      <c r="F167" s="1">
        <f>'Asset Prices'!F167/'Asset Prices'!F168-1</f>
        <v>-2.615318292858182E-2</v>
      </c>
      <c r="G167" s="1">
        <f>'Asset Prices'!G167/'Asset Prices'!G168-1</f>
        <v>-1.7406440382941035E-3</v>
      </c>
      <c r="H167" s="1">
        <f>'Asset Prices'!H167/'Asset Prices'!H168-1</f>
        <v>1.3569162222372144E-2</v>
      </c>
      <c r="I167" s="1">
        <f>'Asset Prices'!I167/'Asset Prices'!I168-1</f>
        <v>2.8429772812853082E-2</v>
      </c>
      <c r="J167" s="1">
        <f>'Asset Prices'!J167/'Asset Prices'!J168-1</f>
        <v>7.7546296296295836E-3</v>
      </c>
      <c r="K167" s="1">
        <f>'Asset Prices'!K167/'Asset Prices'!K168-1</f>
        <v>-2.2386774582400237E-3</v>
      </c>
      <c r="L167" s="1">
        <f>'Asset Prices'!L167/'Asset Prices'!L168-1</f>
        <v>5.1978093002687187E-2</v>
      </c>
      <c r="M167" s="1">
        <f>'Asset Prices'!M167/'Asset Prices'!M168-1</f>
        <v>1.298982463736742E-2</v>
      </c>
      <c r="N167" s="1">
        <f>'Asset Prices'!N167/'Asset Prices'!N168-1</f>
        <v>4.5030213820884679E-3</v>
      </c>
      <c r="O167" s="1">
        <f>'Asset Prices'!O167/'Asset Prices'!O168-1</f>
        <v>-4.142427281845551E-2</v>
      </c>
      <c r="P167" s="1">
        <f>'Asset Prices'!P167/'Asset Prices'!P168-1</f>
        <v>-2.4833645022398154E-2</v>
      </c>
      <c r="Q167" s="1">
        <f>'Asset Prices'!Q167/'Asset Prices'!Q168-1</f>
        <v>3.293518699823772E-2</v>
      </c>
      <c r="R167" s="1">
        <f>'Asset Prices'!R167/'Asset Prices'!R168-1</f>
        <v>-3.6550667542131654E-2</v>
      </c>
      <c r="S167" s="1">
        <f>'Asset Prices'!S167/'Asset Prices'!S168-1</f>
        <v>-1.6428571428571459E-2</v>
      </c>
      <c r="T167" s="1">
        <f>'Asset Prices'!T167/'Asset Prices'!T168-1</f>
        <v>-1.0636715263314556E-2</v>
      </c>
      <c r="U167" s="1">
        <f>'Asset Prices'!U167/'Asset Prices'!U168-1</f>
        <v>1.7719026859794651E-2</v>
      </c>
      <c r="V167" s="1">
        <f>'Asset Prices'!V167/'Asset Prices'!V168-1</f>
        <v>-0.11328125</v>
      </c>
      <c r="W167" s="1">
        <f>'Asset Prices'!W167/'Asset Prices'!W168-1</f>
        <v>-1.1369938990571371E-2</v>
      </c>
      <c r="X167" s="1">
        <f>'Asset Prices'!X167/'Asset Prices'!X168-1</f>
        <v>-3.3767147379528684E-2</v>
      </c>
      <c r="Y167" s="1">
        <f>'Asset Prices'!Y167/'Asset Prices'!Y168-1</f>
        <v>-1.1268182750718503E-2</v>
      </c>
      <c r="Z167" s="1">
        <f>'Asset Prices'!Z167/'Asset Prices'!Z168-1</f>
        <v>9.7560975609756184E-2</v>
      </c>
      <c r="AA167" s="1">
        <f>'Asset Prices'!AA167/'Asset Prices'!AA168-1</f>
        <v>-5.6224899598393829E-3</v>
      </c>
      <c r="AB167" s="1">
        <f>'Asset Prices'!AB167/'Asset Prices'!AB168-1</f>
        <v>8.5227272727272929E-3</v>
      </c>
      <c r="AC167" s="1">
        <f>'Asset Prices'!AC167/'Asset Prices'!AC168-1</f>
        <v>1.4063656550703074E-2</v>
      </c>
      <c r="AD167" s="1">
        <f>'Asset Prices'!AD167/'Asset Prices'!AD168-1</f>
        <v>2.1390916463909226E-2</v>
      </c>
      <c r="AE167" s="1">
        <f>'Asset Prices'!AE167/'Asset Prices'!AE168-1</f>
        <v>-2.7618963849063261E-2</v>
      </c>
      <c r="AF167" s="1">
        <f>'Asset Prices'!AF167/'Asset Prices'!AF168-1</f>
        <v>-1.4688368400158858E-2</v>
      </c>
      <c r="AG167" s="1">
        <f>'Asset Prices'!AG167/'Asset Prices'!AG168-1</f>
        <v>3.61648444070648E-2</v>
      </c>
      <c r="AH167" s="1">
        <f>'Asset Prices'!AH167/'Asset Prices'!AH168-1</f>
        <v>-2.2209727298285076E-2</v>
      </c>
      <c r="AI167" s="1">
        <f>'Asset Prices'!AI167/'Asset Prices'!AI168-1</f>
        <v>-3.4354485776805221E-2</v>
      </c>
      <c r="AJ167" s="1">
        <f>'Asset Prices'!AJ167/'Asset Prices'!AJ168-1</f>
        <v>-4.1493775933609811E-3</v>
      </c>
      <c r="AK167" s="1">
        <f>'Asset Prices'!AK167/'Asset Prices'!AK168-1</f>
        <v>-5.2810077519379828E-2</v>
      </c>
      <c r="AL167" s="1">
        <f>'Asset Prices'!AL167/'Asset Prices'!AL168-1</f>
        <v>-1.2880929940307762E-2</v>
      </c>
      <c r="AM167" s="1">
        <f>'Asset Prices'!AM167/'Asset Prices'!AM168-1</f>
        <v>2.6228656755177493E-2</v>
      </c>
      <c r="AN167" s="1">
        <f>'Asset Prices'!AN167/'Asset Prices'!AN168-1</f>
        <v>-9.4333728993565291E-3</v>
      </c>
      <c r="AO167" s="1">
        <f>'Asset Prices'!AO167/'Asset Prices'!AO168-1</f>
        <v>-1.0364842454394729E-2</v>
      </c>
      <c r="AP167" s="1">
        <f>'Asset Prices'!AP167/'Asset Prices'!AP168-1</f>
        <v>-2.8601694915254106E-2</v>
      </c>
      <c r="AQ167" s="1">
        <f>'Asset Prices'!AQ167/'Asset Prices'!AQ168-1</f>
        <v>6.9783810960281523E-2</v>
      </c>
      <c r="AR167" s="1">
        <f>'Asset Prices'!AR167/'Asset Prices'!AR168-1</f>
        <v>2.8775146422205244E-2</v>
      </c>
      <c r="AS167" s="1">
        <f>'Asset Prices'!AS167/'Asset Prices'!AS168-1</f>
        <v>2.0024721878862728E-2</v>
      </c>
      <c r="AT167" s="1">
        <f>'Asset Prices'!AT167/'Asset Prices'!AT168-1</f>
        <v>3.316199635218009E-3</v>
      </c>
      <c r="AU167" s="1">
        <f>'Asset Prices'!AU167/'Asset Prices'!AU168-1</f>
        <v>1.5081997001771708E-2</v>
      </c>
      <c r="AV167" s="1">
        <f>'Asset Prices'!AV167/'Asset Prices'!AV168-1</f>
        <v>-9.0909090909091494E-3</v>
      </c>
      <c r="AW167" s="1">
        <f>'Asset Prices'!AW167/'Asset Prices'!AW168-1</f>
        <v>2.6335174953959539E-2</v>
      </c>
      <c r="AX167" s="1">
        <f>'Asset Prices'!AX167/'Asset Prices'!AX168-1</f>
        <v>6.0520361990950233E-2</v>
      </c>
      <c r="AY167" s="1">
        <f>'Asset Prices'!AY167/'Asset Prices'!AY168-1</f>
        <v>-5.3846153846153877E-2</v>
      </c>
      <c r="AZ167" s="1">
        <f>'Asset Prices'!AZ167/'Asset Prices'!AZ168-1</f>
        <v>-1.9172705314009608E-2</v>
      </c>
      <c r="BA167" s="1">
        <f>'Asset Prices'!BA167/'Asset Prices'!BA168-1</f>
        <v>6.4724919093850364E-3</v>
      </c>
      <c r="BB167" s="1">
        <f>'Asset Prices'!BB167/'Asset Prices'!BB168-1</f>
        <v>-2.130177514792897E-2</v>
      </c>
      <c r="BC167" s="1">
        <f>'Asset Prices'!BC167/'Asset Prices'!BC168-1</f>
        <v>-6.2411347517730476E-2</v>
      </c>
      <c r="BD167" s="1">
        <f>'Asset Prices'!BD167/'Asset Prices'!BD168-1</f>
        <v>0</v>
      </c>
    </row>
    <row r="168" spans="3:56" x14ac:dyDescent="0.25">
      <c r="C168" s="38">
        <f>'Asset Prices'!C168</f>
        <v>43195</v>
      </c>
      <c r="D168" s="1">
        <f>'Asset Prices'!D168/'Asset Prices'!D169-1</f>
        <v>1.312489550242435E-2</v>
      </c>
      <c r="E168" s="1">
        <f>'Asset Prices'!E168/'Asset Prices'!E169-1</f>
        <v>1.6626841895659217E-2</v>
      </c>
      <c r="F168" s="1">
        <f>'Asset Prices'!F168/'Asset Prices'!F169-1</f>
        <v>4.7411198073449734E-2</v>
      </c>
      <c r="G168" s="1">
        <f>'Asset Prices'!G168/'Asset Prices'!G169-1</f>
        <v>4.5901639344263501E-3</v>
      </c>
      <c r="H168" s="1">
        <f>'Asset Prices'!H168/'Asset Prices'!H169-1</f>
        <v>5.0888858732527353E-3</v>
      </c>
      <c r="I168" s="1">
        <f>'Asset Prices'!I168/'Asset Prices'!I169-1</f>
        <v>-2.8161962575879995E-3</v>
      </c>
      <c r="J168" s="1">
        <f>'Asset Prices'!J168/'Asset Prices'!J169-1</f>
        <v>2.9920133508165581E-2</v>
      </c>
      <c r="K168" s="1">
        <f>'Asset Prices'!K168/'Asset Prices'!K169-1</f>
        <v>3.0469689222989427E-3</v>
      </c>
      <c r="L168" s="1">
        <f>'Asset Prices'!L168/'Asset Prices'!L169-1</f>
        <v>-4.6724225495174965E-3</v>
      </c>
      <c r="M168" s="1">
        <f>'Asset Prices'!M168/'Asset Prices'!M169-1</f>
        <v>1.2161717979620956E-2</v>
      </c>
      <c r="N168" s="1">
        <f>'Asset Prices'!N168/'Asset Prices'!N169-1</f>
        <v>-4.3388549279750332E-3</v>
      </c>
      <c r="O168" s="1">
        <f>'Asset Prices'!O168/'Asset Prices'!O169-1</f>
        <v>7.4777687954730165E-3</v>
      </c>
      <c r="P168" s="1">
        <f>'Asset Prices'!P168/'Asset Prices'!P169-1</f>
        <v>8.8188838188838492E-3</v>
      </c>
      <c r="Q168" s="1">
        <f>'Asset Prices'!Q168/'Asset Prices'!Q169-1</f>
        <v>1.6804045713375571E-2</v>
      </c>
      <c r="R168" s="1">
        <f>'Asset Prices'!R168/'Asset Prices'!R169-1</f>
        <v>4.61741424802109E-3</v>
      </c>
      <c r="S168" s="1">
        <f>'Asset Prices'!S168/'Asset Prices'!S169-1</f>
        <v>-1.0250972074938081E-2</v>
      </c>
      <c r="T168" s="1">
        <f>'Asset Prices'!T168/'Asset Prices'!T169-1</f>
        <v>-1.132519488160022E-2</v>
      </c>
      <c r="U168" s="1">
        <f>'Asset Prices'!U168/'Asset Prices'!U169-1</f>
        <v>-1.0987482614742805E-2</v>
      </c>
      <c r="V168" s="1">
        <f>'Asset Prices'!V168/'Asset Prices'!V169-1</f>
        <v>8.5850016966406484E-2</v>
      </c>
      <c r="W168" s="1">
        <f>'Asset Prices'!W168/'Asset Prices'!W169-1</f>
        <v>3.0432918988427149E-2</v>
      </c>
      <c r="X168" s="1">
        <f>'Asset Prices'!X168/'Asset Prices'!X169-1</f>
        <v>-7.3324022346369366E-3</v>
      </c>
      <c r="Y168" s="1">
        <f>'Asset Prices'!Y168/'Asset Prices'!Y169-1</f>
        <v>3.345331356279746E-2</v>
      </c>
      <c r="Z168" s="1">
        <f>'Asset Prices'!Z168/'Asset Prices'!Z169-1</f>
        <v>-3.0395136778116338E-3</v>
      </c>
      <c r="AA168" s="1">
        <f>'Asset Prices'!AA168/'Asset Prices'!AA169-1</f>
        <v>2.638087386644683E-2</v>
      </c>
      <c r="AB168" s="1">
        <f>'Asset Prices'!AB168/'Asset Prices'!AB169-1</f>
        <v>-3.8251366120218622E-2</v>
      </c>
      <c r="AC168" s="1">
        <f>'Asset Prices'!AC168/'Asset Prices'!AC169-1</f>
        <v>3.2178217821783317E-3</v>
      </c>
      <c r="AD168" s="1">
        <f>'Asset Prices'!AD168/'Asset Prices'!AD169-1</f>
        <v>-3.1136430606030885E-2</v>
      </c>
      <c r="AE168" s="1">
        <f>'Asset Prices'!AE168/'Asset Prices'!AE169-1</f>
        <v>4.5233060586558738E-2</v>
      </c>
      <c r="AF168" s="1">
        <f>'Asset Prices'!AF168/'Asset Prices'!AF169-1</f>
        <v>3.7479406919275204E-2</v>
      </c>
      <c r="AG168" s="1">
        <f>'Asset Prices'!AG168/'Asset Prices'!AG169-1</f>
        <v>-1.4096185737976663E-2</v>
      </c>
      <c r="AH168" s="1">
        <f>'Asset Prices'!AH168/'Asset Prices'!AH169-1</f>
        <v>1.4835948644793318E-2</v>
      </c>
      <c r="AI168" s="1">
        <f>'Asset Prices'!AI168/'Asset Prices'!AI169-1</f>
        <v>9.052771031132778E-3</v>
      </c>
      <c r="AJ168" s="1">
        <f>'Asset Prices'!AJ168/'Asset Prices'!AJ169-1</f>
        <v>9.5454545454545459E-2</v>
      </c>
      <c r="AK168" s="1">
        <f>'Asset Prices'!AK168/'Asset Prices'!AK169-1</f>
        <v>1.5748031496062964E-2</v>
      </c>
      <c r="AL168" s="1">
        <f>'Asset Prices'!AL168/'Asset Prices'!AL169-1</f>
        <v>0</v>
      </c>
      <c r="AM168" s="1">
        <f>'Asset Prices'!AM168/'Asset Prices'!AM169-1</f>
        <v>3.9105781137978024E-3</v>
      </c>
      <c r="AN168" s="1">
        <f>'Asset Prices'!AN168/'Asset Prices'!AN169-1</f>
        <v>-5.2821277653491983E-3</v>
      </c>
      <c r="AO168" s="1">
        <f>'Asset Prices'!AO168/'Asset Prices'!AO169-1</f>
        <v>8.7829360100377674E-3</v>
      </c>
      <c r="AP168" s="1">
        <f>'Asset Prices'!AP168/'Asset Prices'!AP169-1</f>
        <v>4.1687101520353043E-2</v>
      </c>
      <c r="AQ168" s="1">
        <f>'Asset Prices'!AQ168/'Asset Prices'!AQ169-1</f>
        <v>1.0773452586644972E-2</v>
      </c>
      <c r="AR168" s="1">
        <f>'Asset Prices'!AR168/'Asset Prices'!AR169-1</f>
        <v>5.1190171487074387E-3</v>
      </c>
      <c r="AS168" s="1">
        <f>'Asset Prices'!AS168/'Asset Prices'!AS169-1</f>
        <v>-1.7488462472674215E-2</v>
      </c>
      <c r="AT168" s="1">
        <f>'Asset Prices'!AT168/'Asset Prices'!AT169-1</f>
        <v>5.8372248165443619E-3</v>
      </c>
      <c r="AU168" s="1">
        <f>'Asset Prices'!AU168/'Asset Prices'!AU169-1</f>
        <v>1.5828334102445885E-2</v>
      </c>
      <c r="AV168" s="1">
        <f>'Asset Prices'!AV168/'Asset Prices'!AV169-1</f>
        <v>4.3203371970495175E-2</v>
      </c>
      <c r="AW168" s="1">
        <f>'Asset Prices'!AW168/'Asset Prices'!AW169-1</f>
        <v>1.1267343328056567E-2</v>
      </c>
      <c r="AX168" s="1">
        <f>'Asset Prices'!AX168/'Asset Prices'!AX169-1</f>
        <v>4.4300059066745501E-2</v>
      </c>
      <c r="AY168" s="1">
        <f>'Asset Prices'!AY168/'Asset Prices'!AY169-1</f>
        <v>3.8610038610038533E-3</v>
      </c>
      <c r="AZ168" s="1">
        <f>'Asset Prices'!AZ168/'Asset Prices'!AZ169-1</f>
        <v>2.143407864302227E-2</v>
      </c>
      <c r="BA168" s="1">
        <f>'Asset Prices'!BA168/'Asset Prices'!BA169-1</f>
        <v>6.514657980456029E-3</v>
      </c>
      <c r="BB168" s="1">
        <f>'Asset Prices'!BB168/'Asset Prices'!BB169-1</f>
        <v>2.3932141775219629E-2</v>
      </c>
      <c r="BC168" s="1">
        <f>'Asset Prices'!BC168/'Asset Prices'!BC169-1</f>
        <v>2.1443059982613644E-2</v>
      </c>
      <c r="BD168" s="1">
        <f>'Asset Prices'!BD168/'Asset Prices'!BD169-1</f>
        <v>4.26649163111259E-3</v>
      </c>
    </row>
    <row r="169" spans="3:56" x14ac:dyDescent="0.25">
      <c r="C169" s="38">
        <f>'Asset Prices'!C169</f>
        <v>43188</v>
      </c>
      <c r="D169" s="1">
        <f>'Asset Prices'!D169/'Asset Prices'!D170-1</f>
        <v>-3.0835902991914743E-3</v>
      </c>
      <c r="E169" s="1">
        <f>'Asset Prices'!E169/'Asset Prices'!E170-1</f>
        <v>-1.5904572564612307E-3</v>
      </c>
      <c r="F169" s="1">
        <f>'Asset Prices'!F169/'Asset Prices'!F170-1</f>
        <v>3.1356721515057417E-2</v>
      </c>
      <c r="G169" s="1">
        <f>'Asset Prices'!G169/'Asset Prices'!G170-1</f>
        <v>-3.050773589017175E-3</v>
      </c>
      <c r="H169" s="1">
        <f>'Asset Prices'!H169/'Asset Prices'!H170-1</f>
        <v>3.2675289312456002E-3</v>
      </c>
      <c r="I169" s="1">
        <f>'Asset Prices'!I169/'Asset Prices'!I170-1</f>
        <v>-3.092971071623507E-2</v>
      </c>
      <c r="J169" s="1">
        <f>'Asset Prices'!J169/'Asset Prices'!J170-1</f>
        <v>-6.3369854900798828E-3</v>
      </c>
      <c r="K169" s="1">
        <f>'Asset Prices'!K169/'Asset Prices'!K170-1</f>
        <v>-6.3161846568107194E-2</v>
      </c>
      <c r="L169" s="1">
        <f>'Asset Prices'!L169/'Asset Prices'!L170-1</f>
        <v>-3.7006847081838767E-2</v>
      </c>
      <c r="M169" s="1">
        <f>'Asset Prices'!M169/'Asset Prices'!M170-1</f>
        <v>1.648290455507273E-2</v>
      </c>
      <c r="N169" s="1">
        <f>'Asset Prices'!N169/'Asset Prices'!N170-1</f>
        <v>-1.5202013008593251E-2</v>
      </c>
      <c r="O169" s="1">
        <f>'Asset Prices'!O169/'Asset Prices'!O170-1</f>
        <v>1.9680577022153534E-2</v>
      </c>
      <c r="P169" s="1">
        <f>'Asset Prices'!P169/'Asset Prices'!P170-1</f>
        <v>1.6456317174329937E-2</v>
      </c>
      <c r="Q169" s="1">
        <f>'Asset Prices'!Q169/'Asset Prices'!Q170-1</f>
        <v>-3.4598085572598358E-2</v>
      </c>
      <c r="R169" s="1">
        <f>'Asset Prices'!R169/'Asset Prices'!R170-1</f>
        <v>2.0417321067982774E-2</v>
      </c>
      <c r="S169" s="1">
        <f>'Asset Prices'!S169/'Asset Prices'!S170-1</f>
        <v>3.5505124450951664E-2</v>
      </c>
      <c r="T169" s="1">
        <f>'Asset Prices'!T169/'Asset Prices'!T170-1</f>
        <v>-9.2531876138434166E-3</v>
      </c>
      <c r="U169" s="1">
        <f>'Asset Prices'!U169/'Asset Prices'!U170-1</f>
        <v>7.8497336697505027E-3</v>
      </c>
      <c r="V169" s="1">
        <f>'Asset Prices'!V169/'Asset Prices'!V170-1</f>
        <v>4.4308111792774607E-3</v>
      </c>
      <c r="W169" s="1">
        <f>'Asset Prices'!W169/'Asset Prices'!W170-1</f>
        <v>4.074349442379166E-2</v>
      </c>
      <c r="X169" s="1">
        <f>'Asset Prices'!X169/'Asset Prices'!X170-1</f>
        <v>4.9122807017543124E-3</v>
      </c>
      <c r="Y169" s="1">
        <f>'Asset Prices'!Y169/'Asset Prices'!Y170-1</f>
        <v>-1.4193279060261466E-2</v>
      </c>
      <c r="Z169" s="1">
        <f>'Asset Prices'!Z169/'Asset Prices'!Z170-1</f>
        <v>3.0487804878049918E-3</v>
      </c>
      <c r="AA169" s="1">
        <f>'Asset Prices'!AA169/'Asset Prices'!AA170-1</f>
        <v>6.6390041493775698E-3</v>
      </c>
      <c r="AB169" s="1">
        <f>'Asset Prices'!AB169/'Asset Prices'!AB170-1</f>
        <v>-3.937007874015741E-2</v>
      </c>
      <c r="AC169" s="1">
        <f>'Asset Prices'!AC169/'Asset Prices'!AC170-1</f>
        <v>-8.3484573502722315E-2</v>
      </c>
      <c r="AD169" s="1">
        <f>'Asset Prices'!AD169/'Asset Prices'!AD170-1</f>
        <v>-3.6210608729693172E-3</v>
      </c>
      <c r="AE169" s="1">
        <f>'Asset Prices'!AE169/'Asset Prices'!AE170-1</f>
        <v>-2.3696257068485771E-2</v>
      </c>
      <c r="AF169" s="1">
        <f>'Asset Prices'!AF169/'Asset Prices'!AF170-1</f>
        <v>-1.620745542949753E-2</v>
      </c>
      <c r="AG169" s="1">
        <f>'Asset Prices'!AG169/'Asset Prices'!AG170-1</f>
        <v>3.6082474226803996E-2</v>
      </c>
      <c r="AH169" s="1">
        <f>'Asset Prices'!AH169/'Asset Prices'!AH170-1</f>
        <v>7.0229007633587637E-2</v>
      </c>
      <c r="AI169" s="1">
        <f>'Asset Prices'!AI169/'Asset Prices'!AI170-1</f>
        <v>5.1043053706167907E-3</v>
      </c>
      <c r="AJ169" s="1">
        <f>'Asset Prices'!AJ169/'Asset Prices'!AJ170-1</f>
        <v>1.8518518518518601E-2</v>
      </c>
      <c r="AK169" s="1">
        <f>'Asset Prices'!AK169/'Asset Prices'!AK170-1</f>
        <v>-4.4663845792195511E-2</v>
      </c>
      <c r="AL169" s="1">
        <f>'Asset Prices'!AL169/'Asset Prices'!AL170-1</f>
        <v>1.1760966306420872E-2</v>
      </c>
      <c r="AM169" s="1">
        <f>'Asset Prices'!AM169/'Asset Prices'!AM170-1</f>
        <v>8.8105726872247381E-3</v>
      </c>
      <c r="AN169" s="1">
        <f>'Asset Prices'!AN169/'Asset Prices'!AN170-1</f>
        <v>6.8403706237174511E-4</v>
      </c>
      <c r="AO169" s="1">
        <f>'Asset Prices'!AO169/'Asset Prices'!AO170-1</f>
        <v>2.0051194539249195E-2</v>
      </c>
      <c r="AP169" s="1">
        <f>'Asset Prices'!AP169/'Asset Prices'!AP170-1</f>
        <v>6.9135802469135754E-3</v>
      </c>
      <c r="AQ169" s="1">
        <f>'Asset Prices'!AQ169/'Asset Prices'!AQ170-1</f>
        <v>-7.0740460899130997E-2</v>
      </c>
      <c r="AR169" s="1">
        <f>'Asset Prices'!AR169/'Asset Prices'!AR170-1</f>
        <v>3.8819462908801006E-2</v>
      </c>
      <c r="AS169" s="1">
        <f>'Asset Prices'!AS169/'Asset Prices'!AS170-1</f>
        <v>3.2605969400551826E-2</v>
      </c>
      <c r="AT169" s="1">
        <f>'Asset Prices'!AT169/'Asset Prices'!AT170-1</f>
        <v>3.1788522670235242E-3</v>
      </c>
      <c r="AU169" s="1">
        <f>'Asset Prices'!AU169/'Asset Prices'!AU170-1</f>
        <v>1.6178194607268326E-2</v>
      </c>
      <c r="AV169" s="1">
        <f>'Asset Prices'!AV169/'Asset Prices'!AV170-1</f>
        <v>1.4539234552063185E-2</v>
      </c>
      <c r="AW169" s="1">
        <f>'Asset Prices'!AW169/'Asset Prices'!AW170-1</f>
        <v>-3.0163460670098452E-2</v>
      </c>
      <c r="AX169" s="1">
        <f>'Asset Prices'!AX169/'Asset Prices'!AX170-1</f>
        <v>-7.620164126611928E-3</v>
      </c>
      <c r="AY169" s="1">
        <f>'Asset Prices'!AY169/'Asset Prices'!AY170-1</f>
        <v>0</v>
      </c>
      <c r="AZ169" s="1">
        <f>'Asset Prices'!AZ169/'Asset Prices'!AZ170-1</f>
        <v>3.1329516539440272E-2</v>
      </c>
      <c r="BA169" s="1">
        <f>'Asset Prices'!BA169/'Asset Prices'!BA170-1</f>
        <v>-4.0624999999999911E-2</v>
      </c>
      <c r="BB169" s="1">
        <f>'Asset Prices'!BB169/'Asset Prices'!BB170-1</f>
        <v>1.1180885281053543E-2</v>
      </c>
      <c r="BC169" s="1">
        <f>'Asset Prices'!BC169/'Asset Prices'!BC170-1</f>
        <v>2.9534606205250613E-2</v>
      </c>
      <c r="BD169" s="1">
        <f>'Asset Prices'!BD169/'Asset Prices'!BD170-1</f>
        <v>2.1569065713008317E-2</v>
      </c>
    </row>
    <row r="170" spans="3:56" x14ac:dyDescent="0.25">
      <c r="C170" s="38">
        <f>'Asset Prices'!C170</f>
        <v>43181</v>
      </c>
      <c r="D170" s="1">
        <f>'Asset Prices'!D170/'Asset Prices'!D171-1</f>
        <v>-2.7712503038651692E-2</v>
      </c>
      <c r="E170" s="1">
        <f>'Asset Prices'!E170/'Asset Prices'!E171-1</f>
        <v>-2.5571483920960869E-2</v>
      </c>
      <c r="F170" s="1">
        <f>'Asset Prices'!F170/'Asset Prices'!F171-1</f>
        <v>-2.9673143545714709E-2</v>
      </c>
      <c r="G170" s="1">
        <f>'Asset Prices'!G170/'Asset Prices'!G171-1</f>
        <v>-0.12373496276494167</v>
      </c>
      <c r="H170" s="1">
        <f>'Asset Prices'!H170/'Asset Prices'!H171-1</f>
        <v>-4.9621530698065519E-2</v>
      </c>
      <c r="I170" s="1">
        <f>'Asset Prices'!I170/'Asset Prices'!I171-1</f>
        <v>-0.10317632981616465</v>
      </c>
      <c r="J170" s="1">
        <f>'Asset Prices'!J170/'Asset Prices'!J171-1</f>
        <v>-5.4855863420095186E-2</v>
      </c>
      <c r="K170" s="1">
        <f>'Asset Prices'!K170/'Asset Prices'!K171-1</f>
        <v>-2.3636179786642342E-2</v>
      </c>
      <c r="L170" s="1">
        <f>'Asset Prices'!L170/'Asset Prices'!L171-1</f>
        <v>-4.4816095175807313E-2</v>
      </c>
      <c r="M170" s="1">
        <f>'Asset Prices'!M170/'Asset Prices'!M171-1</f>
        <v>-4.66128689743045E-2</v>
      </c>
      <c r="N170" s="1">
        <f>'Asset Prices'!N170/'Asset Prices'!N171-1</f>
        <v>-8.4702896724346055E-2</v>
      </c>
      <c r="O170" s="1">
        <f>'Asset Prices'!O170/'Asset Prices'!O171-1</f>
        <v>-3.8537745195165396E-2</v>
      </c>
      <c r="P170" s="1">
        <f>'Asset Prices'!P170/'Asset Prices'!P171-1</f>
        <v>-1.1723742782846269E-2</v>
      </c>
      <c r="Q170" s="1">
        <f>'Asset Prices'!Q170/'Asset Prices'!Q171-1</f>
        <v>-4.6688899475940904E-2</v>
      </c>
      <c r="R170" s="1">
        <f>'Asset Prices'!R170/'Asset Prices'!R171-1</f>
        <v>2.1076746849942873E-2</v>
      </c>
      <c r="S170" s="1">
        <f>'Asset Prices'!S170/'Asset Prices'!S171-1</f>
        <v>-1.8678160919540221E-2</v>
      </c>
      <c r="T170" s="1">
        <f>'Asset Prices'!T170/'Asset Prices'!T171-1</f>
        <v>-3.1609398151414614E-2</v>
      </c>
      <c r="U170" s="1">
        <f>'Asset Prices'!U170/'Asset Prices'!U171-1</f>
        <v>-4.5874013641834854E-2</v>
      </c>
      <c r="V170" s="1">
        <f>'Asset Prices'!V170/'Asset Prices'!V171-1</f>
        <v>-3.5659704533876901E-3</v>
      </c>
      <c r="W170" s="1">
        <f>'Asset Prices'!W170/'Asset Prices'!W171-1</f>
        <v>-2.5221046528482338E-2</v>
      </c>
      <c r="X170" s="1">
        <f>'Asset Prices'!X170/'Asset Prices'!X171-1</f>
        <v>-4.9049049049049054E-2</v>
      </c>
      <c r="Y170" s="1">
        <f>'Asset Prices'!Y170/'Asset Prices'!Y171-1</f>
        <v>-8.6902545073566095E-3</v>
      </c>
      <c r="Z170" s="1">
        <f>'Asset Prices'!Z170/'Asset Prices'!Z171-1</f>
        <v>-9.1412742382271595E-2</v>
      </c>
      <c r="AA170" s="1">
        <f>'Asset Prices'!AA170/'Asset Prices'!AA171-1</f>
        <v>-2.5869037995149613E-2</v>
      </c>
      <c r="AB170" s="1">
        <f>'Asset Prices'!AB170/'Asset Prices'!AB171-1</f>
        <v>-1.2953367875647603E-2</v>
      </c>
      <c r="AC170" s="1">
        <f>'Asset Prices'!AC170/'Asset Prices'!AC171-1</f>
        <v>-0.10805341966815052</v>
      </c>
      <c r="AD170" s="1">
        <f>'Asset Prices'!AD170/'Asset Prices'!AD171-1</f>
        <v>-1.513253012048188E-2</v>
      </c>
      <c r="AE170" s="1">
        <f>'Asset Prices'!AE170/'Asset Prices'!AE171-1</f>
        <v>5.024509803921573E-2</v>
      </c>
      <c r="AF170" s="1">
        <f>'Asset Prices'!AF170/'Asset Prices'!AF171-1</f>
        <v>-6.4797271693823433E-2</v>
      </c>
      <c r="AG170" s="1">
        <f>'Asset Prices'!AG170/'Asset Prices'!AG171-1</f>
        <v>-2.6755852842809236E-2</v>
      </c>
      <c r="AH170" s="1">
        <f>'Asset Prices'!AH170/'Asset Prices'!AH171-1</f>
        <v>-5.9448592762780028E-2</v>
      </c>
      <c r="AI170" s="1">
        <f>'Asset Prices'!AI170/'Asset Prices'!AI171-1</f>
        <v>-2.2347580820134549E-2</v>
      </c>
      <c r="AJ170" s="1">
        <f>'Asset Prices'!AJ170/'Asset Prices'!AJ171-1</f>
        <v>-1.8181818181818188E-2</v>
      </c>
      <c r="AK170" s="1">
        <f>'Asset Prices'!AK170/'Asset Prices'!AK171-1</f>
        <v>-4.4474393530997358E-2</v>
      </c>
      <c r="AL170" s="1">
        <f>'Asset Prices'!AL170/'Asset Prices'!AL171-1</f>
        <v>-1.6874999999999973E-2</v>
      </c>
      <c r="AM170" s="1">
        <f>'Asset Prices'!AM170/'Asset Prices'!AM171-1</f>
        <v>-4.7114842428419346E-2</v>
      </c>
      <c r="AN170" s="1">
        <f>'Asset Prices'!AN170/'Asset Prices'!AN171-1</f>
        <v>-3.3884049264043203E-2</v>
      </c>
      <c r="AO170" s="1">
        <f>'Asset Prices'!AO170/'Asset Prices'!AO171-1</f>
        <v>-2.9198591840960741E-2</v>
      </c>
      <c r="AP170" s="1">
        <f>'Asset Prices'!AP170/'Asset Prices'!AP171-1</f>
        <v>-4.17998524711094E-3</v>
      </c>
      <c r="AQ170" s="1">
        <f>'Asset Prices'!AQ170/'Asset Prices'!AQ171-1</f>
        <v>-1.9992595335061147E-2</v>
      </c>
      <c r="AR170" s="1">
        <f>'Asset Prices'!AR170/'Asset Prices'!AR171-1</f>
        <v>8.0407397480568576E-3</v>
      </c>
      <c r="AS170" s="1">
        <f>'Asset Prices'!AS170/'Asset Prices'!AS171-1</f>
        <v>-4.3196544276458027E-2</v>
      </c>
      <c r="AT170" s="1">
        <f>'Asset Prices'!AT170/'Asset Prices'!AT171-1</f>
        <v>6.567867969013097E-3</v>
      </c>
      <c r="AU170" s="1">
        <f>'Asset Prices'!AU170/'Asset Prices'!AU171-1</f>
        <v>-4.8628150791880431E-2</v>
      </c>
      <c r="AV170" s="1">
        <f>'Asset Prices'!AV170/'Asset Prices'!AV171-1</f>
        <v>-6.5845369583685809E-3</v>
      </c>
      <c r="AW170" s="1">
        <f>'Asset Prices'!AW170/'Asset Prices'!AW171-1</f>
        <v>8.2862866508832678E-3</v>
      </c>
      <c r="AX170" s="1">
        <f>'Asset Prices'!AX170/'Asset Prices'!AX171-1</f>
        <v>-5.8498896247240695E-2</v>
      </c>
      <c r="AY170" s="1">
        <f>'Asset Prices'!AY170/'Asset Prices'!AY171-1</f>
        <v>-1.9267822736029894E-3</v>
      </c>
      <c r="AZ170" s="1">
        <f>'Asset Prices'!AZ170/'Asset Prices'!AZ171-1</f>
        <v>-6.7753891771682673E-2</v>
      </c>
      <c r="BA170" s="1">
        <f>'Asset Prices'!BA170/'Asset Prices'!BA171-1</f>
        <v>-3.6144578313253017E-2</v>
      </c>
      <c r="BB170" s="1">
        <f>'Asset Prices'!BB170/'Asset Prices'!BB171-1</f>
        <v>1.5339776039271502E-3</v>
      </c>
      <c r="BC170" s="1">
        <f>'Asset Prices'!BC170/'Asset Prices'!BC171-1</f>
        <v>-2.9811866859623781E-2</v>
      </c>
      <c r="BD170" s="1">
        <f>'Asset Prices'!BD170/'Asset Prices'!BD171-1</f>
        <v>6.7506750675068172E-3</v>
      </c>
    </row>
    <row r="171" spans="3:56" x14ac:dyDescent="0.25">
      <c r="C171" s="38">
        <f>'Asset Prices'!C171</f>
        <v>43174</v>
      </c>
      <c r="D171" s="1">
        <f>'Asset Prices'!D171/'Asset Prices'!D172-1</f>
        <v>9.7365406643756813E-3</v>
      </c>
      <c r="E171" s="1">
        <f>'Asset Prices'!E171/'Asset Prices'!E172-1</f>
        <v>-7.5939632798232015E-3</v>
      </c>
      <c r="F171" s="1">
        <f>'Asset Prices'!F171/'Asset Prices'!F172-1</f>
        <v>1.9659038550145835E-2</v>
      </c>
      <c r="G171" s="1">
        <f>'Asset Prices'!G171/'Asset Prices'!G172-1</f>
        <v>4.6038749280643554E-3</v>
      </c>
      <c r="H171" s="1">
        <f>'Asset Prices'!H171/'Asset Prices'!H172-1</f>
        <v>6.38062373852466E-3</v>
      </c>
      <c r="I171" s="1">
        <f>'Asset Prices'!I171/'Asset Prices'!I172-1</f>
        <v>8.3360754634200784E-3</v>
      </c>
      <c r="J171" s="1">
        <f>'Asset Prices'!J171/'Asset Prices'!J172-1</f>
        <v>9.6642929806713962E-3</v>
      </c>
      <c r="K171" s="1">
        <f>'Asset Prices'!K171/'Asset Prices'!K172-1</f>
        <v>1.9628059232147166E-2</v>
      </c>
      <c r="L171" s="1">
        <f>'Asset Prices'!L171/'Asset Prices'!L172-1</f>
        <v>1.2902208201892584E-2</v>
      </c>
      <c r="M171" s="1">
        <f>'Asset Prices'!M171/'Asset Prices'!M172-1</f>
        <v>-2.6474637297468906E-3</v>
      </c>
      <c r="N171" s="1">
        <f>'Asset Prices'!N171/'Asset Prices'!N172-1</f>
        <v>1.8797924524960319E-2</v>
      </c>
      <c r="O171" s="1">
        <f>'Asset Prices'!O171/'Asset Prices'!O172-1</f>
        <v>1.2945308580029957E-2</v>
      </c>
      <c r="P171" s="1">
        <f>'Asset Prices'!P171/'Asset Prices'!P172-1</f>
        <v>-3.5573122529644063E-3</v>
      </c>
      <c r="Q171" s="1">
        <f>'Asset Prices'!Q171/'Asset Prices'!Q172-1</f>
        <v>1.7488254157655314E-2</v>
      </c>
      <c r="R171" s="1">
        <f>'Asset Prices'!R171/'Asset Prices'!R172-1</f>
        <v>1.2056573150938998E-2</v>
      </c>
      <c r="S171" s="1">
        <f>'Asset Prices'!S171/'Asset Prices'!S172-1</f>
        <v>2.5207057976233127E-3</v>
      </c>
      <c r="T171" s="1">
        <f>'Asset Prices'!T171/'Asset Prices'!T172-1</f>
        <v>1.7079296734840321E-2</v>
      </c>
      <c r="U171" s="1">
        <f>'Asset Prices'!U171/'Asset Prices'!U172-1</f>
        <v>-2.4145131819368393E-2</v>
      </c>
      <c r="V171" s="1">
        <f>'Asset Prices'!V171/'Asset Prices'!V172-1</f>
        <v>3.9209001022844081E-3</v>
      </c>
      <c r="W171" s="1">
        <f>'Asset Prices'!W171/'Asset Prices'!W172-1</f>
        <v>-5.8156996587030774E-2</v>
      </c>
      <c r="X171" s="1">
        <f>'Asset Prices'!X171/'Asset Prices'!X172-1</f>
        <v>2.6897378790474491E-2</v>
      </c>
      <c r="Y171" s="1">
        <f>'Asset Prices'!Y171/'Asset Prices'!Y172-1</f>
        <v>5.2711827494256847E-2</v>
      </c>
      <c r="Z171" s="1">
        <f>'Asset Prices'!Z171/'Asset Prices'!Z172-1</f>
        <v>-2.695417789757415E-2</v>
      </c>
      <c r="AA171" s="1">
        <f>'Asset Prices'!AA171/'Asset Prices'!AA172-1</f>
        <v>-1.3556618819776767E-2</v>
      </c>
      <c r="AB171" s="1">
        <f>'Asset Prices'!AB171/'Asset Prices'!AB172-1</f>
        <v>4.0431266846361114E-2</v>
      </c>
      <c r="AC171" s="1">
        <f>'Asset Prices'!AC171/'Asset Prices'!AC172-1</f>
        <v>-1.0412494993992771E-2</v>
      </c>
      <c r="AD171" s="1">
        <f>'Asset Prices'!AD171/'Asset Prices'!AD172-1</f>
        <v>2.4893806183937439E-2</v>
      </c>
      <c r="AE171" s="1">
        <f>'Asset Prices'!AE171/'Asset Prices'!AE172-1</f>
        <v>-5.6529112492931244E-4</v>
      </c>
      <c r="AF171" s="1">
        <f>'Asset Prices'!AF171/'Asset Prices'!AF172-1</f>
        <v>-3.2979113228288726E-2</v>
      </c>
      <c r="AG171" s="1">
        <f>'Asset Prices'!AG171/'Asset Prices'!AG172-1</f>
        <v>1.8739352640545048E-2</v>
      </c>
      <c r="AH171" s="1">
        <f>'Asset Prices'!AH171/'Asset Prices'!AH172-1</f>
        <v>0.10434506818902634</v>
      </c>
      <c r="AI171" s="1">
        <f>'Asset Prices'!AI171/'Asset Prices'!AI172-1</f>
        <v>-0.10313290523448138</v>
      </c>
      <c r="AJ171" s="1">
        <f>'Asset Prices'!AJ171/'Asset Prices'!AJ172-1</f>
        <v>3.0395136778116338E-3</v>
      </c>
      <c r="AK171" s="1">
        <f>'Asset Prices'!AK171/'Asset Prices'!AK172-1</f>
        <v>2.5333947489636133E-2</v>
      </c>
      <c r="AL171" s="1">
        <f>'Asset Prices'!AL171/'Asset Prices'!AL172-1</f>
        <v>7.4546675621222303E-2</v>
      </c>
      <c r="AM171" s="1">
        <f>'Asset Prices'!AM171/'Asset Prices'!AM172-1</f>
        <v>2.1765571986428478E-2</v>
      </c>
      <c r="AN171" s="1">
        <f>'Asset Prices'!AN171/'Asset Prices'!AN172-1</f>
        <v>1.8977655341291699E-2</v>
      </c>
      <c r="AO171" s="1">
        <f>'Asset Prices'!AO171/'Asset Prices'!AO172-1</f>
        <v>-1.4690879412364799E-2</v>
      </c>
      <c r="AP171" s="1">
        <f>'Asset Prices'!AP171/'Asset Prices'!AP172-1</f>
        <v>-1.5969029760464437E-2</v>
      </c>
      <c r="AQ171" s="1">
        <f>'Asset Prices'!AQ171/'Asset Prices'!AQ172-1</f>
        <v>1.4841254931429848E-2</v>
      </c>
      <c r="AR171" s="1">
        <f>'Asset Prices'!AR171/'Asset Prices'!AR172-1</f>
        <v>-9.2936802973977439E-3</v>
      </c>
      <c r="AS171" s="1">
        <f>'Asset Prices'!AS171/'Asset Prices'!AS172-1</f>
        <v>-8.0933111164007698E-3</v>
      </c>
      <c r="AT171" s="1">
        <f>'Asset Prices'!AT171/'Asset Prices'!AT172-1</f>
        <v>-1.8187830687830586E-2</v>
      </c>
      <c r="AU171" s="1">
        <f>'Asset Prices'!AU171/'Asset Prices'!AU172-1</f>
        <v>3.1775868242034377E-3</v>
      </c>
      <c r="AV171" s="1">
        <f>'Asset Prices'!AV171/'Asset Prices'!AV172-1</f>
        <v>3.1099430573806375E-2</v>
      </c>
      <c r="AW171" s="1">
        <f>'Asset Prices'!AW171/'Asset Prices'!AW172-1</f>
        <v>4.3899762209620441E-3</v>
      </c>
      <c r="AX171" s="1">
        <f>'Asset Prices'!AX171/'Asset Prices'!AX172-1</f>
        <v>2.0270270270270174E-2</v>
      </c>
      <c r="AY171" s="1">
        <f>'Asset Prices'!AY171/'Asset Prices'!AY172-1</f>
        <v>-1.5180265654648917E-2</v>
      </c>
      <c r="AZ171" s="1">
        <f>'Asset Prices'!AZ171/'Asset Prices'!AZ172-1</f>
        <v>2.1660102999091047E-2</v>
      </c>
      <c r="BA171" s="1">
        <f>'Asset Prices'!BA171/'Asset Prices'!BA172-1</f>
        <v>-0.1002710027100272</v>
      </c>
      <c r="BB171" s="1">
        <f>'Asset Prices'!BB171/'Asset Prices'!BB172-1</f>
        <v>1.5736989716422345E-2</v>
      </c>
      <c r="BC171" s="1">
        <f>'Asset Prices'!BC171/'Asset Prices'!BC172-1</f>
        <v>-7.1839080459770166E-3</v>
      </c>
      <c r="BD171" s="1">
        <f>'Asset Prices'!BD171/'Asset Prices'!BD172-1</f>
        <v>5.8850158442733669E-3</v>
      </c>
    </row>
    <row r="172" spans="3:56" x14ac:dyDescent="0.25">
      <c r="C172" s="38">
        <f>'Asset Prices'!C172</f>
        <v>43167</v>
      </c>
      <c r="D172" s="1">
        <f>'Asset Prices'!D172/'Asset Prices'!D173-1</f>
        <v>1.5116279069767424E-2</v>
      </c>
      <c r="E172" s="1">
        <f>'Asset Prices'!E172/'Asset Prices'!E173-1</f>
        <v>1.4234181534561907E-2</v>
      </c>
      <c r="F172" s="1">
        <f>'Asset Prices'!F172/'Asset Prices'!F173-1</f>
        <v>-1.8244873341375034E-2</v>
      </c>
      <c r="G172" s="1">
        <f>'Asset Prices'!G172/'Asset Prices'!G173-1</f>
        <v>4.8682357674512122E-2</v>
      </c>
      <c r="H172" s="1">
        <f>'Asset Prices'!H172/'Asset Prices'!H173-1</f>
        <v>2.2365705917593015E-2</v>
      </c>
      <c r="I172" s="1">
        <f>'Asset Prices'!I172/'Asset Prices'!I173-1</f>
        <v>3.6376037285438256E-2</v>
      </c>
      <c r="J172" s="1">
        <f>'Asset Prices'!J172/'Asset Prices'!J173-1</f>
        <v>1.1085714285714365E-2</v>
      </c>
      <c r="K172" s="1">
        <f>'Asset Prices'!K172/'Asset Prices'!K173-1</f>
        <v>3.9110783755733181E-2</v>
      </c>
      <c r="L172" s="1">
        <f>'Asset Prices'!L172/'Asset Prices'!L173-1</f>
        <v>9.1635386893488047E-2</v>
      </c>
      <c r="M172" s="1">
        <f>'Asset Prices'!M172/'Asset Prices'!M173-1</f>
        <v>1.7016693591814791E-2</v>
      </c>
      <c r="N172" s="1">
        <f>'Asset Prices'!N172/'Asset Prices'!N173-1</f>
        <v>5.4106271175367038E-2</v>
      </c>
      <c r="O172" s="1">
        <f>'Asset Prices'!O172/'Asset Prices'!O173-1</f>
        <v>1.891615541922298E-2</v>
      </c>
      <c r="P172" s="1">
        <f>'Asset Prices'!P172/'Asset Prices'!P173-1</f>
        <v>5.441074322759909E-2</v>
      </c>
      <c r="Q172" s="1">
        <f>'Asset Prices'!Q172/'Asset Prices'!Q173-1</f>
        <v>9.2160456118916656E-2</v>
      </c>
      <c r="R172" s="1">
        <f>'Asset Prices'!R172/'Asset Prices'!R173-1</f>
        <v>-9.2656937688206931E-4</v>
      </c>
      <c r="S172" s="1">
        <f>'Asset Prices'!S172/'Asset Prices'!S173-1</f>
        <v>-1.6643059490084933E-2</v>
      </c>
      <c r="T172" s="1">
        <f>'Asset Prices'!T172/'Asset Prices'!T173-1</f>
        <v>1.3159808055838385E-2</v>
      </c>
      <c r="U172" s="1">
        <f>'Asset Prices'!U172/'Asset Prices'!U173-1</f>
        <v>8.1439661256175189E-2</v>
      </c>
      <c r="V172" s="1">
        <f>'Asset Prices'!V172/'Asset Prices'!V173-1</f>
        <v>2.2663877266387633E-2</v>
      </c>
      <c r="W172" s="1">
        <f>'Asset Prices'!W172/'Asset Prices'!W173-1</f>
        <v>-2.7224435590969431E-2</v>
      </c>
      <c r="X172" s="1">
        <f>'Asset Prices'!X172/'Asset Prices'!X173-1</f>
        <v>6.2058265816238301E-3</v>
      </c>
      <c r="Y172" s="1">
        <f>'Asset Prices'!Y172/'Asset Prices'!Y173-1</f>
        <v>4.0335372759812138E-2</v>
      </c>
      <c r="Z172" s="1">
        <f>'Asset Prices'!Z172/'Asset Prices'!Z173-1</f>
        <v>-8.6206896551724088E-2</v>
      </c>
      <c r="AA172" s="1">
        <f>'Asset Prices'!AA172/'Asset Prices'!AA173-1</f>
        <v>0.12164579606440085</v>
      </c>
      <c r="AB172" s="1">
        <f>'Asset Prices'!AB172/'Asset Prices'!AB173-1</f>
        <v>7.8488372093023173E-2</v>
      </c>
      <c r="AC172" s="1">
        <f>'Asset Prices'!AC172/'Asset Prices'!AC173-1</f>
        <v>-5.5754679410593422E-3</v>
      </c>
      <c r="AD172" s="1">
        <f>'Asset Prices'!AD172/'Asset Prices'!AD173-1</f>
        <v>2.2731865023237097E-2</v>
      </c>
      <c r="AE172" s="1">
        <f>'Asset Prices'!AE172/'Asset Prices'!AE173-1</f>
        <v>2.2247905229702436E-2</v>
      </c>
      <c r="AF172" s="1">
        <f>'Asset Prices'!AF172/'Asset Prices'!AF173-1</f>
        <v>3.5280728376327675E-2</v>
      </c>
      <c r="AG172" s="1">
        <f>'Asset Prices'!AG172/'Asset Prices'!AG173-1</f>
        <v>-1.1784511784511675E-2</v>
      </c>
      <c r="AH172" s="1">
        <f>'Asset Prices'!AH172/'Asset Prices'!AH173-1</f>
        <v>-2.0198881292728399E-2</v>
      </c>
      <c r="AI172" s="1">
        <f>'Asset Prices'!AI172/'Asset Prices'!AI173-1</f>
        <v>5.4370127205580543E-2</v>
      </c>
      <c r="AJ172" s="1">
        <f>'Asset Prices'!AJ172/'Asset Prices'!AJ173-1</f>
        <v>0.11904761904761907</v>
      </c>
      <c r="AK172" s="1">
        <f>'Asset Prices'!AK172/'Asset Prices'!AK173-1</f>
        <v>2.9886148007590263E-2</v>
      </c>
      <c r="AL172" s="1">
        <f>'Asset Prices'!AL172/'Asset Prices'!AL173-1</f>
        <v>-2.0072392234287584E-2</v>
      </c>
      <c r="AM172" s="1">
        <f>'Asset Prices'!AM172/'Asset Prices'!AM173-1</f>
        <v>1.5603666861712551E-2</v>
      </c>
      <c r="AN172" s="1">
        <f>'Asset Prices'!AN172/'Asset Prices'!AN173-1</f>
        <v>2.5488103459099687E-2</v>
      </c>
      <c r="AO172" s="1">
        <f>'Asset Prices'!AO172/'Asset Prices'!AO173-1</f>
        <v>2.1893244370308595E-2</v>
      </c>
      <c r="AP172" s="1">
        <f>'Asset Prices'!AP172/'Asset Prices'!AP173-1</f>
        <v>-2.1728633510382789E-3</v>
      </c>
      <c r="AQ172" s="1">
        <f>'Asset Prices'!AQ172/'Asset Prices'!AQ173-1</f>
        <v>0.13690730457069611</v>
      </c>
      <c r="AR172" s="1">
        <f>'Asset Prices'!AR172/'Asset Prices'!AR173-1</f>
        <v>-1.18079244292838E-2</v>
      </c>
      <c r="AS172" s="1">
        <f>'Asset Prices'!AS172/'Asset Prices'!AS173-1</f>
        <v>3.2440403047431898E-2</v>
      </c>
      <c r="AT172" s="1">
        <f>'Asset Prices'!AT172/'Asset Prices'!AT173-1</f>
        <v>1.7154389505549927E-2</v>
      </c>
      <c r="AU172" s="1">
        <f>'Asset Prices'!AU172/'Asset Prices'!AU173-1</f>
        <v>2.4390243902439046E-2</v>
      </c>
      <c r="AV172" s="1">
        <f>'Asset Prices'!AV172/'Asset Prices'!AV173-1</f>
        <v>-0.12268229416850807</v>
      </c>
      <c r="AW172" s="1">
        <f>'Asset Prices'!AW172/'Asset Prices'!AW173-1</f>
        <v>0.10712839206156333</v>
      </c>
      <c r="AX172" s="1">
        <f>'Asset Prices'!AX172/'Asset Prices'!AX173-1</f>
        <v>6.9879518072289093E-2</v>
      </c>
      <c r="AY172" s="1">
        <f>'Asset Prices'!AY172/'Asset Prices'!AY173-1</f>
        <v>2.3300970873786353E-2</v>
      </c>
      <c r="AZ172" s="1">
        <f>'Asset Prices'!AZ172/'Asset Prices'!AZ173-1</f>
        <v>1.5149219815180359E-4</v>
      </c>
      <c r="BA172" s="1">
        <f>'Asset Prices'!BA172/'Asset Prices'!BA173-1</f>
        <v>3.2167832167832255E-2</v>
      </c>
      <c r="BB172" s="1">
        <f>'Asset Prices'!BB172/'Asset Prices'!BB173-1</f>
        <v>1.1983601387574927E-2</v>
      </c>
      <c r="BC172" s="1">
        <f>'Asset Prices'!BC172/'Asset Prices'!BC173-1</f>
        <v>6.2919975565058017E-2</v>
      </c>
      <c r="BD172" s="1">
        <f>'Asset Prices'!BD172/'Asset Prices'!BD173-1</f>
        <v>3.1158828334694855E-2</v>
      </c>
    </row>
    <row r="173" spans="3:56" x14ac:dyDescent="0.25">
      <c r="C173" s="38">
        <f>'Asset Prices'!C173</f>
        <v>43160</v>
      </c>
      <c r="D173" s="1">
        <f>'Asset Prices'!D173/'Asset Prices'!D174-1</f>
        <v>1.6614055490959956E-4</v>
      </c>
      <c r="E173" s="1">
        <f>'Asset Prices'!E173/'Asset Prices'!E174-1</f>
        <v>-2.5370581527936142E-2</v>
      </c>
      <c r="F173" s="1">
        <f>'Asset Prices'!F173/'Asset Prices'!F174-1</f>
        <v>-1.2066140324743069E-2</v>
      </c>
      <c r="G173" s="1">
        <f>'Asset Prices'!G173/'Asset Prices'!G174-1</f>
        <v>2.4198427102237741E-3</v>
      </c>
      <c r="H173" s="1">
        <f>'Asset Prices'!H173/'Asset Prices'!H174-1</f>
        <v>-5.4324562507868657E-2</v>
      </c>
      <c r="I173" s="1">
        <f>'Asset Prices'!I173/'Asset Prices'!I174-1</f>
        <v>-1.7040058103804712E-2</v>
      </c>
      <c r="J173" s="1">
        <f>'Asset Prices'!J173/'Asset Prices'!J174-1</f>
        <v>1.449275362318847E-2</v>
      </c>
      <c r="K173" s="1">
        <f>'Asset Prices'!K173/'Asset Prices'!K174-1</f>
        <v>5.4600293535487232E-3</v>
      </c>
      <c r="L173" s="1">
        <f>'Asset Prices'!L173/'Asset Prices'!L174-1</f>
        <v>4.4042568490688216E-2</v>
      </c>
      <c r="M173" s="1">
        <f>'Asset Prices'!M173/'Asset Prices'!M174-1</f>
        <v>1.2209745993676968E-2</v>
      </c>
      <c r="N173" s="1">
        <f>'Asset Prices'!N173/'Asset Prices'!N174-1</f>
        <v>-3.4678799891882162E-2</v>
      </c>
      <c r="O173" s="1">
        <f>'Asset Prices'!O173/'Asset Prices'!O174-1</f>
        <v>7.5203461419595108E-3</v>
      </c>
      <c r="P173" s="1">
        <f>'Asset Prices'!P173/'Asset Prices'!P174-1</f>
        <v>1.3326451128525152E-2</v>
      </c>
      <c r="Q173" s="1">
        <f>'Asset Prices'!Q173/'Asset Prices'!Q174-1</f>
        <v>-5.4413123844731959E-2</v>
      </c>
      <c r="R173" s="1">
        <f>'Asset Prices'!R173/'Asset Prices'!R174-1</f>
        <v>-1.0089429030038954E-2</v>
      </c>
      <c r="S173" s="1">
        <f>'Asset Prices'!S173/'Asset Prices'!S174-1</f>
        <v>-4.3360433604336057E-2</v>
      </c>
      <c r="T173" s="1">
        <f>'Asset Prices'!T173/'Asset Prices'!T174-1</f>
        <v>-2.1763869132290226E-2</v>
      </c>
      <c r="U173" s="1">
        <f>'Asset Prices'!U173/'Asset Prices'!U174-1</f>
        <v>-2.8786840301576522E-2</v>
      </c>
      <c r="V173" s="1">
        <f>'Asset Prices'!V173/'Asset Prices'!V174-1</f>
        <v>-1.8312510696560036E-2</v>
      </c>
      <c r="W173" s="1">
        <f>'Asset Prices'!W173/'Asset Prices'!W174-1</f>
        <v>5.6249123299200399E-2</v>
      </c>
      <c r="X173" s="1">
        <f>'Asset Prices'!X173/'Asset Prices'!X174-1</f>
        <v>1.2037683182135384E-2</v>
      </c>
      <c r="Y173" s="1">
        <f>'Asset Prices'!Y173/'Asset Prices'!Y174-1</f>
        <v>-5.6648140222514631E-2</v>
      </c>
      <c r="Z173" s="1">
        <f>'Asset Prices'!Z173/'Asset Prices'!Z174-1</f>
        <v>9.7297297297297414E-2</v>
      </c>
      <c r="AA173" s="1">
        <f>'Asset Prices'!AA173/'Asset Prices'!AA174-1</f>
        <v>8.1237911025144882E-2</v>
      </c>
      <c r="AB173" s="1">
        <f>'Asset Prices'!AB173/'Asset Prices'!AB174-1</f>
        <v>-2.2727272727272707E-2</v>
      </c>
      <c r="AC173" s="1">
        <f>'Asset Prices'!AC173/'Asset Prices'!AC174-1</f>
        <v>-0.18947708198837965</v>
      </c>
      <c r="AD173" s="1">
        <f>'Asset Prices'!AD173/'Asset Prices'!AD174-1</f>
        <v>5.7930739632321426E-2</v>
      </c>
      <c r="AE173" s="1">
        <f>'Asset Prices'!AE173/'Asset Prices'!AE174-1</f>
        <v>-2.2960383927731254E-2</v>
      </c>
      <c r="AF173" s="1">
        <f>'Asset Prices'!AF173/'Asset Prices'!AF174-1</f>
        <v>-3.9708561020036393E-2</v>
      </c>
      <c r="AG173" s="1">
        <f>'Asset Prices'!AG173/'Asset Prices'!AG174-1</f>
        <v>2.6793431287813307E-2</v>
      </c>
      <c r="AH173" s="1">
        <f>'Asset Prices'!AH173/'Asset Prices'!AH174-1</f>
        <v>-2.0991785822938813E-2</v>
      </c>
      <c r="AI173" s="1">
        <f>'Asset Prices'!AI173/'Asset Prices'!AI174-1</f>
        <v>-2.7727907440654342E-2</v>
      </c>
      <c r="AJ173" s="1">
        <f>'Asset Prices'!AJ173/'Asset Prices'!AJ174-1</f>
        <v>2.707423580786017E-2</v>
      </c>
      <c r="AK173" s="1">
        <f>'Asset Prices'!AK173/'Asset Prices'!AK174-1</f>
        <v>1.1031175059951881E-2</v>
      </c>
      <c r="AL173" s="1">
        <f>'Asset Prices'!AL173/'Asset Prices'!AL174-1</f>
        <v>1.7408771342483975E-2</v>
      </c>
      <c r="AM173" s="1">
        <f>'Asset Prices'!AM173/'Asset Prices'!AM174-1</f>
        <v>4.1128084606345539E-3</v>
      </c>
      <c r="AN173" s="1">
        <f>'Asset Prices'!AN173/'Asset Prices'!AN174-1</f>
        <v>2.0759939607446487E-3</v>
      </c>
      <c r="AO173" s="1">
        <f>'Asset Prices'!AO173/'Asset Prices'!AO174-1</f>
        <v>1.8800919156047868E-3</v>
      </c>
      <c r="AP173" s="1">
        <f>'Asset Prices'!AP173/'Asset Prices'!AP174-1</f>
        <v>8.4293193717277504E-2</v>
      </c>
      <c r="AQ173" s="1">
        <f>'Asset Prices'!AQ173/'Asset Prices'!AQ174-1</f>
        <v>4.6132389228623616E-3</v>
      </c>
      <c r="AR173" s="1">
        <f>'Asset Prices'!AR173/'Asset Prices'!AR174-1</f>
        <v>1.2755779962795755E-2</v>
      </c>
      <c r="AS173" s="1">
        <f>'Asset Prices'!AS173/'Asset Prices'!AS174-1</f>
        <v>-1.429263565891481E-2</v>
      </c>
      <c r="AT173" s="1">
        <f>'Asset Prices'!AT173/'Asset Prices'!AT174-1</f>
        <v>1.0193679918450549E-2</v>
      </c>
      <c r="AU173" s="1">
        <f>'Asset Prices'!AU173/'Asset Prices'!AU174-1</f>
        <v>-9.1608647856356029E-4</v>
      </c>
      <c r="AV173" s="1">
        <f>'Asset Prices'!AV173/'Asset Prices'!AV174-1</f>
        <v>-2.7196261682242984E-2</v>
      </c>
      <c r="AW173" s="1">
        <f>'Asset Prices'!AW173/'Asset Prices'!AW174-1</f>
        <v>2.7572573093330721E-2</v>
      </c>
      <c r="AX173" s="1">
        <f>'Asset Prices'!AX173/'Asset Prices'!AX174-1</f>
        <v>1.5911872705018482E-2</v>
      </c>
      <c r="AY173" s="1">
        <f>'Asset Prices'!AY173/'Asset Prices'!AY174-1</f>
        <v>-4.2750929368029711E-2</v>
      </c>
      <c r="AZ173" s="1">
        <f>'Asset Prices'!AZ173/'Asset Prices'!AZ174-1</f>
        <v>-2.2942569567791726E-2</v>
      </c>
      <c r="BA173" s="1">
        <f>'Asset Prices'!BA173/'Asset Prices'!BA174-1</f>
        <v>-2.3224043715846965E-2</v>
      </c>
      <c r="BB173" s="1">
        <f>'Asset Prices'!BB173/'Asset Prices'!BB174-1</f>
        <v>-3.2346658529142536E-2</v>
      </c>
      <c r="BC173" s="1">
        <f>'Asset Prices'!BC173/'Asset Prices'!BC174-1</f>
        <v>-1.8879232843871829E-2</v>
      </c>
      <c r="BD173" s="1">
        <f>'Asset Prices'!BD173/'Asset Prices'!BD174-1</f>
        <v>-2.4476320582878075E-2</v>
      </c>
    </row>
    <row r="174" spans="3:56" x14ac:dyDescent="0.25">
      <c r="C174" s="38">
        <f>'Asset Prices'!C174</f>
        <v>43153</v>
      </c>
      <c r="D174" s="1">
        <f>'Asset Prices'!D174/'Asset Prices'!D175-1</f>
        <v>-1.5538109257442034E-2</v>
      </c>
      <c r="E174" s="1">
        <f>'Asset Prices'!E174/'Asset Prices'!E175-1</f>
        <v>5.7045065601823985E-4</v>
      </c>
      <c r="F174" s="1">
        <f>'Asset Prices'!F174/'Asset Prices'!F175-1</f>
        <v>-1.6986381607849044E-2</v>
      </c>
      <c r="G174" s="1">
        <f>'Asset Prices'!G174/'Asset Prices'!G175-1</f>
        <v>-2.0734597156398027E-2</v>
      </c>
      <c r="H174" s="1">
        <f>'Asset Prices'!H174/'Asset Prices'!H175-1</f>
        <v>-7.0008751093885158E-3</v>
      </c>
      <c r="I174" s="1">
        <f>'Asset Prices'!I174/'Asset Prices'!I175-1</f>
        <v>-5.3900866859302177E-3</v>
      </c>
      <c r="J174" s="1">
        <f>'Asset Prices'!J174/'Asset Prices'!J175-1</f>
        <v>-2.8325336724667194E-3</v>
      </c>
      <c r="K174" s="1">
        <f>'Asset Prices'!K174/'Asset Prices'!K175-1</f>
        <v>1.6131239054290702E-2</v>
      </c>
      <c r="L174" s="1">
        <f>'Asset Prices'!L174/'Asset Prices'!L175-1</f>
        <v>-7.5998144646234334E-3</v>
      </c>
      <c r="M174" s="1">
        <f>'Asset Prices'!M174/'Asset Prices'!M175-1</f>
        <v>-1.0036693287286735E-2</v>
      </c>
      <c r="N174" s="1">
        <f>'Asset Prices'!N174/'Asset Prices'!N175-1</f>
        <v>1.698797830230192E-2</v>
      </c>
      <c r="O174" s="1">
        <f>'Asset Prices'!O174/'Asset Prices'!O175-1</f>
        <v>-3.6908423454707906E-2</v>
      </c>
      <c r="P174" s="1">
        <f>'Asset Prices'!P174/'Asset Prices'!P175-1</f>
        <v>-1.7065633503989597E-2</v>
      </c>
      <c r="Q174" s="1">
        <f>'Asset Prices'!Q174/'Asset Prices'!Q175-1</f>
        <v>2.7337104877952267E-2</v>
      </c>
      <c r="R174" s="1">
        <f>'Asset Prices'!R174/'Asset Prices'!R175-1</f>
        <v>-1.3125141434713661E-2</v>
      </c>
      <c r="S174" s="1">
        <f>'Asset Prices'!S174/'Asset Prices'!S175-1</f>
        <v>-5.0803858520900413E-2</v>
      </c>
      <c r="T174" s="1">
        <f>'Asset Prices'!T174/'Asset Prices'!T175-1</f>
        <v>-4.8835727935451212E-3</v>
      </c>
      <c r="U174" s="1">
        <f>'Asset Prices'!U174/'Asset Prices'!U175-1</f>
        <v>-2.5253874933190867E-2</v>
      </c>
      <c r="V174" s="1">
        <f>'Asset Prices'!V174/'Asset Prices'!V175-1</f>
        <v>-3.2615894039735083E-2</v>
      </c>
      <c r="W174" s="1">
        <f>'Asset Prices'!W174/'Asset Prices'!W175-1</f>
        <v>-2.7686852154937047E-2</v>
      </c>
      <c r="X174" s="1">
        <f>'Asset Prices'!X174/'Asset Prices'!X175-1</f>
        <v>-1.4781711928497754E-2</v>
      </c>
      <c r="Y174" s="1">
        <f>'Asset Prices'!Y174/'Asset Prices'!Y175-1</f>
        <v>7.3212747489239671E-3</v>
      </c>
      <c r="Z174" s="1">
        <f>'Asset Prices'!Z174/'Asset Prices'!Z175-1</f>
        <v>-4.6391752577319534E-2</v>
      </c>
      <c r="AA174" s="1">
        <f>'Asset Prices'!AA174/'Asset Prices'!AA175-1</f>
        <v>5.8365758754863606E-3</v>
      </c>
      <c r="AB174" s="1">
        <f>'Asset Prices'!AB174/'Asset Prices'!AB175-1</f>
        <v>-1.4005602240896309E-2</v>
      </c>
      <c r="AC174" s="1">
        <f>'Asset Prices'!AC174/'Asset Prices'!AC175-1</f>
        <v>-4.3827160493827177E-2</v>
      </c>
      <c r="AD174" s="1">
        <f>'Asset Prices'!AD174/'Asset Prices'!AD175-1</f>
        <v>1.6956521739130537E-2</v>
      </c>
      <c r="AE174" s="1">
        <f>'Asset Prices'!AE174/'Asset Prices'!AE175-1</f>
        <v>-6.1882062146892736E-2</v>
      </c>
      <c r="AF174" s="1">
        <f>'Asset Prices'!AF174/'Asset Prices'!AF175-1</f>
        <v>6.1484918793503374E-2</v>
      </c>
      <c r="AG174" s="1">
        <f>'Asset Prices'!AG174/'Asset Prices'!AG175-1</f>
        <v>1.6695957820738183E-2</v>
      </c>
      <c r="AH174" s="1">
        <f>'Asset Prices'!AH174/'Asset Prices'!AH175-1</f>
        <v>-2.085195114685745E-2</v>
      </c>
      <c r="AI174" s="1">
        <f>'Asset Prices'!AI174/'Asset Prices'!AI175-1</f>
        <v>-0.10737179487179482</v>
      </c>
      <c r="AJ174" s="1">
        <f>'Asset Prices'!AJ174/'Asset Prices'!AJ175-1</f>
        <v>2.7827648114901127E-2</v>
      </c>
      <c r="AK174" s="1">
        <f>'Asset Prices'!AK174/'Asset Prices'!AK175-1</f>
        <v>2.7093596059113434E-2</v>
      </c>
      <c r="AL174" s="1">
        <f>'Asset Prices'!AL174/'Asset Prices'!AL175-1</f>
        <v>-5.824596438675389E-3</v>
      </c>
      <c r="AM174" s="1">
        <f>'Asset Prices'!AM174/'Asset Prices'!AM175-1</f>
        <v>-1.8139862829305686E-2</v>
      </c>
      <c r="AN174" s="1">
        <f>'Asset Prices'!AN174/'Asset Prices'!AN175-1</f>
        <v>2.6491737101048685E-3</v>
      </c>
      <c r="AO174" s="1">
        <f>'Asset Prices'!AO174/'Asset Prices'!AO175-1</f>
        <v>-3.7595496582227717E-2</v>
      </c>
      <c r="AP174" s="1">
        <f>'Asset Prices'!AP174/'Asset Prices'!AP175-1</f>
        <v>-2.0261605539881988E-2</v>
      </c>
      <c r="AQ174" s="1">
        <f>'Asset Prices'!AQ174/'Asset Prices'!AQ175-1</f>
        <v>-3.2589517384535527E-2</v>
      </c>
      <c r="AR174" s="1">
        <f>'Asset Prices'!AR174/'Asset Prices'!AR175-1</f>
        <v>-4.516620147170769E-2</v>
      </c>
      <c r="AS174" s="1">
        <f>'Asset Prices'!AS174/'Asset Prices'!AS175-1</f>
        <v>-8.8835534213684841E-3</v>
      </c>
      <c r="AT174" s="1">
        <f>'Asset Prices'!AT174/'Asset Prices'!AT175-1</f>
        <v>-8.5901970692268126E-3</v>
      </c>
      <c r="AU174" s="1">
        <f>'Asset Prices'!AU174/'Asset Prices'!AU175-1</f>
        <v>-1.8830614354411024E-2</v>
      </c>
      <c r="AV174" s="1">
        <f>'Asset Prices'!AV174/'Asset Prices'!AV175-1</f>
        <v>-1.446071658837611E-2</v>
      </c>
      <c r="AW174" s="1">
        <f>'Asset Prices'!AW174/'Asset Prices'!AW175-1</f>
        <v>1.1577728660141062E-2</v>
      </c>
      <c r="AX174" s="1">
        <f>'Asset Prices'!AX174/'Asset Prices'!AX175-1</f>
        <v>-1.6255267910897042E-2</v>
      </c>
      <c r="AY174" s="1">
        <f>'Asset Prices'!AY174/'Asset Prices'!AY175-1</f>
        <v>-1.2844036697247763E-2</v>
      </c>
      <c r="AZ174" s="1">
        <f>'Asset Prices'!AZ174/'Asset Prices'!AZ175-1</f>
        <v>-2.0443671161374466E-2</v>
      </c>
      <c r="BA174" s="1">
        <f>'Asset Prices'!BA174/'Asset Prices'!BA175-1</f>
        <v>1.2448132780083165E-2</v>
      </c>
      <c r="BB174" s="1">
        <f>'Asset Prices'!BB174/'Asset Prices'!BB175-1</f>
        <v>-3.0616772666765213E-2</v>
      </c>
      <c r="BC174" s="1">
        <f>'Asset Prices'!BC174/'Asset Prices'!BC175-1</f>
        <v>-3.8805970149253799E-3</v>
      </c>
      <c r="BD174" s="1">
        <f>'Asset Prices'!BD174/'Asset Prices'!BD175-1</f>
        <v>-2.4758521150216373E-2</v>
      </c>
    </row>
    <row r="175" spans="3:56" x14ac:dyDescent="0.25">
      <c r="C175" s="38">
        <f>'Asset Prices'!C175</f>
        <v>43146</v>
      </c>
      <c r="D175" s="1">
        <f>'Asset Prices'!D175/'Asset Prices'!D176-1</f>
        <v>7.3950465483927585E-2</v>
      </c>
      <c r="E175" s="1">
        <f>'Asset Prices'!E175/'Asset Prices'!E176-1</f>
        <v>3.7789837197829357E-2</v>
      </c>
      <c r="F175" s="1">
        <f>'Asset Prices'!F175/'Asset Prices'!F176-1</f>
        <v>9.2814850376060187E-2</v>
      </c>
      <c r="G175" s="1">
        <f>'Asset Prices'!G175/'Asset Prices'!G176-1</f>
        <v>8.1127241673782935E-2</v>
      </c>
      <c r="H175" s="1">
        <f>'Asset Prices'!H175/'Asset Prices'!H176-1</f>
        <v>9.5828481402835619E-2</v>
      </c>
      <c r="I175" s="1">
        <f>'Asset Prices'!I175/'Asset Prices'!I176-1</f>
        <v>4.8840191164471358E-2</v>
      </c>
      <c r="J175" s="1">
        <f>'Asset Prices'!J175/'Asset Prices'!J176-1</f>
        <v>0.11498549790525292</v>
      </c>
      <c r="K175" s="1">
        <f>'Asset Prices'!K175/'Asset Prices'!K176-1</f>
        <v>8.2384302110329433E-2</v>
      </c>
      <c r="L175" s="1">
        <f>'Asset Prices'!L175/'Asset Prices'!L176-1</f>
        <v>0.12063174730107962</v>
      </c>
      <c r="M175" s="1">
        <f>'Asset Prices'!M175/'Asset Prices'!M176-1</f>
        <v>8.9989413010233887E-2</v>
      </c>
      <c r="N175" s="1">
        <f>'Asset Prices'!N175/'Asset Prices'!N176-1</f>
        <v>8.3009992954321987E-2</v>
      </c>
      <c r="O175" s="1">
        <f>'Asset Prices'!O175/'Asset Prices'!O176-1</f>
        <v>3.2155657962109618E-2</v>
      </c>
      <c r="P175" s="1">
        <f>'Asset Prices'!P175/'Asset Prices'!P176-1</f>
        <v>3.8710295597182975E-2</v>
      </c>
      <c r="Q175" s="1">
        <f>'Asset Prices'!Q175/'Asset Prices'!Q176-1</f>
        <v>0.14525848398350782</v>
      </c>
      <c r="R175" s="1">
        <f>'Asset Prices'!R175/'Asset Prices'!R176-1</f>
        <v>4.1234684260131882E-2</v>
      </c>
      <c r="S175" s="1">
        <f>'Asset Prices'!S175/'Asset Prices'!S176-1</f>
        <v>5.35230352303524E-2</v>
      </c>
      <c r="T175" s="1">
        <f>'Asset Prices'!T175/'Asset Prices'!T176-1</f>
        <v>5.5348072901105549E-2</v>
      </c>
      <c r="U175" s="1">
        <f>'Asset Prices'!U175/'Asset Prices'!U176-1</f>
        <v>5.4232990562051109E-2</v>
      </c>
      <c r="V175" s="1">
        <f>'Asset Prices'!V175/'Asset Prices'!V176-1</f>
        <v>2.1823718490949107E-2</v>
      </c>
      <c r="W175" s="1">
        <f>'Asset Prices'!W175/'Asset Prices'!W176-1</f>
        <v>6.5852594853903046E-2</v>
      </c>
      <c r="X175" s="1">
        <f>'Asset Prices'!X175/'Asset Prices'!X176-1</f>
        <v>4.5838576307747569E-2</v>
      </c>
      <c r="Y175" s="1">
        <f>'Asset Prices'!Y175/'Asset Prices'!Y176-1</f>
        <v>5.6174664545197706E-2</v>
      </c>
      <c r="Z175" s="1">
        <f>'Asset Prices'!Z175/'Asset Prices'!Z176-1</f>
        <v>7.4792243767312971E-2</v>
      </c>
      <c r="AA175" s="1">
        <f>'Asset Prices'!AA175/'Asset Prices'!AA176-1</f>
        <v>0.10537634408602137</v>
      </c>
      <c r="AB175" s="1">
        <f>'Asset Prices'!AB175/'Asset Prices'!AB176-1</f>
        <v>2.2922636103151817E-2</v>
      </c>
      <c r="AC175" s="1">
        <f>'Asset Prices'!AC175/'Asset Prices'!AC176-1</f>
        <v>0.15879828326180245</v>
      </c>
      <c r="AD175" s="1">
        <f>'Asset Prices'!AD175/'Asset Prices'!AD176-1</f>
        <v>8.1843838193791152E-2</v>
      </c>
      <c r="AE175" s="1">
        <f>'Asset Prices'!AE175/'Asset Prices'!AE176-1</f>
        <v>4.3382149765128553E-2</v>
      </c>
      <c r="AF175" s="1">
        <f>'Asset Prices'!AF175/'Asset Prices'!AF176-1</f>
        <v>7.1694985495234231E-2</v>
      </c>
      <c r="AG175" s="1">
        <f>'Asset Prices'!AG175/'Asset Prices'!AG176-1</f>
        <v>6.0577819198508909E-2</v>
      </c>
      <c r="AH175" s="1">
        <f>'Asset Prices'!AH175/'Asset Prices'!AH176-1</f>
        <v>6.5714285714285614E-2</v>
      </c>
      <c r="AI175" s="1">
        <f>'Asset Prices'!AI175/'Asset Prices'!AI176-1</f>
        <v>2.3883318140382803E-2</v>
      </c>
      <c r="AJ175" s="1">
        <f>'Asset Prices'!AJ175/'Asset Prices'!AJ176-1</f>
        <v>5.0943396226415194E-2</v>
      </c>
      <c r="AK175" s="1">
        <f>'Asset Prices'!AK175/'Asset Prices'!AK176-1</f>
        <v>2.3701462430660847E-2</v>
      </c>
      <c r="AL175" s="1">
        <f>'Asset Prices'!AL175/'Asset Prices'!AL176-1</f>
        <v>3.4785603581884095E-2</v>
      </c>
      <c r="AM175" s="1">
        <f>'Asset Prices'!AM175/'Asset Prices'!AM176-1</f>
        <v>5.7049935632495385E-2</v>
      </c>
      <c r="AN175" s="1">
        <f>'Asset Prices'!AN175/'Asset Prices'!AN176-1</f>
        <v>7.1143841632322236E-2</v>
      </c>
      <c r="AO175" s="1">
        <f>'Asset Prices'!AO175/'Asset Prices'!AO176-1</f>
        <v>1.4274061990212195E-2</v>
      </c>
      <c r="AP175" s="1">
        <f>'Asset Prices'!AP175/'Asset Prices'!AP176-1</f>
        <v>4.8682087143625763E-2</v>
      </c>
      <c r="AQ175" s="1">
        <f>'Asset Prices'!AQ175/'Asset Prices'!AQ176-1</f>
        <v>0.12113102164300682</v>
      </c>
      <c r="AR175" s="1">
        <f>'Asset Prices'!AR175/'Asset Prices'!AR176-1</f>
        <v>7.6481835564053524E-2</v>
      </c>
      <c r="AS175" s="1">
        <f>'Asset Prices'!AS175/'Asset Prices'!AS176-1</f>
        <v>6.1146496815286611E-2</v>
      </c>
      <c r="AT175" s="1">
        <f>'Asset Prices'!AT175/'Asset Prices'!AT176-1</f>
        <v>4.1578947368420938E-2</v>
      </c>
      <c r="AU175" s="1">
        <f>'Asset Prices'!AU175/'Asset Prices'!AU176-1</f>
        <v>5.2355278093076052E-2</v>
      </c>
      <c r="AV175" s="1">
        <f>'Asset Prices'!AV175/'Asset Prices'!AV176-1</f>
        <v>6.8812758417011066E-2</v>
      </c>
      <c r="AW175" s="1">
        <f>'Asset Prices'!AW175/'Asset Prices'!AW176-1</f>
        <v>0.14607961399276226</v>
      </c>
      <c r="AX175" s="1">
        <f>'Asset Prices'!AX175/'Asset Prices'!AX176-1</f>
        <v>0.17634560906515584</v>
      </c>
      <c r="AY175" s="1">
        <f>'Asset Prices'!AY175/'Asset Prices'!AY176-1</f>
        <v>0.13305613305613306</v>
      </c>
      <c r="AZ175" s="1">
        <f>'Asset Prices'!AZ175/'Asset Prices'!AZ176-1</f>
        <v>1.8759231905465246E-2</v>
      </c>
      <c r="BA175" s="1">
        <f>'Asset Prices'!BA175/'Asset Prices'!BA176-1</f>
        <v>2.2630834512022524E-2</v>
      </c>
      <c r="BB175" s="1">
        <f>'Asset Prices'!BB175/'Asset Prices'!BB176-1</f>
        <v>2.5948406676782998E-2</v>
      </c>
      <c r="BC175" s="1">
        <f>'Asset Prices'!BC175/'Asset Prices'!BC176-1</f>
        <v>6.4167725540025478E-2</v>
      </c>
      <c r="BD175" s="1">
        <f>'Asset Prices'!BD175/'Asset Prices'!BD176-1</f>
        <v>5.7656176608736454E-2</v>
      </c>
    </row>
    <row r="176" spans="3:56" x14ac:dyDescent="0.25">
      <c r="C176" s="38">
        <f>'Asset Prices'!C176</f>
        <v>43139</v>
      </c>
      <c r="D176" s="1">
        <f>'Asset Prices'!D176/'Asset Prices'!D177-1</f>
        <v>-9.4336621062678927E-2</v>
      </c>
      <c r="E176" s="1">
        <f>'Asset Prices'!E176/'Asset Prices'!E177-1</f>
        <v>-8.2722418318399882E-2</v>
      </c>
      <c r="F176" s="1">
        <f>'Asset Prices'!F176/'Asset Prices'!F177-1</f>
        <v>-7.6274944567627512E-2</v>
      </c>
      <c r="G176" s="1">
        <f>'Asset Prices'!G176/'Asset Prices'!G177-1</f>
        <v>-9.2775518109626143E-2</v>
      </c>
      <c r="H176" s="1">
        <f>'Asset Prices'!H176/'Asset Prices'!H177-1</f>
        <v>-0.10016025641025639</v>
      </c>
      <c r="I176" s="1">
        <f>'Asset Prices'!I176/'Asset Prices'!I177-1</f>
        <v>-0.11139882956134439</v>
      </c>
      <c r="J176" s="1">
        <f>'Asset Prices'!J176/'Asset Prices'!J177-1</f>
        <v>-7.5277148647037717E-2</v>
      </c>
      <c r="K176" s="1">
        <f>'Asset Prices'!K176/'Asset Prices'!K177-1</f>
        <v>-2.8417266187050316E-2</v>
      </c>
      <c r="L176" s="1">
        <f>'Asset Prices'!L176/'Asset Prices'!L177-1</f>
        <v>-5.6475647942053064E-2</v>
      </c>
      <c r="M176" s="1">
        <f>'Asset Prices'!M176/'Asset Prices'!M177-1</f>
        <v>-9.8132824103543403E-2</v>
      </c>
      <c r="N176" s="1">
        <f>'Asset Prices'!N176/'Asset Prices'!N177-1</f>
        <v>-0.14715764351424765</v>
      </c>
      <c r="O176" s="1">
        <f>'Asset Prices'!O176/'Asset Prices'!O177-1</f>
        <v>-5.8976582827406698E-2</v>
      </c>
      <c r="P176" s="1">
        <f>'Asset Prices'!P176/'Asset Prices'!P177-1</f>
        <v>-5.4193665322397999E-2</v>
      </c>
      <c r="Q176" s="1">
        <f>'Asset Prices'!Q176/'Asset Prices'!Q177-1</f>
        <v>-0.1364009860312243</v>
      </c>
      <c r="R176" s="1">
        <f>'Asset Prices'!R176/'Asset Prices'!R177-1</f>
        <v>-5.2889979915197616E-2</v>
      </c>
      <c r="S176" s="1">
        <f>'Asset Prices'!S176/'Asset Prices'!S177-1</f>
        <v>-5.4755043227665778E-2</v>
      </c>
      <c r="T176" s="1">
        <f>'Asset Prices'!T176/'Asset Prices'!T177-1</f>
        <v>-9.2462039045553279E-2</v>
      </c>
      <c r="U176" s="1">
        <f>'Asset Prices'!U176/'Asset Prices'!U177-1</f>
        <v>-9.2315560669991026E-2</v>
      </c>
      <c r="V176" s="1">
        <f>'Asset Prices'!V176/'Asset Prices'!V177-1</f>
        <v>-5.9357097390197344E-2</v>
      </c>
      <c r="W176" s="1">
        <f>'Asset Prices'!W176/'Asset Prices'!W177-1</f>
        <v>-5.8960328317373301E-2</v>
      </c>
      <c r="X176" s="1">
        <f>'Asset Prices'!X176/'Asset Prices'!X177-1</f>
        <v>-7.7599071464102165E-2</v>
      </c>
      <c r="Y176" s="1">
        <f>'Asset Prices'!Y176/'Asset Prices'!Y177-1</f>
        <v>-2.2223026660736833E-2</v>
      </c>
      <c r="Z176" s="1">
        <f>'Asset Prices'!Z176/'Asset Prices'!Z177-1</f>
        <v>-5.5096418732780705E-3</v>
      </c>
      <c r="AA176" s="1">
        <f>'Asset Prices'!AA176/'Asset Prices'!AA177-1</f>
        <v>-9.7963142580019369E-2</v>
      </c>
      <c r="AB176" s="1">
        <f>'Asset Prices'!AB176/'Asset Prices'!AB177-1</f>
        <v>-5.4200542005420016E-2</v>
      </c>
      <c r="AC176" s="1">
        <f>'Asset Prices'!AC176/'Asset Prices'!AC177-1</f>
        <v>-9.806451612903222E-2</v>
      </c>
      <c r="AD176" s="1">
        <f>'Asset Prices'!AD176/'Asset Prices'!AD177-1</f>
        <v>-0.11793382429208576</v>
      </c>
      <c r="AE176" s="1">
        <f>'Asset Prices'!AE176/'Asset Prices'!AE177-1</f>
        <v>-3.04518664047152E-2</v>
      </c>
      <c r="AF176" s="1">
        <f>'Asset Prices'!AF176/'Asset Prices'!AF177-1</f>
        <v>-0.10197245999255677</v>
      </c>
      <c r="AG176" s="1">
        <f>'Asset Prices'!AG176/'Asset Prices'!AG177-1</f>
        <v>-2.8959276018099556E-2</v>
      </c>
      <c r="AH176" s="1">
        <f>'Asset Prices'!AH176/'Asset Prices'!AH177-1</f>
        <v>3.8240917782026429E-3</v>
      </c>
      <c r="AI176" s="1">
        <f>'Asset Prices'!AI176/'Asset Prices'!AI177-1</f>
        <v>-7.6443845765280294E-2</v>
      </c>
      <c r="AJ176" s="1">
        <f>'Asset Prices'!AJ176/'Asset Prices'!AJ177-1</f>
        <v>0.34177215189873422</v>
      </c>
      <c r="AK176" s="1">
        <f>'Asset Prices'!AK176/'Asset Prices'!AK177-1</f>
        <v>-5.3008595988538798E-2</v>
      </c>
      <c r="AL176" s="1">
        <f>'Asset Prices'!AL176/'Asset Prices'!AL177-1</f>
        <v>-5.9442824748947243E-2</v>
      </c>
      <c r="AM176" s="1">
        <f>'Asset Prices'!AM176/'Asset Prices'!AM177-1</f>
        <v>-9.1194581280788167E-2</v>
      </c>
      <c r="AN176" s="1">
        <f>'Asset Prices'!AN176/'Asset Prices'!AN177-1</f>
        <v>-0.10177205971598502</v>
      </c>
      <c r="AO176" s="1">
        <f>'Asset Prices'!AO176/'Asset Prices'!AO177-1</f>
        <v>-9.6869244935543275E-2</v>
      </c>
      <c r="AP176" s="1">
        <f>'Asset Prices'!AP176/'Asset Prices'!AP177-1</f>
        <v>-7.166042446941312E-2</v>
      </c>
      <c r="AQ176" s="1">
        <f>'Asset Prices'!AQ176/'Asset Prices'!AQ177-1</f>
        <v>-6.9409853817000489E-2</v>
      </c>
      <c r="AR176" s="1">
        <f>'Asset Prices'!AR176/'Asset Prices'!AR177-1</f>
        <v>-9.2913776015857374E-2</v>
      </c>
      <c r="AS176" s="1">
        <f>'Asset Prices'!AS176/'Asset Prices'!AS177-1</f>
        <v>-8.8269454123112601E-2</v>
      </c>
      <c r="AT176" s="1">
        <f>'Asset Prices'!AT176/'Asset Prices'!AT177-1</f>
        <v>-8.0496854331343792E-2</v>
      </c>
      <c r="AU176" s="1">
        <f>'Asset Prices'!AU176/'Asset Prices'!AU177-1</f>
        <v>-0.12454455117588614</v>
      </c>
      <c r="AV176" s="1">
        <f>'Asset Prices'!AV176/'Asset Prices'!AV177-1</f>
        <v>-0.10793009572319312</v>
      </c>
      <c r="AW176" s="1">
        <f>'Asset Prices'!AW176/'Asset Prices'!AW177-1</f>
        <v>-8.0625485194632307E-2</v>
      </c>
      <c r="AX176" s="1">
        <f>'Asset Prices'!AX176/'Asset Prices'!AX177-1</f>
        <v>-6.2416998671978807E-2</v>
      </c>
      <c r="AY176" s="1">
        <f>'Asset Prices'!AY176/'Asset Prices'!AY177-1</f>
        <v>-2.0746887966806016E-3</v>
      </c>
      <c r="AZ176" s="1">
        <f>'Asset Prices'!AZ176/'Asset Prices'!AZ177-1</f>
        <v>-7.6776217100777422E-2</v>
      </c>
      <c r="BA176" s="1">
        <f>'Asset Prices'!BA176/'Asset Prices'!BA177-1</f>
        <v>-0.11292346298619815</v>
      </c>
      <c r="BB176" s="1">
        <f>'Asset Prices'!BB176/'Asset Prices'!BB177-1</f>
        <v>-5.1252519435646238E-2</v>
      </c>
      <c r="BC176" s="1">
        <f>'Asset Prices'!BC176/'Asset Prices'!BC177-1</f>
        <v>-5.6354916067146266E-2</v>
      </c>
      <c r="BD176" s="1">
        <f>'Asset Prices'!BD176/'Asset Prices'!BD177-1</f>
        <v>-8.4891467870191306E-2</v>
      </c>
    </row>
    <row r="177" spans="3:56" x14ac:dyDescent="0.25">
      <c r="C177" s="38">
        <f>'Asset Prices'!C177</f>
        <v>43132</v>
      </c>
      <c r="D177" s="1">
        <f>'Asset Prices'!D177/'Asset Prices'!D178-1</f>
        <v>3.9929723686311647E-3</v>
      </c>
      <c r="E177" s="1">
        <f>'Asset Prices'!E177/'Asset Prices'!E178-1</f>
        <v>-5.4274084124827926E-4</v>
      </c>
      <c r="F177" s="1">
        <f>'Asset Prices'!F177/'Asset Prices'!F178-1</f>
        <v>-8.8613203367282622E-4</v>
      </c>
      <c r="G177" s="1">
        <f>'Asset Prices'!G177/'Asset Prices'!G178-1</f>
        <v>5.8139534883716593E-4</v>
      </c>
      <c r="H177" s="1">
        <f>'Asset Prices'!H177/'Asset Prices'!H178-1</f>
        <v>-4.2097183680699035E-2</v>
      </c>
      <c r="I177" s="1">
        <f>'Asset Prices'!I177/'Asset Prices'!I178-1</f>
        <v>2.9923191807126104E-2</v>
      </c>
      <c r="J177" s="1">
        <f>'Asset Prices'!J177/'Asset Prices'!J178-1</f>
        <v>-1.9461165332242514E-2</v>
      </c>
      <c r="K177" s="1">
        <f>'Asset Prices'!K177/'Asset Prices'!K178-1</f>
        <v>8.7448746326064253E-3</v>
      </c>
      <c r="L177" s="1">
        <f>'Asset Prices'!L177/'Asset Prices'!L178-1</f>
        <v>-1.7167222840192786E-2</v>
      </c>
      <c r="M177" s="1">
        <f>'Asset Prices'!M177/'Asset Prices'!M178-1</f>
        <v>2.0903281706920795E-2</v>
      </c>
      <c r="N177" s="1">
        <f>'Asset Prices'!N177/'Asset Prices'!N178-1</f>
        <v>-4.6525792207363637E-4</v>
      </c>
      <c r="O177" s="1">
        <f>'Asset Prices'!O177/'Asset Prices'!O178-1</f>
        <v>-6.7068236986424612E-2</v>
      </c>
      <c r="P177" s="1">
        <f>'Asset Prices'!P177/'Asset Prices'!P178-1</f>
        <v>-2.8015001581491727E-3</v>
      </c>
      <c r="Q177" s="1">
        <f>'Asset Prices'!Q177/'Asset Prices'!Q178-1</f>
        <v>-6.5762538382804547E-2</v>
      </c>
      <c r="R177" s="1">
        <f>'Asset Prices'!R177/'Asset Prices'!R178-1</f>
        <v>-2.5869565217391255E-2</v>
      </c>
      <c r="S177" s="1">
        <f>'Asset Prices'!S177/'Asset Prices'!S178-1</f>
        <v>-3.2228075612023677E-2</v>
      </c>
      <c r="T177" s="1">
        <f>'Asset Prices'!T177/'Asset Prices'!T178-1</f>
        <v>1.388316151202762E-2</v>
      </c>
      <c r="U177" s="1">
        <f>'Asset Prices'!U177/'Asset Prices'!U178-1</f>
        <v>3.781847133757954E-2</v>
      </c>
      <c r="V177" s="1">
        <f>'Asset Prices'!V177/'Asset Prices'!V178-1</f>
        <v>-8.2225792317803359E-2</v>
      </c>
      <c r="W177" s="1">
        <f>'Asset Prices'!W177/'Asset Prices'!W178-1</f>
        <v>-4.1562868755736226E-2</v>
      </c>
      <c r="X177" s="1">
        <f>'Asset Prices'!X177/'Asset Prices'!X178-1</f>
        <v>1.9936866589134183E-3</v>
      </c>
      <c r="Y177" s="1">
        <f>'Asset Prices'!Y177/'Asset Prices'!Y178-1</f>
        <v>2.7534685153617344E-2</v>
      </c>
      <c r="Z177" s="1">
        <f>'Asset Prices'!Z177/'Asset Prices'!Z178-1</f>
        <v>-3.4574468085106447E-2</v>
      </c>
      <c r="AA177" s="1">
        <f>'Asset Prices'!AA177/'Asset Prices'!AA178-1</f>
        <v>7.82013685239491E-3</v>
      </c>
      <c r="AB177" s="1">
        <f>'Asset Prices'!AB177/'Asset Prices'!AB178-1</f>
        <v>0</v>
      </c>
      <c r="AC177" s="1">
        <f>'Asset Prices'!AC177/'Asset Prices'!AC178-1</f>
        <v>-7.8751857355126353E-2</v>
      </c>
      <c r="AD177" s="1">
        <f>'Asset Prices'!AD177/'Asset Prices'!AD178-1</f>
        <v>6.2272963155174388E-4</v>
      </c>
      <c r="AE177" s="1">
        <f>'Asset Prices'!AE177/'Asset Prices'!AE178-1</f>
        <v>-4.4702269237331449E-2</v>
      </c>
      <c r="AF177" s="1">
        <f>'Asset Prices'!AF177/'Asset Prices'!AF178-1</f>
        <v>6.7440989134506246E-3</v>
      </c>
      <c r="AG177" s="1">
        <f>'Asset Prices'!AG177/'Asset Prices'!AG178-1</f>
        <v>-3.0701754385964897E-2</v>
      </c>
      <c r="AH177" s="1">
        <f>'Asset Prices'!AH177/'Asset Prices'!AH178-1</f>
        <v>-4.5620437956204518E-2</v>
      </c>
      <c r="AI177" s="1">
        <f>'Asset Prices'!AI177/'Asset Prices'!AI178-1</f>
        <v>-5.2337641614807695E-2</v>
      </c>
      <c r="AJ177" s="1">
        <f>'Asset Prices'!AJ177/'Asset Prices'!AJ178-1</f>
        <v>2.5974025974025983E-2</v>
      </c>
      <c r="AK177" s="1">
        <f>'Asset Prices'!AK177/'Asset Prices'!AK178-1</f>
        <v>1.2083131947800974E-2</v>
      </c>
      <c r="AL177" s="1">
        <f>'Asset Prices'!AL177/'Asset Prices'!AL178-1</f>
        <v>-1.0735459061047781E-2</v>
      </c>
      <c r="AM177" s="1">
        <f>'Asset Prices'!AM177/'Asset Prices'!AM178-1</f>
        <v>-1.8553212062609514E-2</v>
      </c>
      <c r="AN177" s="1">
        <f>'Asset Prices'!AN177/'Asset Prices'!AN178-1</f>
        <v>-4.6511627906977715E-3</v>
      </c>
      <c r="AO177" s="1">
        <f>'Asset Prices'!AO177/'Asset Prices'!AO178-1</f>
        <v>1.8419598452745767E-4</v>
      </c>
      <c r="AP177" s="1">
        <f>'Asset Prices'!AP177/'Asset Prices'!AP178-1</f>
        <v>1.0598031794095242E-2</v>
      </c>
      <c r="AQ177" s="1">
        <f>'Asset Prices'!AQ177/'Asset Prices'!AQ178-1</f>
        <v>5.4436581382688587E-3</v>
      </c>
      <c r="AR177" s="1">
        <f>'Asset Prices'!AR177/'Asset Prices'!AR178-1</f>
        <v>-1.0056414029924077E-2</v>
      </c>
      <c r="AS177" s="1">
        <f>'Asset Prices'!AS177/'Asset Prices'!AS178-1</f>
        <v>-6.3926940639269514E-2</v>
      </c>
      <c r="AT177" s="1">
        <f>'Asset Prices'!AT177/'Asset Prices'!AT178-1</f>
        <v>-3.1254883575558723E-2</v>
      </c>
      <c r="AU177" s="1">
        <f>'Asset Prices'!AU177/'Asset Prices'!AU178-1</f>
        <v>-3.424798844646082E-3</v>
      </c>
      <c r="AV177" s="1">
        <f>'Asset Prices'!AV177/'Asset Prices'!AV178-1</f>
        <v>-1.0428434865733749E-2</v>
      </c>
      <c r="AW177" s="1">
        <f>'Asset Prices'!AW177/'Asset Prices'!AW178-1</f>
        <v>3.1149182333964909E-3</v>
      </c>
      <c r="AX177" s="1">
        <f>'Asset Prices'!AX177/'Asset Prices'!AX178-1</f>
        <v>-2.3346303501945442E-2</v>
      </c>
      <c r="AY177" s="1">
        <f>'Asset Prices'!AY177/'Asset Prices'!AY178-1</f>
        <v>-3.4068136272545124E-2</v>
      </c>
      <c r="AZ177" s="1">
        <f>'Asset Prices'!AZ177/'Asset Prices'!AZ178-1</f>
        <v>8.8045123125601865E-3</v>
      </c>
      <c r="BA177" s="1">
        <f>'Asset Prices'!BA177/'Asset Prices'!BA178-1</f>
        <v>-2.4479804161566587E-2</v>
      </c>
      <c r="BB177" s="1">
        <f>'Asset Prices'!BB177/'Asset Prices'!BB178-1</f>
        <v>-2.1138669673055221E-2</v>
      </c>
      <c r="BC177" s="1">
        <f>'Asset Prices'!BC177/'Asset Prices'!BC178-1</f>
        <v>6.7861715749039764E-2</v>
      </c>
      <c r="BD177" s="1">
        <f>'Asset Prices'!BD177/'Asset Prices'!BD178-1</f>
        <v>-2.0730295696095968E-2</v>
      </c>
    </row>
    <row r="178" spans="3:56" x14ac:dyDescent="0.25">
      <c r="C178" s="38">
        <f>'Asset Prices'!C178</f>
        <v>43125</v>
      </c>
      <c r="D178" s="1">
        <f>'Asset Prices'!D178/'Asset Prices'!D179-1</f>
        <v>1.7139143855088967E-2</v>
      </c>
      <c r="E178" s="1">
        <f>'Asset Prices'!E178/'Asset Prices'!E179-1</f>
        <v>1.1773229487410664E-3</v>
      </c>
      <c r="F178" s="1">
        <f>'Asset Prices'!F178/'Asset Prices'!F179-1</f>
        <v>5.6153486195601232E-2</v>
      </c>
      <c r="G178" s="1">
        <f>'Asset Prices'!G178/'Asset Prices'!G179-1</f>
        <v>2.72745371292058E-2</v>
      </c>
      <c r="H178" s="1">
        <f>'Asset Prices'!H178/'Asset Prices'!H179-1</f>
        <v>3.1984836818099716E-3</v>
      </c>
      <c r="I178" s="1">
        <f>'Asset Prices'!I178/'Asset Prices'!I179-1</f>
        <v>4.2714126807563924E-2</v>
      </c>
      <c r="J178" s="1">
        <f>'Asset Prices'!J178/'Asset Prices'!J179-1</f>
        <v>-4.5464688162445532E-2</v>
      </c>
      <c r="K178" s="1">
        <f>'Asset Prices'!K178/'Asset Prices'!K179-1</f>
        <v>6.5436241610738355E-2</v>
      </c>
      <c r="L178" s="1">
        <f>'Asset Prices'!L178/'Asset Prices'!L179-1</f>
        <v>0.22407298143693533</v>
      </c>
      <c r="M178" s="1">
        <f>'Asset Prices'!M178/'Asset Prices'!M179-1</f>
        <v>2.4750277469478332E-2</v>
      </c>
      <c r="N178" s="1">
        <f>'Asset Prices'!N178/'Asset Prices'!N179-1</f>
        <v>4.0643678970395447E-2</v>
      </c>
      <c r="O178" s="1">
        <f>'Asset Prices'!O178/'Asset Prices'!O179-1</f>
        <v>3.1913906670377523E-2</v>
      </c>
      <c r="P178" s="1">
        <f>'Asset Prices'!P178/'Asset Prices'!P179-1</f>
        <v>1.8500621289520902E-2</v>
      </c>
      <c r="Q178" s="1">
        <f>'Asset Prices'!Q178/'Asset Prices'!Q179-1</f>
        <v>1.0565201329885587E-2</v>
      </c>
      <c r="R178" s="1">
        <f>'Asset Prices'!R178/'Asset Prices'!R179-1</f>
        <v>1.366240634640814E-2</v>
      </c>
      <c r="S178" s="1">
        <f>'Asset Prices'!S178/'Asset Prices'!S179-1</f>
        <v>2.087946852261946E-2</v>
      </c>
      <c r="T178" s="1">
        <f>'Asset Prices'!T178/'Asset Prices'!T179-1</f>
        <v>3.0964359101537609E-2</v>
      </c>
      <c r="U178" s="1">
        <f>'Asset Prices'!U178/'Asset Prices'!U179-1</f>
        <v>2.2107690221076837E-2</v>
      </c>
      <c r="V178" s="1">
        <f>'Asset Prices'!V178/'Asset Prices'!V179-1</f>
        <v>-2.934505245250929E-2</v>
      </c>
      <c r="W178" s="1">
        <f>'Asset Prices'!W178/'Asset Prices'!W179-1</f>
        <v>2.1154103628330478E-2</v>
      </c>
      <c r="X178" s="1">
        <f>'Asset Prices'!X178/'Asset Prices'!X179-1</f>
        <v>-7.4853980940670195E-2</v>
      </c>
      <c r="Y178" s="1">
        <f>'Asset Prices'!Y178/'Asset Prices'!Y179-1</f>
        <v>6.2358276633034171E-2</v>
      </c>
      <c r="Z178" s="1">
        <f>'Asset Prices'!Z178/'Asset Prices'!Z179-1</f>
        <v>2.1739130434782705E-2</v>
      </c>
      <c r="AA178" s="1">
        <f>'Asset Prices'!AA178/'Asset Prices'!AA179-1</f>
        <v>1.3875123885034535E-2</v>
      </c>
      <c r="AB178" s="1">
        <f>'Asset Prices'!AB178/'Asset Prices'!AB179-1</f>
        <v>-1.6000000000000014E-2</v>
      </c>
      <c r="AC178" s="1">
        <f>'Asset Prices'!AC178/'Asset Prices'!AC179-1</f>
        <v>-0.18166342412451364</v>
      </c>
      <c r="AD178" s="1">
        <f>'Asset Prices'!AD178/'Asset Prices'!AD179-1</f>
        <v>3.1584582441113396E-2</v>
      </c>
      <c r="AE178" s="1">
        <f>'Asset Prices'!AE178/'Asset Prices'!AE179-1</f>
        <v>6.4668483197093618E-2</v>
      </c>
      <c r="AF178" s="1">
        <f>'Asset Prices'!AF178/'Asset Prices'!AF179-1</f>
        <v>1.7925247902364605E-2</v>
      </c>
      <c r="AG178" s="1">
        <f>'Asset Prices'!AG178/'Asset Prices'!AG179-1</f>
        <v>3.5422343324250649E-2</v>
      </c>
      <c r="AH178" s="1">
        <f>'Asset Prices'!AH178/'Asset Prices'!AH179-1</f>
        <v>-4.842615012106477E-3</v>
      </c>
      <c r="AI178" s="1">
        <f>'Asset Prices'!AI178/'Asset Prices'!AI179-1</f>
        <v>3.330585325638924E-2</v>
      </c>
      <c r="AJ178" s="1">
        <f>'Asset Prices'!AJ178/'Asset Prices'!AJ179-1</f>
        <v>2.941176470588247E-2</v>
      </c>
      <c r="AK178" s="1">
        <f>'Asset Prices'!AK178/'Asset Prices'!AK179-1</f>
        <v>-7.9626334519572906E-2</v>
      </c>
      <c r="AL178" s="1">
        <f>'Asset Prices'!AL178/'Asset Prices'!AL179-1</f>
        <v>7.913436692506437E-3</v>
      </c>
      <c r="AM178" s="1">
        <f>'Asset Prices'!AM178/'Asset Prices'!AM179-1</f>
        <v>-2.1582308420056817E-2</v>
      </c>
      <c r="AN178" s="1">
        <f>'Asset Prices'!AN178/'Asset Prices'!AN179-1</f>
        <v>3.2879960069877701E-2</v>
      </c>
      <c r="AO178" s="1">
        <f>'Asset Prices'!AO178/'Asset Prices'!AO179-1</f>
        <v>5.3152279340446196E-2</v>
      </c>
      <c r="AP178" s="1">
        <f>'Asset Prices'!AP178/'Asset Prices'!AP179-1</f>
        <v>2.6019417475728224E-2</v>
      </c>
      <c r="AQ178" s="1">
        <f>'Asset Prices'!AQ178/'Asset Prices'!AQ179-1</f>
        <v>4.593678223777653E-3</v>
      </c>
      <c r="AR178" s="1">
        <f>'Asset Prices'!AR178/'Asset Prices'!AR179-1</f>
        <v>3.8990825688073549E-2</v>
      </c>
      <c r="AS178" s="1">
        <f>'Asset Prices'!AS178/'Asset Prices'!AS179-1</f>
        <v>-1.1180391313695859E-2</v>
      </c>
      <c r="AT178" s="1">
        <f>'Asset Prices'!AT178/'Asset Prices'!AT179-1</f>
        <v>2.8447444551591206E-2</v>
      </c>
      <c r="AU178" s="1">
        <f>'Asset Prices'!AU178/'Asset Prices'!AU179-1</f>
        <v>4.4072031707737436E-2</v>
      </c>
      <c r="AV178" s="1">
        <f>'Asset Prices'!AV178/'Asset Prices'!AV179-1</f>
        <v>1.9220549158547318E-2</v>
      </c>
      <c r="AW178" s="1">
        <f>'Asset Prices'!AW178/'Asset Prices'!AW179-1</f>
        <v>8.6400359066427512E-3</v>
      </c>
      <c r="AX178" s="1">
        <f>'Asset Prices'!AX178/'Asset Prices'!AX179-1</f>
        <v>2.1192052980132381E-2</v>
      </c>
      <c r="AY178" s="1">
        <f>'Asset Prices'!AY178/'Asset Prices'!AY179-1</f>
        <v>4.8319327731092487E-2</v>
      </c>
      <c r="AZ178" s="1">
        <f>'Asset Prices'!AZ178/'Asset Prices'!AZ179-1</f>
        <v>-1.2229922543823712E-2</v>
      </c>
      <c r="BA178" s="1">
        <f>'Asset Prices'!BA178/'Asset Prices'!BA179-1</f>
        <v>1.4906832298136719E-2</v>
      </c>
      <c r="BB178" s="1">
        <f>'Asset Prices'!BB178/'Asset Prices'!BB179-1</f>
        <v>2.5581731464084267E-2</v>
      </c>
      <c r="BC178" s="1">
        <f>'Asset Prices'!BC178/'Asset Prices'!BC179-1</f>
        <v>-6.4390536088649308E-2</v>
      </c>
      <c r="BD178" s="1">
        <f>'Asset Prices'!BD178/'Asset Prices'!BD179-1</f>
        <v>8.0619497188925138E-3</v>
      </c>
    </row>
    <row r="179" spans="3:56" x14ac:dyDescent="0.25">
      <c r="C179" s="38">
        <f>'Asset Prices'!C179</f>
        <v>43118</v>
      </c>
      <c r="D179" s="1">
        <f>'Asset Prices'!D179/'Asset Prices'!D180-1</f>
        <v>2.7286381842456464E-2</v>
      </c>
      <c r="E179" s="1">
        <f>'Asset Prices'!E179/'Asset Prices'!E180-1</f>
        <v>-5.1355978016036641E-3</v>
      </c>
      <c r="F179" s="1">
        <f>'Asset Prices'!F179/'Asset Prices'!F180-1</f>
        <v>-2.799813345777058E-3</v>
      </c>
      <c r="G179" s="1">
        <f>'Asset Prices'!G179/'Asset Prices'!G180-1</f>
        <v>2.6149131767109202E-2</v>
      </c>
      <c r="H179" s="1">
        <f>'Asset Prices'!H179/'Asset Prices'!H180-1</f>
        <v>-2.1867612293142713E-3</v>
      </c>
      <c r="I179" s="1">
        <f>'Asset Prices'!I179/'Asset Prices'!I180-1</f>
        <v>-4.2445545081748914E-2</v>
      </c>
      <c r="J179" s="1">
        <f>'Asset Prices'!J179/'Asset Prices'!J180-1</f>
        <v>2.2706526700136953E-2</v>
      </c>
      <c r="K179" s="1">
        <f>'Asset Prices'!K179/'Asset Prices'!K180-1</f>
        <v>1.303380643544183E-2</v>
      </c>
      <c r="L179" s="1">
        <f>'Asset Prices'!L179/'Asset Prices'!L180-1</f>
        <v>1.4223899834284737E-2</v>
      </c>
      <c r="M179" s="1">
        <f>'Asset Prices'!M179/'Asset Prices'!M180-1</f>
        <v>2.2933696639418688E-2</v>
      </c>
      <c r="N179" s="1">
        <f>'Asset Prices'!N179/'Asset Prices'!N180-1</f>
        <v>2.1509824198552296E-2</v>
      </c>
      <c r="O179" s="1">
        <f>'Asset Prices'!O179/'Asset Prices'!O180-1</f>
        <v>-2.0891997456626399E-2</v>
      </c>
      <c r="P179" s="1">
        <f>'Asset Prices'!P179/'Asset Prices'!P180-1</f>
        <v>-8.0346952750514067E-3</v>
      </c>
      <c r="Q179" s="1">
        <f>'Asset Prices'!Q179/'Asset Prices'!Q180-1</f>
        <v>7.0341228104859432E-2</v>
      </c>
      <c r="R179" s="1">
        <f>'Asset Prices'!R179/'Asset Prices'!R180-1</f>
        <v>-3.0755711775044547E-3</v>
      </c>
      <c r="S179" s="1">
        <f>'Asset Prices'!S179/'Asset Prices'!S180-1</f>
        <v>2.3639896373057079E-2</v>
      </c>
      <c r="T179" s="1">
        <f>'Asset Prices'!T179/'Asset Prices'!T180-1</f>
        <v>1.2192498027683962E-2</v>
      </c>
      <c r="U179" s="1">
        <f>'Asset Prices'!U179/'Asset Prices'!U180-1</f>
        <v>4.3890698003681283E-2</v>
      </c>
      <c r="V179" s="1">
        <f>'Asset Prices'!V179/'Asset Prices'!V180-1</f>
        <v>1.3942791433089186E-2</v>
      </c>
      <c r="W179" s="1">
        <f>'Asset Prices'!W179/'Asset Prices'!W180-1</f>
        <v>4.1556268302886723E-2</v>
      </c>
      <c r="X179" s="1">
        <f>'Asset Prices'!X179/'Asset Prices'!X180-1</f>
        <v>3.3929673041332986E-3</v>
      </c>
      <c r="Y179" s="1">
        <f>'Asset Prices'!Y179/'Asset Prices'!Y180-1</f>
        <v>-3.3898304935371382E-3</v>
      </c>
      <c r="Z179" s="1">
        <f>'Asset Prices'!Z179/'Asset Prices'!Z180-1</f>
        <v>-1.6042780748663166E-2</v>
      </c>
      <c r="AA179" s="1">
        <f>'Asset Prices'!AA179/'Asset Prices'!AA180-1</f>
        <v>1.9860973187686426E-3</v>
      </c>
      <c r="AB179" s="1">
        <f>'Asset Prices'!AB179/'Asset Prices'!AB180-1</f>
        <v>-5.5415617128463546E-2</v>
      </c>
      <c r="AC179" s="1">
        <f>'Asset Prices'!AC179/'Asset Prices'!AC180-1</f>
        <v>3.9433771486349745E-2</v>
      </c>
      <c r="AD179" s="1">
        <f>'Asset Prices'!AD179/'Asset Prices'!AD180-1</f>
        <v>-1.4975743514026418E-2</v>
      </c>
      <c r="AE179" s="1">
        <f>'Asset Prices'!AE179/'Asset Prices'!AE180-1</f>
        <v>-5.728230156691505E-2</v>
      </c>
      <c r="AF179" s="1">
        <f>'Asset Prices'!AF179/'Asset Prices'!AF180-1</f>
        <v>-3.1400073882526858E-2</v>
      </c>
      <c r="AG179" s="1">
        <f>'Asset Prices'!AG179/'Asset Prices'!AG180-1</f>
        <v>1.9444444444444375E-2</v>
      </c>
      <c r="AH179" s="1">
        <f>'Asset Prices'!AH179/'Asset Prices'!AH180-1</f>
        <v>1.4430457476205083E-2</v>
      </c>
      <c r="AI179" s="1">
        <f>'Asset Prices'!AI179/'Asset Prices'!AI180-1</f>
        <v>-4.2318016737723063E-2</v>
      </c>
      <c r="AJ179" s="1">
        <f>'Asset Prices'!AJ179/'Asset Prices'!AJ180-1</f>
        <v>-5.3191489361702482E-3</v>
      </c>
      <c r="AK179" s="1">
        <f>'Asset Prices'!AK179/'Asset Prices'!AK180-1</f>
        <v>6.2667860340197556E-3</v>
      </c>
      <c r="AL179" s="1">
        <f>'Asset Prices'!AL179/'Asset Prices'!AL180-1</f>
        <v>-6.4184852374838952E-3</v>
      </c>
      <c r="AM179" s="1">
        <f>'Asset Prices'!AM179/'Asset Prices'!AM180-1</f>
        <v>2.9963459196102438E-2</v>
      </c>
      <c r="AN179" s="1">
        <f>'Asset Prices'!AN179/'Asset Prices'!AN180-1</f>
        <v>1.0592686002522056E-2</v>
      </c>
      <c r="AO179" s="1">
        <f>'Asset Prices'!AO179/'Asset Prices'!AO180-1</f>
        <v>-1.0746497793129972E-2</v>
      </c>
      <c r="AP179" s="1">
        <f>'Asset Prices'!AP179/'Asset Prices'!AP180-1</f>
        <v>4.8126951092613002E-3</v>
      </c>
      <c r="AQ179" s="1">
        <f>'Asset Prices'!AQ179/'Asset Prices'!AQ180-1</f>
        <v>2.213527110117397E-2</v>
      </c>
      <c r="AR179" s="1">
        <f>'Asset Prices'!AR179/'Asset Prices'!AR180-1</f>
        <v>1.029866117404743E-2</v>
      </c>
      <c r="AS179" s="1">
        <f>'Asset Prices'!AS179/'Asset Prices'!AS180-1</f>
        <v>-4.2817383857847169E-3</v>
      </c>
      <c r="AT179" s="1">
        <f>'Asset Prices'!AT179/'Asset Prices'!AT180-1</f>
        <v>1.6334531198954672E-2</v>
      </c>
      <c r="AU179" s="1">
        <f>'Asset Prices'!AU179/'Asset Prices'!AU180-1</f>
        <v>2.7898326100433968E-2</v>
      </c>
      <c r="AV179" s="1">
        <f>'Asset Prices'!AV179/'Asset Prices'!AV180-1</f>
        <v>1.3920071845532123E-2</v>
      </c>
      <c r="AW179" s="1">
        <f>'Asset Prices'!AW179/'Asset Prices'!AW180-1</f>
        <v>5.4674556213017755E-2</v>
      </c>
      <c r="AX179" s="1">
        <f>'Asset Prices'!AX179/'Asset Prices'!AX180-1</f>
        <v>-2.6420079260238705E-3</v>
      </c>
      <c r="AY179" s="1">
        <f>'Asset Prices'!AY179/'Asset Prices'!AY180-1</f>
        <v>-3.0549898167005929E-2</v>
      </c>
      <c r="AZ179" s="1">
        <f>'Asset Prices'!AZ179/'Asset Prices'!AZ180-1</f>
        <v>6.4277899343545553E-3</v>
      </c>
      <c r="BA179" s="1">
        <f>'Asset Prices'!BA179/'Asset Prices'!BA180-1</f>
        <v>6.2499999999998668E-3</v>
      </c>
      <c r="BB179" s="1">
        <f>'Asset Prices'!BB179/'Asset Prices'!BB180-1</f>
        <v>-1.2990762124711619E-3</v>
      </c>
      <c r="BC179" s="1">
        <f>'Asset Prices'!BC179/'Asset Prices'!BC180-1</f>
        <v>2.3291449586270163E-2</v>
      </c>
      <c r="BD179" s="1">
        <f>'Asset Prices'!BD179/'Asset Prices'!BD180-1</f>
        <v>-1.5868044681073279E-2</v>
      </c>
    </row>
    <row r="180" spans="3:56" x14ac:dyDescent="0.25">
      <c r="C180" s="38">
        <f>'Asset Prices'!C180</f>
        <v>43111</v>
      </c>
      <c r="D180" s="1">
        <f>'Asset Prices'!D180/'Asset Prices'!D181-1</f>
        <v>3.2391454169538259E-2</v>
      </c>
      <c r="E180" s="1">
        <f>'Asset Prices'!E180/'Asset Prices'!E181-1</f>
        <v>-1.1048739196293456E-2</v>
      </c>
      <c r="F180" s="1">
        <f>'Asset Prices'!F180/'Asset Prices'!F181-1</f>
        <v>1.3398486759142569E-2</v>
      </c>
      <c r="G180" s="1">
        <f>'Asset Prices'!G180/'Asset Prices'!G181-1</f>
        <v>1.5981735159817489E-2</v>
      </c>
      <c r="H180" s="1">
        <f>'Asset Prices'!H180/'Asset Prices'!H181-1</f>
        <v>6.1214249874560922E-2</v>
      </c>
      <c r="I180" s="1">
        <f>'Asset Prices'!I180/'Asset Prices'!I181-1</f>
        <v>1.8662181956274004E-2</v>
      </c>
      <c r="J180" s="1">
        <f>'Asset Prices'!J180/'Asset Prices'!J181-1</f>
        <v>1.3003525400219651E-2</v>
      </c>
      <c r="K180" s="1">
        <f>'Asset Prices'!K180/'Asset Prices'!K181-1</f>
        <v>5.5465074942749215E-2</v>
      </c>
      <c r="L180" s="1">
        <f>'Asset Prices'!L180/'Asset Prices'!L181-1</f>
        <v>5.6460633176093067E-2</v>
      </c>
      <c r="M180" s="1">
        <f>'Asset Prices'!M180/'Asset Prices'!M181-1</f>
        <v>1.1135346114108602E-2</v>
      </c>
      <c r="N180" s="1">
        <f>'Asset Prices'!N180/'Asset Prices'!N181-1</f>
        <v>1.4866394100897962E-2</v>
      </c>
      <c r="O180" s="1">
        <f>'Asset Prices'!O180/'Asset Prices'!O181-1</f>
        <v>-2.0725849492972737E-2</v>
      </c>
      <c r="P180" s="1">
        <f>'Asset Prices'!P180/'Asset Prices'!P181-1</f>
        <v>-2.9850746268656581E-2</v>
      </c>
      <c r="Q180" s="1">
        <f>'Asset Prices'!Q180/'Asset Prices'!Q181-1</f>
        <v>8.4054864980711352E-2</v>
      </c>
      <c r="R180" s="1">
        <f>'Asset Prices'!R180/'Asset Prices'!R181-1</f>
        <v>-3.3955857385398858E-2</v>
      </c>
      <c r="S180" s="1">
        <f>'Asset Prices'!S180/'Asset Prices'!S181-1</f>
        <v>4.227642276422694E-3</v>
      </c>
      <c r="T180" s="1">
        <f>'Asset Prices'!T180/'Asset Prices'!T181-1</f>
        <v>2.7487103905674326E-2</v>
      </c>
      <c r="U180" s="1">
        <f>'Asset Prices'!U180/'Asset Prices'!U181-1</f>
        <v>3.6390315480557378E-2</v>
      </c>
      <c r="V180" s="1">
        <f>'Asset Prices'!V180/'Asset Prices'!V181-1</f>
        <v>3.9133681852128399E-2</v>
      </c>
      <c r="W180" s="1">
        <f>'Asset Prices'!W180/'Asset Prices'!W181-1</f>
        <v>6.5844233055885715E-2</v>
      </c>
      <c r="X180" s="1">
        <f>'Asset Prices'!X180/'Asset Prices'!X181-1</f>
        <v>2.1638330757340896E-3</v>
      </c>
      <c r="Y180" s="1">
        <f>'Asset Prices'!Y180/'Asset Prices'!Y181-1</f>
        <v>8.5889570545643057E-2</v>
      </c>
      <c r="Z180" s="1">
        <f>'Asset Prices'!Z180/'Asset Prices'!Z181-1</f>
        <v>0</v>
      </c>
      <c r="AA180" s="1">
        <f>'Asset Prices'!AA180/'Asset Prices'!AA181-1</f>
        <v>4.3523316062176187E-2</v>
      </c>
      <c r="AB180" s="1">
        <f>'Asset Prices'!AB180/'Asset Prices'!AB181-1</f>
        <v>2.0565552699228773E-2</v>
      </c>
      <c r="AC180" s="1">
        <f>'Asset Prices'!AC180/'Asset Prices'!AC181-1</f>
        <v>0.12067988668555252</v>
      </c>
      <c r="AD180" s="1">
        <f>'Asset Prices'!AD180/'Asset Prices'!AD181-1</f>
        <v>3.7985769020251858E-2</v>
      </c>
      <c r="AE180" s="1">
        <f>'Asset Prices'!AE180/'Asset Prices'!AE181-1</f>
        <v>6.8331503841932095E-2</v>
      </c>
      <c r="AF180" s="1">
        <f>'Asset Prices'!AF180/'Asset Prices'!AF181-1</f>
        <v>9.32140193885167E-3</v>
      </c>
      <c r="AG180" s="1">
        <f>'Asset Prices'!AG180/'Asset Prices'!AG181-1</f>
        <v>3.6468330134356908E-2</v>
      </c>
      <c r="AH180" s="1">
        <f>'Asset Prices'!AH180/'Asset Prices'!AH181-1</f>
        <v>6.0221354166666741E-2</v>
      </c>
      <c r="AI180" s="1">
        <f>'Asset Prices'!AI180/'Asset Prices'!AI181-1</f>
        <v>5.8767471410419159E-3</v>
      </c>
      <c r="AJ180" s="1">
        <f>'Asset Prices'!AJ180/'Asset Prices'!AJ181-1</f>
        <v>1.3477088948786964E-2</v>
      </c>
      <c r="AK180" s="1">
        <f>'Asset Prices'!AK180/'Asset Prices'!AK181-1</f>
        <v>2.9967727063162641E-2</v>
      </c>
      <c r="AL180" s="1">
        <f>'Asset Prices'!AL180/'Asset Prices'!AL181-1</f>
        <v>4.8161823727732589E-4</v>
      </c>
      <c r="AM180" s="1">
        <f>'Asset Prices'!AM180/'Asset Prices'!AM181-1</f>
        <v>1.5460729746443969E-2</v>
      </c>
      <c r="AN180" s="1">
        <f>'Asset Prices'!AN180/'Asset Prices'!AN181-1</f>
        <v>-8.819453193903426E-4</v>
      </c>
      <c r="AO180" s="1">
        <f>'Asset Prices'!AO180/'Asset Prices'!AO181-1</f>
        <v>-9.3155893536122081E-3</v>
      </c>
      <c r="AP180" s="1">
        <f>'Asset Prices'!AP180/'Asset Prices'!AP181-1</f>
        <v>1.9223120774227498E-2</v>
      </c>
      <c r="AQ180" s="1">
        <f>'Asset Prices'!AQ180/'Asset Prices'!AQ181-1</f>
        <v>1.7055144968732172E-2</v>
      </c>
      <c r="AR180" s="1">
        <f>'Asset Prices'!AR180/'Asset Prices'!AR181-1</f>
        <v>1.5159435441714608E-2</v>
      </c>
      <c r="AS180" s="1">
        <f>'Asset Prices'!AS180/'Asset Prices'!AS181-1</f>
        <v>5.4163845633039998E-2</v>
      </c>
      <c r="AT180" s="1">
        <f>'Asset Prices'!AT180/'Asset Prices'!AT181-1</f>
        <v>6.2458908612754716E-3</v>
      </c>
      <c r="AU180" s="1">
        <f>'Asset Prices'!AU180/'Asset Prices'!AU181-1</f>
        <v>2.1856192587899725E-2</v>
      </c>
      <c r="AV180" s="1">
        <f>'Asset Prices'!AV180/'Asset Prices'!AV181-1</f>
        <v>2.2873415395921359E-2</v>
      </c>
      <c r="AW180" s="1">
        <f>'Asset Prices'!AW180/'Asset Prices'!AW181-1</f>
        <v>1.6724822524365246E-2</v>
      </c>
      <c r="AX180" s="1">
        <f>'Asset Prices'!AX180/'Asset Prices'!AX181-1</f>
        <v>3.9787798408488229E-3</v>
      </c>
      <c r="AY180" s="1">
        <f>'Asset Prices'!AY180/'Asset Prices'!AY181-1</f>
        <v>3.1512605042016695E-2</v>
      </c>
      <c r="AZ180" s="1">
        <f>'Asset Prices'!AZ180/'Asset Prices'!AZ181-1</f>
        <v>1.4709963918956293E-2</v>
      </c>
      <c r="BA180" s="1">
        <f>'Asset Prices'!BA180/'Asset Prices'!BA181-1</f>
        <v>-2.4937655860348684E-3</v>
      </c>
      <c r="BB180" s="1">
        <f>'Asset Prices'!BB180/'Asset Prices'!BB181-1</f>
        <v>-3.1726065688329808E-2</v>
      </c>
      <c r="BC180" s="1">
        <f>'Asset Prices'!BC180/'Asset Prices'!BC181-1</f>
        <v>8.1537951607557169E-2</v>
      </c>
      <c r="BD180" s="1">
        <f>'Asset Prices'!BD180/'Asset Prices'!BD181-1</f>
        <v>-4.2578710644677553E-2</v>
      </c>
    </row>
    <row r="181" spans="3:56" x14ac:dyDescent="0.25">
      <c r="C181" s="38">
        <f>'Asset Prices'!C181</f>
        <v>43104</v>
      </c>
      <c r="D181" s="1">
        <f>'Asset Prices'!D181/'Asset Prices'!D182-1</f>
        <v>1.5128989943157034E-2</v>
      </c>
      <c r="E181" s="1">
        <f>'Asset Prices'!E181/'Asset Prices'!E182-1</f>
        <v>4.1384429804212752E-2</v>
      </c>
      <c r="F181" s="1">
        <f>'Asset Prices'!F181/'Asset Prices'!F182-1</f>
        <v>7.7839555202541266E-3</v>
      </c>
      <c r="G181" s="1">
        <f>'Asset Prices'!G181/'Asset Prices'!G182-1</f>
        <v>1.388888888888884E-2</v>
      </c>
      <c r="H181" s="1">
        <f>'Asset Prices'!H181/'Asset Prices'!H182-1</f>
        <v>6.4385809872491429E-3</v>
      </c>
      <c r="I181" s="1">
        <f>'Asset Prices'!I181/'Asset Prices'!I182-1</f>
        <v>3.6027428057554101E-2</v>
      </c>
      <c r="J181" s="1">
        <f>'Asset Prices'!J181/'Asset Prices'!J182-1</f>
        <v>1.1398176291793183E-2</v>
      </c>
      <c r="K181" s="1">
        <f>'Asset Prices'!K181/'Asset Prices'!K182-1</f>
        <v>1.9804400977995185E-2</v>
      </c>
      <c r="L181" s="1">
        <f>'Asset Prices'!L181/'Asset Prices'!L182-1</f>
        <v>6.7043744486534163E-2</v>
      </c>
      <c r="M181" s="1">
        <f>'Asset Prices'!M181/'Asset Prices'!M182-1</f>
        <v>1.6215585627624929E-2</v>
      </c>
      <c r="N181" s="1">
        <f>'Asset Prices'!N181/'Asset Prices'!N182-1</f>
        <v>3.7700648704957596E-2</v>
      </c>
      <c r="O181" s="1">
        <f>'Asset Prices'!O181/'Asset Prices'!O182-1</f>
        <v>-1.6963973417278733E-2</v>
      </c>
      <c r="P181" s="1">
        <f>'Asset Prices'!P181/'Asset Prices'!P182-1</f>
        <v>-9.6061057987543164E-3</v>
      </c>
      <c r="Q181" s="1">
        <f>'Asset Prices'!Q181/'Asset Prices'!Q182-1</f>
        <v>3.0113034263511196E-2</v>
      </c>
      <c r="R181" s="1">
        <f>'Asset Prices'!R181/'Asset Prices'!R182-1</f>
        <v>-1.9966722129783676E-2</v>
      </c>
      <c r="S181" s="1">
        <f>'Asset Prices'!S181/'Asset Prices'!S182-1</f>
        <v>-5.1763183435781235E-3</v>
      </c>
      <c r="T181" s="1">
        <f>'Asset Prices'!T181/'Asset Prices'!T182-1</f>
        <v>-6.3703595225891307E-3</v>
      </c>
      <c r="U181" s="1">
        <f>'Asset Prices'!U181/'Asset Prices'!U182-1</f>
        <v>-2.6150328665332956E-2</v>
      </c>
      <c r="V181" s="1">
        <f>'Asset Prices'!V181/'Asset Prices'!V182-1</f>
        <v>4.9044186775305532E-2</v>
      </c>
      <c r="W181" s="1">
        <f>'Asset Prices'!W181/'Asset Prices'!W182-1</f>
        <v>-1.6661794796843044E-2</v>
      </c>
      <c r="X181" s="1">
        <f>'Asset Prices'!X181/'Asset Prices'!X182-1</f>
        <v>-1.7762258994990177E-2</v>
      </c>
      <c r="Y181" s="1">
        <f>'Asset Prices'!Y181/'Asset Prices'!Y182-1</f>
        <v>2.7742749049471271E-2</v>
      </c>
      <c r="Z181" s="1">
        <f>'Asset Prices'!Z181/'Asset Prices'!Z182-1</f>
        <v>-2.666666666666706E-3</v>
      </c>
      <c r="AA181" s="1">
        <f>'Asset Prices'!AA181/'Asset Prices'!AA182-1</f>
        <v>2.659574468085113E-2</v>
      </c>
      <c r="AB181" s="1">
        <f>'Asset Prices'!AB181/'Asset Prices'!AB182-1</f>
        <v>-2.0151133501259411E-2</v>
      </c>
      <c r="AC181" s="1">
        <f>'Asset Prices'!AC181/'Asset Prices'!AC182-1</f>
        <v>9.7254004576659003E-3</v>
      </c>
      <c r="AD181" s="1">
        <f>'Asset Prices'!AD181/'Asset Prices'!AD182-1</f>
        <v>-2.188902265515269E-4</v>
      </c>
      <c r="AE181" s="1">
        <f>'Asset Prices'!AE181/'Asset Prices'!AE182-1</f>
        <v>-2.5547445255474921E-3</v>
      </c>
      <c r="AF181" s="1">
        <f>'Asset Prices'!AF181/'Asset Prices'!AF182-1</f>
        <v>4.929577464788748E-2</v>
      </c>
      <c r="AG181" s="1">
        <f>'Asset Prices'!AG181/'Asset Prices'!AG182-1</f>
        <v>-2.7985074626865725E-2</v>
      </c>
      <c r="AH181" s="1">
        <f>'Asset Prices'!AH181/'Asset Prices'!AH182-1</f>
        <v>5.4945054945054972E-2</v>
      </c>
      <c r="AI181" s="1">
        <f>'Asset Prices'!AI181/'Asset Prices'!AI182-1</f>
        <v>-1.2856694888679798E-2</v>
      </c>
      <c r="AJ181" s="1">
        <f>'Asset Prices'!AJ181/'Asset Prices'!AJ182-1</f>
        <v>1.3661202185792254E-2</v>
      </c>
      <c r="AK181" s="1">
        <f>'Asset Prices'!AK181/'Asset Prices'!AK182-1</f>
        <v>-3.7710736468500317E-2</v>
      </c>
      <c r="AL181" s="1">
        <f>'Asset Prices'!AL181/'Asset Prices'!AL182-1</f>
        <v>-2.5805442602439777E-2</v>
      </c>
      <c r="AM181" s="1">
        <f>'Asset Prices'!AM181/'Asset Prices'!AM182-1</f>
        <v>4.9727343547130598E-2</v>
      </c>
      <c r="AN181" s="1">
        <f>'Asset Prices'!AN181/'Asset Prices'!AN182-1</f>
        <v>2.0048836910422807E-2</v>
      </c>
      <c r="AO181" s="1">
        <f>'Asset Prices'!AO181/'Asset Prices'!AO182-1</f>
        <v>-1.5534344001497224E-2</v>
      </c>
      <c r="AP181" s="1">
        <f>'Asset Prices'!AP181/'Asset Prices'!AP182-1</f>
        <v>-1.243781094527352E-2</v>
      </c>
      <c r="AQ181" s="1">
        <f>'Asset Prices'!AQ181/'Asset Prices'!AQ182-1</f>
        <v>6.878113987118728E-2</v>
      </c>
      <c r="AR181" s="1">
        <f>'Asset Prices'!AR181/'Asset Prices'!AR182-1</f>
        <v>1.9994668088509693E-2</v>
      </c>
      <c r="AS181" s="1">
        <f>'Asset Prices'!AS181/'Asset Prices'!AS182-1</f>
        <v>5.8528428093645557E-2</v>
      </c>
      <c r="AT181" s="1">
        <f>'Asset Prices'!AT181/'Asset Prices'!AT182-1</f>
        <v>-3.6030134294137151E-3</v>
      </c>
      <c r="AU181" s="1">
        <f>'Asset Prices'!AU181/'Asset Prices'!AU182-1</f>
        <v>3.1121687196715264E-2</v>
      </c>
      <c r="AV181" s="1">
        <f>'Asset Prices'!AV181/'Asset Prices'!AV182-1</f>
        <v>7.3100768020728513E-3</v>
      </c>
      <c r="AW181" s="1">
        <f>'Asset Prices'!AW181/'Asset Prices'!AW182-1</f>
        <v>2.9226006191950482E-2</v>
      </c>
      <c r="AX181" s="1">
        <f>'Asset Prices'!AX181/'Asset Prices'!AX182-1</f>
        <v>5.8245614035087767E-2</v>
      </c>
      <c r="AY181" s="1">
        <f>'Asset Prices'!AY181/'Asset Prices'!AY182-1</f>
        <v>-1.4492753623188248E-2</v>
      </c>
      <c r="AZ181" s="1">
        <f>'Asset Prices'!AZ181/'Asset Prices'!AZ182-1</f>
        <v>-3.4573364679850727E-3</v>
      </c>
      <c r="BA181" s="1">
        <f>'Asset Prices'!BA181/'Asset Prices'!BA182-1</f>
        <v>-1.4742014742014753E-2</v>
      </c>
      <c r="BB181" s="1">
        <f>'Asset Prices'!BB181/'Asset Prices'!BB182-1</f>
        <v>-2.520435967302459E-2</v>
      </c>
      <c r="BC181" s="1">
        <f>'Asset Prices'!BC181/'Asset Prices'!BC182-1</f>
        <v>-2.990353697749204E-2</v>
      </c>
      <c r="BD181" s="1">
        <f>'Asset Prices'!BD181/'Asset Prices'!BD182-1</f>
        <v>-1.6030684500393466E-2</v>
      </c>
    </row>
    <row r="182" spans="3:56" x14ac:dyDescent="0.25">
      <c r="C182" s="38">
        <f>'Asset Prices'!C182</f>
        <v>43097</v>
      </c>
      <c r="D182" s="1">
        <f>'Asset Prices'!D182/'Asset Prices'!D183-1</f>
        <v>1.7258251045280559E-2</v>
      </c>
      <c r="E182" s="1">
        <f>'Asset Prices'!E182/'Asset Prices'!E183-1</f>
        <v>-1.6427854339691517E-2</v>
      </c>
      <c r="F182" s="1">
        <f>'Asset Prices'!F182/'Asset Prices'!F183-1</f>
        <v>-2.8099428747876964E-2</v>
      </c>
      <c r="G182" s="1">
        <f>'Asset Prices'!G182/'Asset Prices'!G183-1</f>
        <v>5.0761421319798217E-3</v>
      </c>
      <c r="H182" s="1">
        <f>'Asset Prices'!H182/'Asset Prices'!H183-1</f>
        <v>2.4443869632695403E-2</v>
      </c>
      <c r="I182" s="1">
        <f>'Asset Prices'!I182/'Asset Prices'!I183-1</f>
        <v>2.6486334178641435E-3</v>
      </c>
      <c r="J182" s="1">
        <f>'Asset Prices'!J182/'Asset Prices'!J183-1</f>
        <v>-2.2455859665161837E-2</v>
      </c>
      <c r="K182" s="1">
        <f>'Asset Prices'!K182/'Asset Prices'!K183-1</f>
        <v>9.6530355136368318E-3</v>
      </c>
      <c r="L182" s="1">
        <f>'Asset Prices'!L182/'Asset Prices'!L183-1</f>
        <v>2.1683808715936781E-2</v>
      </c>
      <c r="M182" s="1">
        <f>'Asset Prices'!M182/'Asset Prices'!M183-1</f>
        <v>2.5730994152046716E-3</v>
      </c>
      <c r="N182" s="1">
        <f>'Asset Prices'!N182/'Asset Prices'!N183-1</f>
        <v>-1.391418032404157E-2</v>
      </c>
      <c r="O182" s="1">
        <f>'Asset Prices'!O182/'Asset Prices'!O183-1</f>
        <v>-2.6164311878597024E-3</v>
      </c>
      <c r="P182" s="1">
        <f>'Asset Prices'!P182/'Asset Prices'!P183-1</f>
        <v>1.5048975957257404E-2</v>
      </c>
      <c r="Q182" s="1">
        <f>'Asset Prices'!Q182/'Asset Prices'!Q183-1</f>
        <v>3.5289815322728124E-2</v>
      </c>
      <c r="R182" s="1">
        <f>'Asset Prices'!R182/'Asset Prices'!R183-1</f>
        <v>-6.4062822897292815E-3</v>
      </c>
      <c r="S182" s="1">
        <f>'Asset Prices'!S182/'Asset Prices'!S183-1</f>
        <v>-8.9772362936838546E-3</v>
      </c>
      <c r="T182" s="1">
        <f>'Asset Prices'!T182/'Asset Prices'!T183-1</f>
        <v>1.9559537140724226E-2</v>
      </c>
      <c r="U182" s="1">
        <f>'Asset Prices'!U182/'Asset Prices'!U183-1</f>
        <v>-4.5519203413939557E-3</v>
      </c>
      <c r="V182" s="1">
        <f>'Asset Prices'!V182/'Asset Prices'!V183-1</f>
        <v>1.0980392156862973E-3</v>
      </c>
      <c r="W182" s="1">
        <f>'Asset Prices'!W182/'Asset Prices'!W183-1</f>
        <v>1.9976147883124629E-2</v>
      </c>
      <c r="X182" s="1">
        <f>'Asset Prices'!X182/'Asset Prices'!X183-1</f>
        <v>-2.4231409965166373E-3</v>
      </c>
      <c r="Y182" s="1">
        <f>'Asset Prices'!Y182/'Asset Prices'!Y183-1</f>
        <v>7.3678861879133972E-3</v>
      </c>
      <c r="Z182" s="1">
        <f>'Asset Prices'!Z182/'Asset Prices'!Z183-1</f>
        <v>-6.7164179104477695E-2</v>
      </c>
      <c r="AA182" s="1">
        <f>'Asset Prices'!AA182/'Asset Prices'!AA183-1</f>
        <v>-7.3917634635691787E-3</v>
      </c>
      <c r="AB182" s="1">
        <f>'Asset Prices'!AB182/'Asset Prices'!AB183-1</f>
        <v>-1.243781094527352E-2</v>
      </c>
      <c r="AC182" s="1">
        <f>'Asset Prices'!AC182/'Asset Prices'!AC183-1</f>
        <v>-1.1871113623516116E-2</v>
      </c>
      <c r="AD182" s="1">
        <f>'Asset Prices'!AD182/'Asset Prices'!AD183-1</f>
        <v>0.16113864531706712</v>
      </c>
      <c r="AE182" s="1">
        <f>'Asset Prices'!AE182/'Asset Prices'!AE183-1</f>
        <v>4.4908807625332336E-3</v>
      </c>
      <c r="AF182" s="1">
        <f>'Asset Prices'!AF182/'Asset Prices'!AF183-1</f>
        <v>1.267828843106189E-2</v>
      </c>
      <c r="AG182" s="1">
        <f>'Asset Prices'!AG182/'Asset Prices'!AG183-1</f>
        <v>1.7077798861480087E-2</v>
      </c>
      <c r="AH182" s="1">
        <f>'Asset Prices'!AH182/'Asset Prices'!AH183-1</f>
        <v>-3.2558139534883734E-2</v>
      </c>
      <c r="AI182" s="1">
        <f>'Asset Prices'!AI182/'Asset Prices'!AI183-1</f>
        <v>-8.2413310527134076E-3</v>
      </c>
      <c r="AJ182" s="1">
        <f>'Asset Prices'!AJ182/'Asset Prices'!AJ183-1</f>
        <v>8.2644628099175499E-3</v>
      </c>
      <c r="AK182" s="1">
        <f>'Asset Prices'!AK182/'Asset Prices'!AK183-1</f>
        <v>4.9041462327239493E-3</v>
      </c>
      <c r="AL182" s="1">
        <f>'Asset Prices'!AL182/'Asset Prices'!AL183-1</f>
        <v>9.9510345916915544E-3</v>
      </c>
      <c r="AM182" s="1">
        <f>'Asset Prices'!AM182/'Asset Prices'!AM183-1</f>
        <v>1.6765676567656707E-2</v>
      </c>
      <c r="AN182" s="1">
        <f>'Asset Prices'!AN182/'Asset Prices'!AN183-1</f>
        <v>9.8637248539910072E-3</v>
      </c>
      <c r="AO182" s="1">
        <f>'Asset Prices'!AO182/'Asset Prices'!AO183-1</f>
        <v>7.9230333899265037E-3</v>
      </c>
      <c r="AP182" s="1">
        <f>'Asset Prices'!AP182/'Asset Prices'!AP183-1</f>
        <v>1.0484927916121212E-3</v>
      </c>
      <c r="AQ182" s="1">
        <f>'Asset Prices'!AQ182/'Asset Prices'!AQ183-1</f>
        <v>-1.9306399713979183E-2</v>
      </c>
      <c r="AR182" s="1">
        <f>'Asset Prices'!AR182/'Asset Prices'!AR183-1</f>
        <v>2.123604682820579E-2</v>
      </c>
      <c r="AS182" s="1">
        <f>'Asset Prices'!AS182/'Asset Prices'!AS183-1</f>
        <v>-2.3832221163012646E-3</v>
      </c>
      <c r="AT182" s="1">
        <f>'Asset Prices'!AT182/'Asset Prices'!AT183-1</f>
        <v>7.7570556197392726E-3</v>
      </c>
      <c r="AU182" s="1">
        <f>'Asset Prices'!AU182/'Asset Prices'!AU183-1</f>
        <v>-1.5887592983745091E-2</v>
      </c>
      <c r="AV182" s="1">
        <f>'Asset Prices'!AV182/'Asset Prices'!AV183-1</f>
        <v>-3.6876555729695726E-3</v>
      </c>
      <c r="AW182" s="1">
        <f>'Asset Prices'!AW182/'Asset Prices'!AW183-1</f>
        <v>-1.1143766838109137E-2</v>
      </c>
      <c r="AX182" s="1">
        <f>'Asset Prices'!AX182/'Asset Prices'!AX183-1</f>
        <v>4.2283298097252064E-3</v>
      </c>
      <c r="AY182" s="1">
        <f>'Asset Prices'!AY182/'Asset Prices'!AY183-1</f>
        <v>2.5477707006369421E-2</v>
      </c>
      <c r="AZ182" s="1">
        <f>'Asset Prices'!AZ182/'Asset Prices'!AZ183-1</f>
        <v>-5.3645116918844549E-3</v>
      </c>
      <c r="BA182" s="1">
        <f>'Asset Prices'!BA182/'Asset Prices'!BA183-1</f>
        <v>-8.5261875761266648E-3</v>
      </c>
      <c r="BB182" s="1">
        <f>'Asset Prices'!BB182/'Asset Prices'!BB183-1</f>
        <v>1.1437233016398096E-2</v>
      </c>
      <c r="BC182" s="1">
        <f>'Asset Prices'!BC182/'Asset Prices'!BC183-1</f>
        <v>-3.0548628428927693E-2</v>
      </c>
      <c r="BD182" s="1">
        <f>'Asset Prices'!BD182/'Asset Prices'!BD183-1</f>
        <v>5.5379746835442223E-3</v>
      </c>
    </row>
    <row r="183" spans="3:56" x14ac:dyDescent="0.25">
      <c r="C183" s="38">
        <f>'Asset Prices'!C183</f>
        <v>43090</v>
      </c>
      <c r="D183" s="1">
        <f>'Asset Prices'!D183/'Asset Prices'!D184-1</f>
        <v>-4.5164718384697045E-3</v>
      </c>
      <c r="E183" s="1">
        <f>'Asset Prices'!E183/'Asset Prices'!E184-1</f>
        <v>-9.0440444966989331E-3</v>
      </c>
      <c r="F183" s="1">
        <f>'Asset Prices'!F183/'Asset Prices'!F184-1</f>
        <v>3.7192003719199729E-3</v>
      </c>
      <c r="G183" s="1">
        <f>'Asset Prices'!G183/'Asset Prices'!G184-1</f>
        <v>-5.7979677226539073E-2</v>
      </c>
      <c r="H183" s="1">
        <f>'Asset Prices'!H183/'Asset Prices'!H184-1</f>
        <v>5.7150669948044852E-2</v>
      </c>
      <c r="I183" s="1">
        <f>'Asset Prices'!I183/'Asset Prices'!I184-1</f>
        <v>-5.2693536633219296E-3</v>
      </c>
      <c r="J183" s="1">
        <f>'Asset Prices'!J183/'Asset Prices'!J184-1</f>
        <v>1.6200209034955337E-2</v>
      </c>
      <c r="K183" s="1">
        <f>'Asset Prices'!K183/'Asset Prices'!K184-1</f>
        <v>4.2580007834724931E-4</v>
      </c>
      <c r="L183" s="1">
        <f>'Asset Prices'!L183/'Asset Prices'!L184-1</f>
        <v>-4.9588520784975554E-3</v>
      </c>
      <c r="M183" s="1">
        <f>'Asset Prices'!M183/'Asset Prices'!M184-1</f>
        <v>9.5642933049946421E-3</v>
      </c>
      <c r="N183" s="1">
        <f>'Asset Prices'!N183/'Asset Prices'!N184-1</f>
        <v>1.2652841215353483E-2</v>
      </c>
      <c r="O183" s="1">
        <f>'Asset Prices'!O183/'Asset Prices'!O184-1</f>
        <v>1.1467889908256756E-2</v>
      </c>
      <c r="P183" s="1">
        <f>'Asset Prices'!P183/'Asset Prices'!P184-1</f>
        <v>8.3052749719416674E-3</v>
      </c>
      <c r="Q183" s="1">
        <f>'Asset Prices'!Q183/'Asset Prices'!Q184-1</f>
        <v>-6.4328485885372211E-2</v>
      </c>
      <c r="R183" s="1">
        <f>'Asset Prices'!R183/'Asset Prices'!R184-1</f>
        <v>-3.9690414764834259E-2</v>
      </c>
      <c r="S183" s="1">
        <f>'Asset Prices'!S183/'Asset Prices'!S184-1</f>
        <v>-7.7218934911242543E-2</v>
      </c>
      <c r="T183" s="1">
        <f>'Asset Prices'!T183/'Asset Prices'!T184-1</f>
        <v>4.8778578139680562E-2</v>
      </c>
      <c r="U183" s="1">
        <f>'Asset Prices'!U183/'Asset Prices'!U184-1</f>
        <v>-3.5435861091424048E-3</v>
      </c>
      <c r="V183" s="1">
        <f>'Asset Prices'!V183/'Asset Prices'!V184-1</f>
        <v>4.2688910696761617E-2</v>
      </c>
      <c r="W183" s="1">
        <f>'Asset Prices'!W183/'Asset Prices'!W184-1</f>
        <v>5.2235294117646935E-2</v>
      </c>
      <c r="X183" s="1">
        <f>'Asset Prices'!X183/'Asset Prices'!X184-1</f>
        <v>3.4142521534847203E-2</v>
      </c>
      <c r="Y183" s="1">
        <f>'Asset Prices'!Y183/'Asset Prices'!Y184-1</f>
        <v>-5.2479537810066978E-2</v>
      </c>
      <c r="Z183" s="1">
        <f>'Asset Prices'!Z183/'Asset Prices'!Z184-1</f>
        <v>6.0686015831134643E-2</v>
      </c>
      <c r="AA183" s="1">
        <f>'Asset Prices'!AA183/'Asset Prices'!AA184-1</f>
        <v>-2.1694214876032958E-2</v>
      </c>
      <c r="AB183" s="1">
        <f>'Asset Prices'!AB183/'Asset Prices'!AB184-1</f>
        <v>4.9999999999998934E-3</v>
      </c>
      <c r="AC183" s="1">
        <f>'Asset Prices'!AC183/'Asset Prices'!AC184-1</f>
        <v>3.7536656891495657E-2</v>
      </c>
      <c r="AD183" s="1">
        <f>'Asset Prices'!AD183/'Asset Prices'!AD184-1</f>
        <v>3.3626691186128932E-2</v>
      </c>
      <c r="AE183" s="1">
        <f>'Asset Prices'!AE183/'Asset Prices'!AE184-1</f>
        <v>1.6773832820799583E-2</v>
      </c>
      <c r="AF183" s="1">
        <f>'Asset Prices'!AF183/'Asset Prices'!AF184-1</f>
        <v>1.3654618473895486E-2</v>
      </c>
      <c r="AG183" s="1">
        <f>'Asset Prices'!AG183/'Asset Prices'!AG184-1</f>
        <v>7.9918032786885362E-2</v>
      </c>
      <c r="AH183" s="1">
        <f>'Asset Prices'!AH183/'Asset Prices'!AH184-1</f>
        <v>3.082191780821919E-2</v>
      </c>
      <c r="AI183" s="1">
        <f>'Asset Prices'!AI183/'Asset Prices'!AI184-1</f>
        <v>4.0951764325024342E-2</v>
      </c>
      <c r="AJ183" s="1">
        <f>'Asset Prices'!AJ183/'Asset Prices'!AJ184-1</f>
        <v>1.3966480446927276E-2</v>
      </c>
      <c r="AK183" s="1">
        <f>'Asset Prices'!AK183/'Asset Prices'!AK184-1</f>
        <v>5.9017941454202028E-2</v>
      </c>
      <c r="AL183" s="1">
        <f>'Asset Prices'!AL183/'Asset Prices'!AL184-1</f>
        <v>-8.630393996247665E-2</v>
      </c>
      <c r="AM183" s="1">
        <f>'Asset Prices'!AM183/'Asset Prices'!AM184-1</f>
        <v>-1.6233766233766267E-2</v>
      </c>
      <c r="AN183" s="1">
        <f>'Asset Prices'!AN183/'Asset Prices'!AN184-1</f>
        <v>1.8237082066869137E-2</v>
      </c>
      <c r="AO183" s="1">
        <f>'Asset Prices'!AO183/'Asset Prices'!AO184-1</f>
        <v>1.2800917080626473E-2</v>
      </c>
      <c r="AP183" s="1">
        <f>'Asset Prices'!AP183/'Asset Prices'!AP184-1</f>
        <v>3.9226368836829062E-2</v>
      </c>
      <c r="AQ183" s="1">
        <f>'Asset Prices'!AQ183/'Asset Prices'!AQ184-1</f>
        <v>3.3501662766350471E-2</v>
      </c>
      <c r="AR183" s="1">
        <f>'Asset Prices'!AR183/'Asset Prices'!AR184-1</f>
        <v>2.3119777158774557E-2</v>
      </c>
      <c r="AS183" s="1">
        <f>'Asset Prices'!AS183/'Asset Prices'!AS184-1</f>
        <v>4.8737815546113561E-2</v>
      </c>
      <c r="AT183" s="1">
        <f>'Asset Prices'!AT183/'Asset Prices'!AT184-1</f>
        <v>-5.0903119868636049E-3</v>
      </c>
      <c r="AU183" s="1">
        <f>'Asset Prices'!AU183/'Asset Prices'!AU184-1</f>
        <v>-4.5253005439502836E-3</v>
      </c>
      <c r="AV183" s="1">
        <f>'Asset Prices'!AV183/'Asset Prices'!AV184-1</f>
        <v>3.6502627806975552E-2</v>
      </c>
      <c r="AW183" s="1">
        <f>'Asset Prices'!AW183/'Asset Prices'!AW184-1</f>
        <v>2.6266180721377541E-2</v>
      </c>
      <c r="AX183" s="1">
        <f>'Asset Prices'!AX183/'Asset Prices'!AX184-1</f>
        <v>-7.692307692307776E-3</v>
      </c>
      <c r="AY183" s="1">
        <f>'Asset Prices'!AY183/'Asset Prices'!AY184-1</f>
        <v>4.8997772828507813E-2</v>
      </c>
      <c r="AZ183" s="1">
        <f>'Asset Prices'!AZ183/'Asset Prices'!AZ184-1</f>
        <v>7.3437716502700034E-3</v>
      </c>
      <c r="BA183" s="1">
        <f>'Asset Prices'!BA183/'Asset Prices'!BA184-1</f>
        <v>2.7534418022528317E-2</v>
      </c>
      <c r="BB183" s="1">
        <f>'Asset Prices'!BB183/'Asset Prices'!BB184-1</f>
        <v>-4.2233073775900798E-2</v>
      </c>
      <c r="BC183" s="1">
        <f>'Asset Prices'!BC183/'Asset Prices'!BC184-1</f>
        <v>9.115646258503407E-2</v>
      </c>
      <c r="BD183" s="1">
        <f>'Asset Prices'!BD183/'Asset Prices'!BD184-1</f>
        <v>3.4052561611616738E-2</v>
      </c>
    </row>
    <row r="184" spans="3:56" x14ac:dyDescent="0.25">
      <c r="C184" s="38">
        <f>'Asset Prices'!C184</f>
        <v>43083</v>
      </c>
      <c r="D184" s="1">
        <f>'Asset Prices'!D184/'Asset Prices'!D185-1</f>
        <v>1.3644524236983813E-2</v>
      </c>
      <c r="E184" s="1">
        <f>'Asset Prices'!E184/'Asset Prices'!E185-1</f>
        <v>5.0446513395401738E-2</v>
      </c>
      <c r="F184" s="1">
        <f>'Asset Prices'!F184/'Asset Prices'!F185-1</f>
        <v>6.4851485148514909E-2</v>
      </c>
      <c r="G184" s="1">
        <f>'Asset Prices'!G184/'Asset Prices'!G185-1</f>
        <v>3.4418796372629679E-2</v>
      </c>
      <c r="H184" s="1">
        <f>'Asset Prices'!H184/'Asset Prices'!H185-1</f>
        <v>2.3724543355028382E-2</v>
      </c>
      <c r="I184" s="1">
        <f>'Asset Prices'!I184/'Asset Prices'!I185-1</f>
        <v>-9.7146663706006997E-3</v>
      </c>
      <c r="J184" s="1">
        <f>'Asset Prices'!J184/'Asset Prices'!J185-1</f>
        <v>1.7127332860855216E-2</v>
      </c>
      <c r="K184" s="1">
        <f>'Asset Prices'!K184/'Asset Prices'!K185-1</f>
        <v>1.2476396589037764E-2</v>
      </c>
      <c r="L184" s="1">
        <f>'Asset Prices'!L184/'Asset Prices'!L185-1</f>
        <v>2.3542116630669518E-2</v>
      </c>
      <c r="M184" s="1">
        <f>'Asset Prices'!M184/'Asset Prices'!M185-1</f>
        <v>2.6669899381743356E-2</v>
      </c>
      <c r="N184" s="1">
        <f>'Asset Prices'!N184/'Asset Prices'!N185-1</f>
        <v>1.2349579252706855E-2</v>
      </c>
      <c r="O184" s="1">
        <f>'Asset Prices'!O184/'Asset Prices'!O185-1</f>
        <v>-1.7611835153222843E-3</v>
      </c>
      <c r="P184" s="1">
        <f>'Asset Prices'!P184/'Asset Prices'!P185-1</f>
        <v>2.7207747290753925E-2</v>
      </c>
      <c r="Q184" s="1">
        <f>'Asset Prices'!Q184/'Asset Prices'!Q185-1</f>
        <v>-3.1402767420664501E-2</v>
      </c>
      <c r="R184" s="1">
        <f>'Asset Prices'!R184/'Asset Prices'!R185-1</f>
        <v>-8.8512981904013133E-3</v>
      </c>
      <c r="S184" s="1">
        <f>'Asset Prices'!S184/'Asset Prices'!S185-1</f>
        <v>-3.4837235865220029E-2</v>
      </c>
      <c r="T184" s="1">
        <f>'Asset Prices'!T184/'Asset Prices'!T185-1</f>
        <v>-1.0168165819318675E-3</v>
      </c>
      <c r="U184" s="1">
        <f>'Asset Prices'!U184/'Asset Prices'!U185-1</f>
        <v>1.3649425287356465E-2</v>
      </c>
      <c r="V184" s="1">
        <f>'Asset Prices'!V184/'Asset Prices'!V185-1</f>
        <v>-9.2367525522605298E-3</v>
      </c>
      <c r="W184" s="1">
        <f>'Asset Prices'!W184/'Asset Prices'!W185-1</f>
        <v>3.6753943730687855E-2</v>
      </c>
      <c r="X184" s="1">
        <f>'Asset Prices'!X184/'Asset Prices'!X185-1</f>
        <v>1.317042208822583E-2</v>
      </c>
      <c r="Y184" s="1">
        <f>'Asset Prices'!Y184/'Asset Prices'!Y185-1</f>
        <v>4.9785190823893322E-2</v>
      </c>
      <c r="Z184" s="1">
        <f>'Asset Prices'!Z184/'Asset Prices'!Z185-1</f>
        <v>-2.6315789473684292E-3</v>
      </c>
      <c r="AA184" s="1">
        <f>'Asset Prices'!AA184/'Asset Prices'!AA185-1</f>
        <v>-1.2244897959183709E-2</v>
      </c>
      <c r="AB184" s="1">
        <f>'Asset Prices'!AB184/'Asset Prices'!AB185-1</f>
        <v>4.7120418848167533E-2</v>
      </c>
      <c r="AC184" s="1">
        <f>'Asset Prices'!AC184/'Asset Prices'!AC185-1</f>
        <v>1.8822826411712068E-2</v>
      </c>
      <c r="AD184" s="1">
        <f>'Asset Prices'!AD184/'Asset Prices'!AD185-1</f>
        <v>-7.5609438143657837E-3</v>
      </c>
      <c r="AE184" s="1">
        <f>'Asset Prices'!AE184/'Asset Prices'!AE185-1</f>
        <v>-3.955965273427009E-2</v>
      </c>
      <c r="AF184" s="1">
        <f>'Asset Prices'!AF184/'Asset Prices'!AF185-1</f>
        <v>4.315039798910747E-2</v>
      </c>
      <c r="AG184" s="1">
        <f>'Asset Prices'!AG184/'Asset Prices'!AG185-1</f>
        <v>1.0256410256410664E-3</v>
      </c>
      <c r="AH184" s="1">
        <f>'Asset Prices'!AH184/'Asset Prices'!AH185-1</f>
        <v>-2.4064171122994749E-2</v>
      </c>
      <c r="AI184" s="1">
        <f>'Asset Prices'!AI184/'Asset Prices'!AI185-1</f>
        <v>5.1574468085106462E-2</v>
      </c>
      <c r="AJ184" s="1">
        <f>'Asset Prices'!AJ184/'Asset Prices'!AJ185-1</f>
        <v>6.5476190476190244E-2</v>
      </c>
      <c r="AK184" s="1">
        <f>'Asset Prices'!AK184/'Asset Prices'!AK185-1</f>
        <v>-3.1550068587105629E-2</v>
      </c>
      <c r="AL184" s="1">
        <f>'Asset Prices'!AL184/'Asset Prices'!AL185-1</f>
        <v>-3.4554827922530174E-2</v>
      </c>
      <c r="AM184" s="1">
        <f>'Asset Prices'!AM184/'Asset Prices'!AM185-1</f>
        <v>2.8000260467540006E-3</v>
      </c>
      <c r="AN184" s="1">
        <f>'Asset Prices'!AN184/'Asset Prices'!AN185-1</f>
        <v>1.2570294409526284E-3</v>
      </c>
      <c r="AO184" s="1">
        <f>'Asset Prices'!AO184/'Asset Prices'!AO185-1</f>
        <v>3.8080126933756508E-2</v>
      </c>
      <c r="AP184" s="1">
        <f>'Asset Prices'!AP184/'Asset Prices'!AP185-1</f>
        <v>-5.6879739978331623E-3</v>
      </c>
      <c r="AQ184" s="1">
        <f>'Asset Prices'!AQ184/'Asset Prices'!AQ185-1</f>
        <v>7.9453755431408979E-3</v>
      </c>
      <c r="AR184" s="1">
        <f>'Asset Prices'!AR184/'Asset Prices'!AR185-1</f>
        <v>-5.5679287305121505E-4</v>
      </c>
      <c r="AS184" s="1">
        <f>'Asset Prices'!AS184/'Asset Prices'!AS185-1</f>
        <v>7.0644902328070636E-2</v>
      </c>
      <c r="AT184" s="1">
        <f>'Asset Prices'!AT184/'Asset Prices'!AT185-1</f>
        <v>-1.6417665407975068E-4</v>
      </c>
      <c r="AU184" s="1">
        <f>'Asset Prices'!AU184/'Asset Prices'!AU185-1</f>
        <v>4.4075111335568629E-3</v>
      </c>
      <c r="AV184" s="1">
        <f>'Asset Prices'!AV184/'Asset Prices'!AV185-1</f>
        <v>-2.4787997390737115E-2</v>
      </c>
      <c r="AW184" s="1">
        <f>'Asset Prices'!AW184/'Asset Prices'!AW185-1</f>
        <v>1.6609173374217523E-2</v>
      </c>
      <c r="AX184" s="1">
        <f>'Asset Prices'!AX184/'Asset Prices'!AX185-1</f>
        <v>3.5481535119478602E-2</v>
      </c>
      <c r="AY184" s="1">
        <f>'Asset Prices'!AY184/'Asset Prices'!AY185-1</f>
        <v>-3.4408602150537759E-2</v>
      </c>
      <c r="AZ184" s="1">
        <f>'Asset Prices'!AZ184/'Asset Prices'!AZ185-1</f>
        <v>5.5733593423437089E-3</v>
      </c>
      <c r="BA184" s="1">
        <f>'Asset Prices'!BA184/'Asset Prices'!BA185-1</f>
        <v>-1.2500000000001954E-3</v>
      </c>
      <c r="BB184" s="1">
        <f>'Asset Prices'!BB184/'Asset Prices'!BB185-1</f>
        <v>-2.1691413815364879E-2</v>
      </c>
      <c r="BC184" s="1">
        <f>'Asset Prices'!BC184/'Asset Prices'!BC185-1</f>
        <v>-6.7567567567567988E-3</v>
      </c>
      <c r="BD184" s="1">
        <f>'Asset Prices'!BD184/'Asset Prices'!BD185-1</f>
        <v>-8.0137959018055094E-3</v>
      </c>
    </row>
    <row r="185" spans="3:56" x14ac:dyDescent="0.25">
      <c r="C185" s="38">
        <f>'Asset Prices'!C185</f>
        <v>43076</v>
      </c>
      <c r="D185" s="1">
        <f>'Asset Prices'!D185/'Asset Prices'!D186-1</f>
        <v>-1.0569322319921803E-2</v>
      </c>
      <c r="E185" s="1">
        <f>'Asset Prices'!E185/'Asset Prices'!E186-1</f>
        <v>4.1976721999619215E-3</v>
      </c>
      <c r="F185" s="1">
        <f>'Asset Prices'!F185/'Asset Prices'!F186-1</f>
        <v>2.9791459781529639E-3</v>
      </c>
      <c r="G185" s="1">
        <f>'Asset Prices'!G185/'Asset Prices'!G186-1</f>
        <v>-1.1006930289441441E-2</v>
      </c>
      <c r="H185" s="1">
        <f>'Asset Prices'!H185/'Asset Prices'!H186-1</f>
        <v>1.2327311370881944E-2</v>
      </c>
      <c r="I185" s="1">
        <f>'Asset Prices'!I185/'Asset Prices'!I186-1</f>
        <v>1.670617451179579E-2</v>
      </c>
      <c r="J185" s="1">
        <f>'Asset Prices'!J185/'Asset Prices'!J186-1</f>
        <v>-1.4722141402385813E-2</v>
      </c>
      <c r="K185" s="1">
        <f>'Asset Prices'!K185/'Asset Prices'!K186-1</f>
        <v>-1.4412577012959504E-2</v>
      </c>
      <c r="L185" s="1">
        <f>'Asset Prices'!L185/'Asset Prices'!L186-1</f>
        <v>-1.2687919820876581E-2</v>
      </c>
      <c r="M185" s="1">
        <f>'Asset Prices'!M185/'Asset Prices'!M186-1</f>
        <v>-1.9959605560175953E-2</v>
      </c>
      <c r="N185" s="1">
        <f>'Asset Prices'!N185/'Asset Prices'!N186-1</f>
        <v>8.10677784533409E-3</v>
      </c>
      <c r="O185" s="1">
        <f>'Asset Prices'!O185/'Asset Prices'!O186-1</f>
        <v>2.370864509149917E-2</v>
      </c>
      <c r="P185" s="1">
        <f>'Asset Prices'!P185/'Asset Prices'!P186-1</f>
        <v>-3.4008915850912702E-3</v>
      </c>
      <c r="Q185" s="1">
        <f>'Asset Prices'!Q185/'Asset Prices'!Q186-1</f>
        <v>-7.474701011959517E-2</v>
      </c>
      <c r="R185" s="1">
        <f>'Asset Prices'!R185/'Asset Prices'!R186-1</f>
        <v>-1.4919589226893959E-2</v>
      </c>
      <c r="S185" s="1">
        <f>'Asset Prices'!S185/'Asset Prices'!S186-1</f>
        <v>-4.4995909462776096E-2</v>
      </c>
      <c r="T185" s="1">
        <f>'Asset Prices'!T185/'Asset Prices'!T186-1</f>
        <v>6.6929133858266709E-3</v>
      </c>
      <c r="U185" s="1">
        <f>'Asset Prices'!U185/'Asset Prices'!U186-1</f>
        <v>4.473950064944221E-3</v>
      </c>
      <c r="V185" s="1">
        <f>'Asset Prices'!V185/'Asset Prices'!V186-1</f>
        <v>-1.7043644472762076E-2</v>
      </c>
      <c r="W185" s="1">
        <f>'Asset Prices'!W185/'Asset Prices'!W186-1</f>
        <v>3.153833249454796E-2</v>
      </c>
      <c r="X185" s="1">
        <f>'Asset Prices'!X185/'Asset Prices'!X186-1</f>
        <v>3.8734135487061172E-2</v>
      </c>
      <c r="Y185" s="1">
        <f>'Asset Prices'!Y185/'Asset Prices'!Y186-1</f>
        <v>9.6963510909409134E-3</v>
      </c>
      <c r="Z185" s="1">
        <f>'Asset Prices'!Z185/'Asset Prices'!Z186-1</f>
        <v>0</v>
      </c>
      <c r="AA185" s="1">
        <f>'Asset Prices'!AA185/'Asset Prices'!AA186-1</f>
        <v>-2.8741328047571901E-2</v>
      </c>
      <c r="AB185" s="1">
        <f>'Asset Prices'!AB185/'Asset Prices'!AB186-1</f>
        <v>-6.8292682926829218E-2</v>
      </c>
      <c r="AC185" s="1">
        <f>'Asset Prices'!AC185/'Asset Prices'!AC186-1</f>
        <v>-7.5414364640884024E-2</v>
      </c>
      <c r="AD185" s="1">
        <f>'Asset Prices'!AD185/'Asset Prices'!AD186-1</f>
        <v>-2.9355940781981671E-2</v>
      </c>
      <c r="AE185" s="1">
        <f>'Asset Prices'!AE185/'Asset Prices'!AE186-1</f>
        <v>-5.1205842391304324E-2</v>
      </c>
      <c r="AF185" s="1">
        <f>'Asset Prices'!AF185/'Asset Prices'!AF186-1</f>
        <v>-1.729106628242072E-2</v>
      </c>
      <c r="AG185" s="1">
        <f>'Asset Prices'!AG185/'Asset Prices'!AG186-1</f>
        <v>2.739726027397249E-2</v>
      </c>
      <c r="AH185" s="1">
        <f>'Asset Prices'!AH185/'Asset Prices'!AH186-1</f>
        <v>1.5614392396469778E-2</v>
      </c>
      <c r="AI185" s="1">
        <f>'Asset Prices'!AI185/'Asset Prices'!AI186-1</f>
        <v>1.4505266793300109E-2</v>
      </c>
      <c r="AJ185" s="1">
        <f>'Asset Prices'!AJ185/'Asset Prices'!AJ186-1</f>
        <v>3.0674846625766916E-2</v>
      </c>
      <c r="AK185" s="1">
        <f>'Asset Prices'!AK185/'Asset Prices'!AK186-1</f>
        <v>1.8630647414997759E-2</v>
      </c>
      <c r="AL185" s="1">
        <f>'Asset Prices'!AL185/'Asset Prices'!AL186-1</f>
        <v>-0.1168943029408146</v>
      </c>
      <c r="AM185" s="1">
        <f>'Asset Prices'!AM185/'Asset Prices'!AM186-1</f>
        <v>-2.5979086835098419E-3</v>
      </c>
      <c r="AN185" s="1">
        <f>'Asset Prices'!AN185/'Asset Prices'!AN186-1</f>
        <v>-3.108974358974359E-2</v>
      </c>
      <c r="AO185" s="1">
        <f>'Asset Prices'!AO185/'Asset Prices'!AO186-1</f>
        <v>-9.235606209471392E-3</v>
      </c>
      <c r="AP185" s="1">
        <f>'Asset Prices'!AP185/'Asset Prices'!AP186-1</f>
        <v>-2.2634017207147528E-2</v>
      </c>
      <c r="AQ185" s="1">
        <f>'Asset Prices'!AQ185/'Asset Prices'!AQ186-1</f>
        <v>5.7435385191657584E-3</v>
      </c>
      <c r="AR185" s="1">
        <f>'Asset Prices'!AR185/'Asset Prices'!AR186-1</f>
        <v>-2.8926736955934063E-2</v>
      </c>
      <c r="AS185" s="1">
        <f>'Asset Prices'!AS185/'Asset Prices'!AS186-1</f>
        <v>2.2994798795510363E-2</v>
      </c>
      <c r="AT185" s="1">
        <f>'Asset Prices'!AT185/'Asset Prices'!AT186-1</f>
        <v>5.5084011778971043E-2</v>
      </c>
      <c r="AU185" s="1">
        <f>'Asset Prices'!AU185/'Asset Prices'!AU186-1</f>
        <v>-4.5572060821173488E-2</v>
      </c>
      <c r="AV185" s="1">
        <f>'Asset Prices'!AV185/'Asset Prices'!AV186-1</f>
        <v>4.4277929155313256E-2</v>
      </c>
      <c r="AW185" s="1">
        <f>'Asset Prices'!AW185/'Asset Prices'!AW186-1</f>
        <v>-4.5487804878048821E-2</v>
      </c>
      <c r="AX185" s="1">
        <f>'Asset Prices'!AX185/'Asset Prices'!AX186-1</f>
        <v>-2.3338048090523311E-2</v>
      </c>
      <c r="AY185" s="1">
        <f>'Asset Prices'!AY185/'Asset Prices'!AY186-1</f>
        <v>-1.8987341772151889E-2</v>
      </c>
      <c r="AZ185" s="1">
        <f>'Asset Prices'!AZ185/'Asset Prices'!AZ186-1</f>
        <v>1.3987001977959768E-2</v>
      </c>
      <c r="BA185" s="1">
        <f>'Asset Prices'!BA185/'Asset Prices'!BA186-1</f>
        <v>-1.2345679012345512E-2</v>
      </c>
      <c r="BB185" s="1">
        <f>'Asset Prices'!BB185/'Asset Prices'!BB186-1</f>
        <v>-2.2712933753943232E-2</v>
      </c>
      <c r="BC185" s="1">
        <f>'Asset Prices'!BC185/'Asset Prices'!BC186-1</f>
        <v>-2.6315789473684181E-2</v>
      </c>
      <c r="BD185" s="1">
        <f>'Asset Prices'!BD185/'Asset Prices'!BD186-1</f>
        <v>-2.2702488351343364E-2</v>
      </c>
    </row>
    <row r="186" spans="3:56" x14ac:dyDescent="0.25">
      <c r="C186" s="38">
        <f>'Asset Prices'!C186</f>
        <v>43069</v>
      </c>
      <c r="D186" s="1">
        <f>'Asset Prices'!D186/'Asset Prices'!D187-1</f>
        <v>1.5971846237141429E-2</v>
      </c>
      <c r="E186" s="1">
        <f>'Asset Prices'!E186/'Asset Prices'!E187-1</f>
        <v>2.0245279345921796E-2</v>
      </c>
      <c r="F186" s="1">
        <f>'Asset Prices'!F186/'Asset Prices'!F187-1</f>
        <v>2.2854240731335684E-2</v>
      </c>
      <c r="G186" s="1">
        <f>'Asset Prices'!G186/'Asset Prices'!G187-1</f>
        <v>9.8806093042405063E-3</v>
      </c>
      <c r="H186" s="1">
        <f>'Asset Prices'!H186/'Asset Prices'!H187-1</f>
        <v>2.2751974494601868E-2</v>
      </c>
      <c r="I186" s="1">
        <f>'Asset Prices'!I186/'Asset Prices'!I187-1</f>
        <v>-2.0401393265881529E-2</v>
      </c>
      <c r="J186" s="1">
        <f>'Asset Prices'!J186/'Asset Prices'!J187-1</f>
        <v>-1.7775491540923727E-2</v>
      </c>
      <c r="K186" s="1">
        <f>'Asset Prices'!K186/'Asset Prices'!K187-1</f>
        <v>1.7808953778023717E-2</v>
      </c>
      <c r="L186" s="1">
        <f>'Asset Prices'!L186/'Asset Prices'!L187-1</f>
        <v>-4.4519152404237872E-2</v>
      </c>
      <c r="M186" s="1">
        <f>'Asset Prices'!M186/'Asset Prices'!M187-1</f>
        <v>1.2754181205631099E-2</v>
      </c>
      <c r="N186" s="1">
        <f>'Asset Prices'!N186/'Asset Prices'!N187-1</f>
        <v>-1.4972621492128635E-2</v>
      </c>
      <c r="O186" s="1">
        <f>'Asset Prices'!O186/'Asset Prices'!O187-1</f>
        <v>2.5989641139474662E-2</v>
      </c>
      <c r="P186" s="1">
        <f>'Asset Prices'!P186/'Asset Prices'!P187-1</f>
        <v>-1.2973463370378746E-2</v>
      </c>
      <c r="Q186" s="1">
        <f>'Asset Prices'!Q186/'Asset Prices'!Q187-1</f>
        <v>2.5552323295856549E-2</v>
      </c>
      <c r="R186" s="1">
        <f>'Asset Prices'!R186/'Asset Prices'!R187-1</f>
        <v>2.137344151988918E-2</v>
      </c>
      <c r="S186" s="1">
        <f>'Asset Prices'!S186/'Asset Prices'!S187-1</f>
        <v>1.6916250693288948E-2</v>
      </c>
      <c r="T186" s="1">
        <f>'Asset Prices'!T186/'Asset Prices'!T187-1</f>
        <v>4.8263311970884182E-3</v>
      </c>
      <c r="U186" s="1">
        <f>'Asset Prices'!U186/'Asset Prices'!U187-1</f>
        <v>2.3485967503692917E-2</v>
      </c>
      <c r="V186" s="1">
        <f>'Asset Prices'!V186/'Asset Prices'!V187-1</f>
        <v>3.5802672826266368E-2</v>
      </c>
      <c r="W186" s="1">
        <f>'Asset Prices'!W186/'Asset Prices'!W187-1</f>
        <v>5.5231014338821049E-2</v>
      </c>
      <c r="X186" s="1">
        <f>'Asset Prices'!X186/'Asset Prices'!X187-1</f>
        <v>0.1012888001452168</v>
      </c>
      <c r="Y186" s="1">
        <f>'Asset Prices'!Y186/'Asset Prices'!Y187-1</f>
        <v>-8.6010624874843788E-3</v>
      </c>
      <c r="Z186" s="1">
        <f>'Asset Prices'!Z186/'Asset Prices'!Z187-1</f>
        <v>7.0422535211267512E-2</v>
      </c>
      <c r="AA186" s="1">
        <f>'Asset Prices'!AA186/'Asset Prices'!AA187-1</f>
        <v>-1.9436345966958202E-2</v>
      </c>
      <c r="AB186" s="1">
        <f>'Asset Prices'!AB186/'Asset Prices'!AB187-1</f>
        <v>9.8522167487684609E-3</v>
      </c>
      <c r="AC186" s="1">
        <f>'Asset Prices'!AC186/'Asset Prices'!AC187-1</f>
        <v>-4.5358649789029482E-2</v>
      </c>
      <c r="AD186" s="1">
        <f>'Asset Prices'!AD186/'Asset Prices'!AD187-1</f>
        <v>3.1050228310502304E-2</v>
      </c>
      <c r="AE186" s="1">
        <f>'Asset Prices'!AE186/'Asset Prices'!AE187-1</f>
        <v>5.5670103092783529E-2</v>
      </c>
      <c r="AF186" s="1">
        <f>'Asset Prices'!AF186/'Asset Prices'!AF187-1</f>
        <v>1.6743407283382084E-2</v>
      </c>
      <c r="AG186" s="1">
        <f>'Asset Prices'!AG186/'Asset Prices'!AG187-1</f>
        <v>1.2806830309498363E-2</v>
      </c>
      <c r="AH186" s="1">
        <f>'Asset Prices'!AH186/'Asset Prices'!AH187-1</f>
        <v>3.8054968287526414E-2</v>
      </c>
      <c r="AI186" s="1">
        <f>'Asset Prices'!AI186/'Asset Prices'!AI187-1</f>
        <v>4.858580600381579E-3</v>
      </c>
      <c r="AJ186" s="1">
        <f>'Asset Prices'!AJ186/'Asset Prices'!AJ187-1</f>
        <v>6.8852459016393475E-2</v>
      </c>
      <c r="AK186" s="1">
        <f>'Asset Prices'!AK186/'Asset Prices'!AK187-1</f>
        <v>7.889447236180902E-2</v>
      </c>
      <c r="AL186" s="1">
        <f>'Asset Prices'!AL186/'Asset Prices'!AL187-1</f>
        <v>1.3973799126637543E-2</v>
      </c>
      <c r="AM186" s="1">
        <f>'Asset Prices'!AM186/'Asset Prices'!AM187-1</f>
        <v>1.4495618369901653E-2</v>
      </c>
      <c r="AN186" s="1">
        <f>'Asset Prices'!AN186/'Asset Prices'!AN187-1</f>
        <v>7.8170424446024622E-3</v>
      </c>
      <c r="AO186" s="1">
        <f>'Asset Prices'!AO186/'Asset Prices'!AO187-1</f>
        <v>8.0467091295116644E-2</v>
      </c>
      <c r="AP186" s="1">
        <f>'Asset Prices'!AP186/'Asset Prices'!AP187-1</f>
        <v>7.0568230126115905E-2</v>
      </c>
      <c r="AQ186" s="1">
        <f>'Asset Prices'!AQ186/'Asset Prices'!AQ187-1</f>
        <v>-4.1182808571770591E-2</v>
      </c>
      <c r="AR186" s="1">
        <f>'Asset Prices'!AR186/'Asset Prices'!AR187-1</f>
        <v>7.6273494960501509E-3</v>
      </c>
      <c r="AS186" s="1">
        <f>'Asset Prices'!AS186/'Asset Prices'!AS187-1</f>
        <v>-2.011802575107291E-2</v>
      </c>
      <c r="AT186" s="1">
        <f>'Asset Prices'!AT186/'Asset Prices'!AT187-1</f>
        <v>5.1548269581056516E-2</v>
      </c>
      <c r="AU186" s="1">
        <f>'Asset Prices'!AU186/'Asset Prices'!AU187-1</f>
        <v>1.7749632074209654E-2</v>
      </c>
      <c r="AV186" s="1">
        <f>'Asset Prices'!AV186/'Asset Prices'!AV187-1</f>
        <v>2.9968928535632156E-2</v>
      </c>
      <c r="AW186" s="1">
        <f>'Asset Prices'!AW186/'Asset Prices'!AW187-1</f>
        <v>-3.279075253597552E-2</v>
      </c>
      <c r="AX186" s="1">
        <f>'Asset Prices'!AX186/'Asset Prices'!AX187-1</f>
        <v>-3.5236081747709314E-3</v>
      </c>
      <c r="AY186" s="1">
        <f>'Asset Prices'!AY186/'Asset Prices'!AY187-1</f>
        <v>1.0660980810234699E-2</v>
      </c>
      <c r="AZ186" s="1">
        <f>'Asset Prices'!AZ186/'Asset Prices'!AZ187-1</f>
        <v>5.3977272727272485E-3</v>
      </c>
      <c r="BA186" s="1">
        <f>'Asset Prices'!BA186/'Asset Prices'!BA187-1</f>
        <v>-8.5679314565483278E-3</v>
      </c>
      <c r="BB186" s="1">
        <f>'Asset Prices'!BB186/'Asset Prices'!BB187-1</f>
        <v>3.2707844670315511E-2</v>
      </c>
      <c r="BC186" s="1">
        <f>'Asset Prices'!BC186/'Asset Prices'!BC187-1</f>
        <v>0.1090842758117474</v>
      </c>
      <c r="BD186" s="1">
        <f>'Asset Prices'!BD186/'Asset Prices'!BD187-1</f>
        <v>2.4997459607763561E-2</v>
      </c>
    </row>
    <row r="187" spans="3:56" x14ac:dyDescent="0.25">
      <c r="C187" s="38">
        <f>'Asset Prices'!C187</f>
        <v>43061</v>
      </c>
      <c r="D187" s="1">
        <f>'Asset Prices'!D187/'Asset Prices'!D188-1</f>
        <v>-1.801477211313296E-3</v>
      </c>
      <c r="E187" s="1">
        <f>'Asset Prices'!E187/'Asset Prices'!E188-1</f>
        <v>-8.3011583011582957E-3</v>
      </c>
      <c r="F187" s="1">
        <f>'Asset Prices'!F187/'Asset Prices'!F188-1</f>
        <v>3.2150969771099103E-2</v>
      </c>
      <c r="G187" s="1">
        <f>'Asset Prices'!G187/'Asset Prices'!G188-1</f>
        <v>-1.2601626016260248E-2</v>
      </c>
      <c r="H187" s="1">
        <f>'Asset Prices'!H187/'Asset Prices'!H188-1</f>
        <v>1.2100322675271169E-2</v>
      </c>
      <c r="I187" s="1">
        <f>'Asset Prices'!I187/'Asset Prices'!I188-1</f>
        <v>7.127345620580261E-3</v>
      </c>
      <c r="J187" s="1">
        <f>'Asset Prices'!J187/'Asset Prices'!J188-1</f>
        <v>2.2559906487434223E-2</v>
      </c>
      <c r="K187" s="1">
        <f>'Asset Prices'!K187/'Asset Prices'!K188-1</f>
        <v>1.6592074141160262E-2</v>
      </c>
      <c r="L187" s="1">
        <f>'Asset Prices'!L187/'Asset Prices'!L188-1</f>
        <v>4.1430105876938406E-3</v>
      </c>
      <c r="M187" s="1">
        <f>'Asset Prices'!M187/'Asset Prices'!M188-1</f>
        <v>-1.0817307692307931E-3</v>
      </c>
      <c r="N187" s="1">
        <f>'Asset Prices'!N187/'Asset Prices'!N188-1</f>
        <v>3.2905090274399917E-3</v>
      </c>
      <c r="O187" s="1">
        <f>'Asset Prices'!O187/'Asset Prices'!O188-1</f>
        <v>-1.4402917046490438E-2</v>
      </c>
      <c r="P187" s="1">
        <f>'Asset Prices'!P187/'Asset Prices'!P188-1</f>
        <v>1.4309377012974966E-2</v>
      </c>
      <c r="Q187" s="1">
        <f>'Asset Prices'!Q187/'Asset Prices'!Q188-1</f>
        <v>-2.1183116271771274E-3</v>
      </c>
      <c r="R187" s="1">
        <f>'Asset Prices'!R187/'Asset Prices'!R188-1</f>
        <v>-1.2700273544353213E-2</v>
      </c>
      <c r="S187" s="1">
        <f>'Asset Prices'!S187/'Asset Prices'!S188-1</f>
        <v>-4.4174489232466918E-3</v>
      </c>
      <c r="T187" s="1">
        <f>'Asset Prices'!T187/'Asset Prices'!T188-1</f>
        <v>1.6160154365653767E-2</v>
      </c>
      <c r="U187" s="1">
        <f>'Asset Prices'!U187/'Asset Prices'!U188-1</f>
        <v>1.5296940611877474E-2</v>
      </c>
      <c r="V187" s="1">
        <f>'Asset Prices'!V187/'Asset Prices'!V188-1</f>
        <v>4.3380960578412786E-2</v>
      </c>
      <c r="W187" s="1">
        <f>'Asset Prices'!W187/'Asset Prices'!W188-1</f>
        <v>2.2443438914027114E-2</v>
      </c>
      <c r="X187" s="1">
        <f>'Asset Prices'!X187/'Asset Prices'!X188-1</f>
        <v>-3.2567396417586547E-3</v>
      </c>
      <c r="Y187" s="1">
        <f>'Asset Prices'!Y187/'Asset Prices'!Y188-1</f>
        <v>1.4630390144952488E-2</v>
      </c>
      <c r="Z187" s="1">
        <f>'Asset Prices'!Z187/'Asset Prices'!Z188-1</f>
        <v>-2.4725274725274637E-2</v>
      </c>
      <c r="AA187" s="1">
        <f>'Asset Prices'!AA187/'Asset Prices'!AA188-1</f>
        <v>-1.7191977077363862E-2</v>
      </c>
      <c r="AB187" s="1">
        <f>'Asset Prices'!AB187/'Asset Prices'!AB188-1</f>
        <v>4.102564102564088E-2</v>
      </c>
      <c r="AC187" s="1">
        <f>'Asset Prices'!AC187/'Asset Prices'!AC188-1</f>
        <v>5.7740585774058495E-2</v>
      </c>
      <c r="AD187" s="1">
        <f>'Asset Prices'!AD187/'Asset Prices'!AD188-1</f>
        <v>3.3158107561666039E-2</v>
      </c>
      <c r="AE187" s="1">
        <f>'Asset Prices'!AE187/'Asset Prices'!AE188-1</f>
        <v>3.603603603603589E-2</v>
      </c>
      <c r="AF187" s="1">
        <f>'Asset Prices'!AF187/'Asset Prices'!AF188-1</f>
        <v>6.2722419928825657E-2</v>
      </c>
      <c r="AG187" s="1">
        <f>'Asset Prices'!AG187/'Asset Prices'!AG188-1</f>
        <v>4.3429844097995662E-2</v>
      </c>
      <c r="AH187" s="1">
        <f>'Asset Prices'!AH187/'Asset Prices'!AH188-1</f>
        <v>1.4658562745799131E-2</v>
      </c>
      <c r="AI187" s="1">
        <f>'Asset Prices'!AI187/'Asset Prices'!AI188-1</f>
        <v>3.0210940293171396E-2</v>
      </c>
      <c r="AJ187" s="1">
        <f>'Asset Prices'!AJ187/'Asset Prices'!AJ188-1</f>
        <v>-2.5559105431309903E-2</v>
      </c>
      <c r="AK187" s="1">
        <f>'Asset Prices'!AK187/'Asset Prices'!AK188-1</f>
        <v>-1.7769002961500635E-2</v>
      </c>
      <c r="AL187" s="1">
        <f>'Asset Prices'!AL187/'Asset Prices'!AL188-1</f>
        <v>-1.9571865443425041E-2</v>
      </c>
      <c r="AM187" s="1">
        <f>'Asset Prices'!AM187/'Asset Prices'!AM188-1</f>
        <v>1.7770922746781048E-2</v>
      </c>
      <c r="AN187" s="1">
        <f>'Asset Prices'!AN187/'Asset Prices'!AN188-1</f>
        <v>-1.0800102249488686E-2</v>
      </c>
      <c r="AO187" s="1">
        <f>'Asset Prices'!AO187/'Asset Prices'!AO188-1</f>
        <v>5.20437793165065E-2</v>
      </c>
      <c r="AP187" s="1">
        <f>'Asset Prices'!AP187/'Asset Prices'!AP188-1</f>
        <v>2.1865044888502716E-2</v>
      </c>
      <c r="AQ187" s="1">
        <f>'Asset Prices'!AQ187/'Asset Prices'!AQ188-1</f>
        <v>0.20533910533910538</v>
      </c>
      <c r="AR187" s="1">
        <f>'Asset Prices'!AR187/'Asset Prices'!AR188-1</f>
        <v>1.7179274037129488E-2</v>
      </c>
      <c r="AS187" s="1">
        <f>'Asset Prices'!AS187/'Asset Prices'!AS188-1</f>
        <v>-5.8666666666666867E-3</v>
      </c>
      <c r="AT187" s="1">
        <f>'Asset Prices'!AT187/'Asset Prices'!AT188-1</f>
        <v>7.7092511013217013E-3</v>
      </c>
      <c r="AU187" s="1">
        <f>'Asset Prices'!AU187/'Asset Prices'!AU188-1</f>
        <v>1.2233658360418787E-2</v>
      </c>
      <c r="AV187" s="1">
        <f>'Asset Prices'!AV187/'Asset Prices'!AV188-1</f>
        <v>5.4316812850047524E-2</v>
      </c>
      <c r="AW187" s="1">
        <f>'Asset Prices'!AW187/'Asset Prices'!AW188-1</f>
        <v>4.1139629129313349E-2</v>
      </c>
      <c r="AX187" s="1">
        <f>'Asset Prices'!AX187/'Asset Prices'!AX188-1</f>
        <v>4.4918998527246012E-2</v>
      </c>
      <c r="AY187" s="1">
        <f>'Asset Prices'!AY187/'Asset Prices'!AY188-1</f>
        <v>7.5688073394495348E-2</v>
      </c>
      <c r="AZ187" s="1">
        <f>'Asset Prices'!AZ187/'Asset Prices'!AZ188-1</f>
        <v>4.3736100815418899E-2</v>
      </c>
      <c r="BA187" s="1">
        <f>'Asset Prices'!BA187/'Asset Prices'!BA188-1</f>
        <v>3.0264817150063017E-2</v>
      </c>
      <c r="BB187" s="1">
        <f>'Asset Prices'!BB187/'Asset Prices'!BB188-1</f>
        <v>-1.0189604024248733E-2</v>
      </c>
      <c r="BC187" s="1">
        <f>'Asset Prices'!BC187/'Asset Prices'!BC188-1</f>
        <v>-3.6350418029806875E-3</v>
      </c>
      <c r="BD187" s="1">
        <f>'Asset Prices'!BD187/'Asset Prices'!BD188-1</f>
        <v>9.3333333333331936E-3</v>
      </c>
    </row>
    <row r="188" spans="3:56" x14ac:dyDescent="0.25">
      <c r="C188" s="38">
        <f>'Asset Prices'!C188</f>
        <v>43055</v>
      </c>
      <c r="D188" s="1">
        <f>'Asset Prices'!D188/'Asset Prices'!D189-1</f>
        <v>-9.987515605493158E-3</v>
      </c>
      <c r="E188" s="1">
        <f>'Asset Prices'!E188/'Asset Prices'!E189-1</f>
        <v>8.9598753408646203E-3</v>
      </c>
      <c r="F188" s="1">
        <f>'Asset Prices'!F188/'Asset Prices'!F189-1</f>
        <v>1.9597363263851753E-2</v>
      </c>
      <c r="G188" s="1">
        <f>'Asset Prices'!G188/'Asset Prices'!G189-1</f>
        <v>-8.1234768480908937E-4</v>
      </c>
      <c r="H188" s="1">
        <f>'Asset Prices'!H188/'Asset Prices'!H189-1</f>
        <v>7.5365745529778483E-3</v>
      </c>
      <c r="I188" s="1">
        <f>'Asset Prices'!I188/'Asset Prices'!I189-1</f>
        <v>1.6174010039040621E-3</v>
      </c>
      <c r="J188" s="1">
        <f>'Asset Prices'!J188/'Asset Prices'!J189-1</f>
        <v>-2.7177621105299088E-2</v>
      </c>
      <c r="K188" s="1">
        <f>'Asset Prices'!K188/'Asset Prices'!K189-1</f>
        <v>7.2268029367741349E-3</v>
      </c>
      <c r="L188" s="1">
        <f>'Asset Prices'!L188/'Asset Prices'!L189-1</f>
        <v>8.3032490974728201E-3</v>
      </c>
      <c r="M188" s="1">
        <f>'Asset Prices'!M188/'Asset Prices'!M189-1</f>
        <v>-1.0583898204304942E-2</v>
      </c>
      <c r="N188" s="1">
        <f>'Asset Prices'!N188/'Asset Prices'!N189-1</f>
        <v>7.1584010995295877E-4</v>
      </c>
      <c r="O188" s="1">
        <f>'Asset Prices'!O188/'Asset Prices'!O189-1</f>
        <v>1.7908508861464334E-2</v>
      </c>
      <c r="P188" s="1">
        <f>'Asset Prices'!P188/'Asset Prices'!P189-1</f>
        <v>-3.6216934855360927E-3</v>
      </c>
      <c r="Q188" s="1">
        <f>'Asset Prices'!Q188/'Asset Prices'!Q189-1</f>
        <v>2.1191363217561987E-2</v>
      </c>
      <c r="R188" s="1">
        <f>'Asset Prices'!R188/'Asset Prices'!R189-1</f>
        <v>1.3264700059394174E-2</v>
      </c>
      <c r="S188" s="1">
        <f>'Asset Prices'!S188/'Asset Prices'!S189-1</f>
        <v>-1.4689880304678993E-2</v>
      </c>
      <c r="T188" s="1">
        <f>'Asset Prices'!T188/'Asset Prices'!T189-1</f>
        <v>4.6881575624947436E-2</v>
      </c>
      <c r="U188" s="1">
        <f>'Asset Prices'!U188/'Asset Prices'!U189-1</f>
        <v>-1.0975971521803518E-2</v>
      </c>
      <c r="V188" s="1">
        <f>'Asset Prices'!V188/'Asset Prices'!V189-1</f>
        <v>-1.4254199898184217E-2</v>
      </c>
      <c r="W188" s="1">
        <f>'Asset Prices'!W188/'Asset Prices'!W189-1</f>
        <v>-1.2158054711246202E-2</v>
      </c>
      <c r="X188" s="1">
        <f>'Asset Prices'!X188/'Asset Prices'!X189-1</f>
        <v>3.3857089412645092E-2</v>
      </c>
      <c r="Y188" s="1">
        <f>'Asset Prices'!Y188/'Asset Prices'!Y189-1</f>
        <v>3.0415234085529486E-2</v>
      </c>
      <c r="Z188" s="1">
        <f>'Asset Prices'!Z188/'Asset Prices'!Z189-1</f>
        <v>7.0588235294117618E-2</v>
      </c>
      <c r="AA188" s="1">
        <f>'Asset Prices'!AA188/'Asset Prices'!AA189-1</f>
        <v>9.6432015429122053E-3</v>
      </c>
      <c r="AB188" s="1">
        <f>'Asset Prices'!AB188/'Asset Prices'!AB189-1</f>
        <v>0</v>
      </c>
      <c r="AC188" s="1">
        <f>'Asset Prices'!AC188/'Asset Prices'!AC189-1</f>
        <v>5.6898584905660465E-2</v>
      </c>
      <c r="AD188" s="1">
        <f>'Asset Prices'!AD188/'Asset Prices'!AD189-1</f>
        <v>4.4047283985364505E-2</v>
      </c>
      <c r="AE188" s="1">
        <f>'Asset Prices'!AE188/'Asset Prices'!AE189-1</f>
        <v>5.0541516245487417E-2</v>
      </c>
      <c r="AF188" s="1">
        <f>'Asset Prices'!AF188/'Asset Prices'!AF189-1</f>
        <v>-8.88888888888828E-4</v>
      </c>
      <c r="AG188" s="1">
        <f>'Asset Prices'!AG188/'Asset Prices'!AG189-1</f>
        <v>3.0998851894374235E-2</v>
      </c>
      <c r="AH188" s="1">
        <f>'Asset Prices'!AH188/'Asset Prices'!AH189-1</f>
        <v>5.5870139675349151E-2</v>
      </c>
      <c r="AI188" s="1">
        <f>'Asset Prices'!AI188/'Asset Prices'!AI189-1</f>
        <v>5.3682426068939471E-2</v>
      </c>
      <c r="AJ188" s="1">
        <f>'Asset Prices'!AJ188/'Asset Prices'!AJ189-1</f>
        <v>-4.8632218844984698E-2</v>
      </c>
      <c r="AK188" s="1">
        <f>'Asset Prices'!AK188/'Asset Prices'!AK189-1</f>
        <v>7.5942644715879082E-2</v>
      </c>
      <c r="AL188" s="1">
        <f>'Asset Prices'!AL188/'Asset Prices'!AL189-1</f>
        <v>1.755041075429431E-2</v>
      </c>
      <c r="AM188" s="1">
        <f>'Asset Prices'!AM188/'Asset Prices'!AM189-1</f>
        <v>-7.8509647371923785E-3</v>
      </c>
      <c r="AN188" s="1">
        <f>'Asset Prices'!AN188/'Asset Prices'!AN189-1</f>
        <v>-8.9388328438266829E-4</v>
      </c>
      <c r="AO188" s="1">
        <f>'Asset Prices'!AO188/'Asset Prices'!AO189-1</f>
        <v>-6.6563124029287435E-3</v>
      </c>
      <c r="AP188" s="1">
        <f>'Asset Prices'!AP188/'Asset Prices'!AP189-1</f>
        <v>-2.7436823104692865E-3</v>
      </c>
      <c r="AQ188" s="1">
        <f>'Asset Prices'!AQ188/'Asset Prices'!AQ189-1</f>
        <v>-2.0909861542808716E-2</v>
      </c>
      <c r="AR188" s="1">
        <f>'Asset Prices'!AR188/'Asset Prices'!AR189-1</f>
        <v>5.8528428093644891E-3</v>
      </c>
      <c r="AS188" s="1">
        <f>'Asset Prices'!AS188/'Asset Prices'!AS189-1</f>
        <v>-1.5231092436974736E-2</v>
      </c>
      <c r="AT188" s="1">
        <f>'Asset Prices'!AT188/'Asset Prices'!AT189-1</f>
        <v>8.5153646797482274E-3</v>
      </c>
      <c r="AU188" s="1">
        <f>'Asset Prices'!AU188/'Asset Prices'!AU189-1</f>
        <v>-1.3186029935851606E-2</v>
      </c>
      <c r="AV188" s="1">
        <f>'Asset Prices'!AV188/'Asset Prices'!AV189-1</f>
        <v>2.6488662852299782E-3</v>
      </c>
      <c r="AW188" s="1">
        <f>'Asset Prices'!AW188/'Asset Prices'!AW189-1</f>
        <v>3.7589194699286566E-2</v>
      </c>
      <c r="AX188" s="1">
        <f>'Asset Prices'!AX188/'Asset Prices'!AX189-1</f>
        <v>-4.7017543859649069E-2</v>
      </c>
      <c r="AY188" s="1">
        <f>'Asset Prices'!AY188/'Asset Prices'!AY189-1</f>
        <v>2.3474178403755985E-2</v>
      </c>
      <c r="AZ188" s="1">
        <f>'Asset Prices'!AZ188/'Asset Prices'!AZ189-1</f>
        <v>1.4847809948033142E-3</v>
      </c>
      <c r="BA188" s="1">
        <f>'Asset Prices'!BA188/'Asset Prices'!BA189-1</f>
        <v>0</v>
      </c>
      <c r="BB188" s="1">
        <f>'Asset Prices'!BB188/'Asset Prices'!BB189-1</f>
        <v>1.0162866449511476E-2</v>
      </c>
      <c r="BC188" s="1">
        <f>'Asset Prices'!BC188/'Asset Prices'!BC189-1</f>
        <v>8.4351596373669846E-2</v>
      </c>
      <c r="BD188" s="1">
        <f>'Asset Prices'!BD188/'Asset Prices'!BD189-1</f>
        <v>-1.2258129875392543E-2</v>
      </c>
    </row>
    <row r="189" spans="3:56" x14ac:dyDescent="0.25">
      <c r="C189" s="38">
        <f>'Asset Prices'!C189</f>
        <v>43048</v>
      </c>
      <c r="D189" s="1">
        <f>'Asset Prices'!D189/'Asset Prices'!D190-1</f>
        <v>1.045233375382959E-2</v>
      </c>
      <c r="E189" s="1">
        <f>'Asset Prices'!E189/'Asset Prices'!E190-1</f>
        <v>4.4026436197254881E-2</v>
      </c>
      <c r="F189" s="1">
        <f>'Asset Prices'!F189/'Asset Prices'!F190-1</f>
        <v>1.8323657474601074E-2</v>
      </c>
      <c r="G189" s="1">
        <f>'Asset Prices'!G189/'Asset Prices'!G190-1</f>
        <v>-2.0684168655529023E-2</v>
      </c>
      <c r="H189" s="1">
        <f>'Asset Prices'!H189/'Asset Prices'!H190-1</f>
        <v>-8.2802081043452658E-3</v>
      </c>
      <c r="I189" s="1">
        <f>'Asset Prices'!I189/'Asset Prices'!I190-1</f>
        <v>2.123854236530498E-3</v>
      </c>
      <c r="J189" s="1">
        <f>'Asset Prices'!J189/'Asset Prices'!J190-1</f>
        <v>4.6219737076913736E-2</v>
      </c>
      <c r="K189" s="1">
        <f>'Asset Prices'!K189/'Asset Prices'!K190-1</f>
        <v>3.1904004679132347E-2</v>
      </c>
      <c r="L189" s="1">
        <f>'Asset Prices'!L189/'Asset Prices'!L190-1</f>
        <v>-2.7192454344772132E-2</v>
      </c>
      <c r="M189" s="1">
        <f>'Asset Prices'!M189/'Asset Prices'!M190-1</f>
        <v>4.7590719809642579E-4</v>
      </c>
      <c r="N189" s="1">
        <f>'Asset Prices'!N189/'Asset Prices'!N190-1</f>
        <v>4.5543016577658246E-3</v>
      </c>
      <c r="O189" s="1">
        <f>'Asset Prices'!O189/'Asset Prices'!O190-1</f>
        <v>1.1070456890890368E-2</v>
      </c>
      <c r="P189" s="1">
        <f>'Asset Prices'!P189/'Asset Prices'!P190-1</f>
        <v>1.7777155655095189E-2</v>
      </c>
      <c r="Q189" s="1">
        <f>'Asset Prices'!Q189/'Asset Prices'!Q190-1</f>
        <v>6.9216601704715774E-2</v>
      </c>
      <c r="R189" s="1">
        <f>'Asset Prices'!R189/'Asset Prices'!R190-1</f>
        <v>2.5375558262281661E-2</v>
      </c>
      <c r="S189" s="1">
        <f>'Asset Prices'!S189/'Asset Prices'!S190-1</f>
        <v>-3.7940379403794688E-3</v>
      </c>
      <c r="T189" s="1">
        <f>'Asset Prices'!T189/'Asset Prices'!T190-1</f>
        <v>-6.9374791039785721E-3</v>
      </c>
      <c r="U189" s="1">
        <f>'Asset Prices'!U189/'Asset Prices'!U190-1</f>
        <v>3.8828967642526857E-2</v>
      </c>
      <c r="V189" s="1">
        <f>'Asset Prices'!V189/'Asset Prices'!V190-1</f>
        <v>8.8057001498726972E-2</v>
      </c>
      <c r="W189" s="1">
        <f>'Asset Prices'!W189/'Asset Prices'!W190-1</f>
        <v>-2.4590163934426257E-2</v>
      </c>
      <c r="X189" s="1">
        <f>'Asset Prices'!X189/'Asset Prices'!X190-1</f>
        <v>-9.816632709761075E-3</v>
      </c>
      <c r="Y189" s="1">
        <f>'Asset Prices'!Y189/'Asset Prices'!Y190-1</f>
        <v>0.17458838148511346</v>
      </c>
      <c r="Z189" s="1">
        <f>'Asset Prices'!Z189/'Asset Prices'!Z190-1</f>
        <v>8.9743589743589869E-2</v>
      </c>
      <c r="AA189" s="1">
        <f>'Asset Prices'!AA189/'Asset Prices'!AA190-1</f>
        <v>-9.590235396687008E-2</v>
      </c>
      <c r="AB189" s="1">
        <f>'Asset Prices'!AB189/'Asset Prices'!AB190-1</f>
        <v>5.1546391752577136E-3</v>
      </c>
      <c r="AC189" s="1">
        <f>'Asset Prices'!AC189/'Asset Prices'!AC190-1</f>
        <v>0.17492206442674063</v>
      </c>
      <c r="AD189" s="1">
        <f>'Asset Prices'!AD189/'Asset Prices'!AD190-1</f>
        <v>-6.9871436556735445E-3</v>
      </c>
      <c r="AE189" s="1">
        <f>'Asset Prices'!AE189/'Asset Prices'!AE190-1</f>
        <v>-4.5361400894187831E-2</v>
      </c>
      <c r="AF189" s="1">
        <f>'Asset Prices'!AF189/'Asset Prices'!AF190-1</f>
        <v>1.3351134846462109E-3</v>
      </c>
      <c r="AG189" s="1">
        <f>'Asset Prices'!AG189/'Asset Prices'!AG190-1</f>
        <v>-2.4636058230683155E-2</v>
      </c>
      <c r="AH189" s="1">
        <f>'Asset Prices'!AH189/'Asset Prices'!AH190-1</f>
        <v>7.3773814349412214E-2</v>
      </c>
      <c r="AI189" s="1">
        <f>'Asset Prices'!AI189/'Asset Prices'!AI190-1</f>
        <v>-3.5078153398764078E-2</v>
      </c>
      <c r="AJ189" s="1">
        <f>'Asset Prices'!AJ189/'Asset Prices'!AJ190-1</f>
        <v>0.18772563176895307</v>
      </c>
      <c r="AK189" s="1">
        <f>'Asset Prices'!AK189/'Asset Prices'!AK190-1</f>
        <v>-4.7568710359410238E-3</v>
      </c>
      <c r="AL189" s="1">
        <f>'Asset Prices'!AL189/'Asset Prices'!AL190-1</f>
        <v>1.6061717465537084E-2</v>
      </c>
      <c r="AM189" s="1">
        <f>'Asset Prices'!AM189/'Asset Prices'!AM190-1</f>
        <v>-1.9889142484512456E-2</v>
      </c>
      <c r="AN189" s="1">
        <f>'Asset Prices'!AN189/'Asset Prices'!AN190-1</f>
        <v>1.0321248871113298E-2</v>
      </c>
      <c r="AO189" s="1">
        <f>'Asset Prices'!AO189/'Asset Prices'!AO190-1</f>
        <v>-5.0358196375895448E-2</v>
      </c>
      <c r="AP189" s="1">
        <f>'Asset Prices'!AP189/'Asset Prices'!AP190-1</f>
        <v>-1.3673265916536059E-2</v>
      </c>
      <c r="AQ189" s="1">
        <f>'Asset Prices'!AQ189/'Asset Prices'!AQ190-1</f>
        <v>6.3561232156273517E-2</v>
      </c>
      <c r="AR189" s="1">
        <f>'Asset Prices'!AR189/'Asset Prices'!AR190-1</f>
        <v>-1.6447368421052655E-2</v>
      </c>
      <c r="AS189" s="1">
        <f>'Asset Prices'!AS189/'Asset Prices'!AS190-1</f>
        <v>7.7532541029994295E-2</v>
      </c>
      <c r="AT189" s="1">
        <f>'Asset Prices'!AT189/'Asset Prices'!AT190-1</f>
        <v>-3.2593123209169073E-2</v>
      </c>
      <c r="AU189" s="1">
        <f>'Asset Prices'!AU189/'Asset Prices'!AU190-1</f>
        <v>2.0533880903490509E-3</v>
      </c>
      <c r="AV189" s="1">
        <f>'Asset Prices'!AV189/'Asset Prices'!AV190-1</f>
        <v>1.9773095623986991E-2</v>
      </c>
      <c r="AW189" s="1">
        <f>'Asset Prices'!AW189/'Asset Prices'!AW190-1</f>
        <v>-9.9659391951556486E-3</v>
      </c>
      <c r="AX189" s="1">
        <f>'Asset Prices'!AX189/'Asset Prices'!AX190-1</f>
        <v>-2.9622063329928561E-2</v>
      </c>
      <c r="AY189" s="1">
        <f>'Asset Prices'!AY189/'Asset Prices'!AY190-1</f>
        <v>4.4117647058823373E-2</v>
      </c>
      <c r="AZ189" s="1">
        <f>'Asset Prices'!AZ189/'Asset Prices'!AZ190-1</f>
        <v>-2.3771561095811022E-2</v>
      </c>
      <c r="BA189" s="1">
        <f>'Asset Prices'!BA189/'Asset Prices'!BA190-1</f>
        <v>-4.1112454655380937E-2</v>
      </c>
      <c r="BB189" s="1">
        <f>'Asset Prices'!BB189/'Asset Prices'!BB190-1</f>
        <v>4.5811518324605505E-3</v>
      </c>
      <c r="BC189" s="1">
        <f>'Asset Prices'!BC189/'Asset Prices'!BC190-1</f>
        <v>-5.0879161990273203E-2</v>
      </c>
      <c r="BD189" s="1">
        <f>'Asset Prices'!BD189/'Asset Prices'!BD190-1</f>
        <v>-1.4968566011376083E-2</v>
      </c>
    </row>
    <row r="190" spans="3:56" x14ac:dyDescent="0.25">
      <c r="C190" s="38">
        <f>'Asset Prices'!C190</f>
        <v>43041</v>
      </c>
      <c r="D190" s="1">
        <f>'Asset Prices'!D190/'Asset Prices'!D191-1</f>
        <v>1.0746812386156712E-2</v>
      </c>
      <c r="E190" s="1">
        <f>'Asset Prices'!E190/'Asset Prices'!E191-1</f>
        <v>-2.1306818181818787E-3</v>
      </c>
      <c r="F190" s="1">
        <f>'Asset Prices'!F190/'Asset Prices'!F191-1</f>
        <v>-2.9748283752860538E-2</v>
      </c>
      <c r="G190" s="1">
        <f>'Asset Prices'!G190/'Asset Prices'!G191-1</f>
        <v>2.5922233300099684E-3</v>
      </c>
      <c r="H190" s="1">
        <f>'Asset Prices'!H190/'Asset Prices'!H191-1</f>
        <v>-3.432160070103718E-3</v>
      </c>
      <c r="I190" s="1">
        <f>'Asset Prices'!I190/'Asset Prices'!I191-1</f>
        <v>4.8584656859872233E-2</v>
      </c>
      <c r="J190" s="1">
        <f>'Asset Prices'!J190/'Asset Prices'!J191-1</f>
        <v>6.7975350994218919E-2</v>
      </c>
      <c r="K190" s="1">
        <f>'Asset Prices'!K190/'Asset Prices'!K191-1</f>
        <v>0.1252429480785251</v>
      </c>
      <c r="L190" s="1">
        <f>'Asset Prices'!L190/'Asset Prices'!L191-1</f>
        <v>2.1054249270016756E-2</v>
      </c>
      <c r="M190" s="1">
        <f>'Asset Prices'!M190/'Asset Prices'!M191-1</f>
        <v>6.7166074149314303E-2</v>
      </c>
      <c r="N190" s="1">
        <f>'Asset Prices'!N190/'Asset Prices'!N191-1</f>
        <v>5.1996126767666739E-2</v>
      </c>
      <c r="O190" s="1">
        <f>'Asset Prices'!O190/'Asset Prices'!O191-1</f>
        <v>3.616214639836679E-2</v>
      </c>
      <c r="P190" s="1">
        <f>'Asset Prices'!P190/'Asset Prices'!P191-1</f>
        <v>1.2184754888070248E-2</v>
      </c>
      <c r="Q190" s="1">
        <f>'Asset Prices'!Q190/'Asset Prices'!Q191-1</f>
        <v>0.15021184353138239</v>
      </c>
      <c r="R190" s="1">
        <f>'Asset Prices'!R190/'Asset Prices'!R191-1</f>
        <v>4.2813455657493282E-3</v>
      </c>
      <c r="S190" s="1">
        <f>'Asset Prices'!S190/'Asset Prices'!S191-1</f>
        <v>-2.096046696736531E-2</v>
      </c>
      <c r="T190" s="1">
        <f>'Asset Prices'!T190/'Asset Prices'!T191-1</f>
        <v>6.9859439441124493E-3</v>
      </c>
      <c r="U190" s="1">
        <f>'Asset Prices'!U190/'Asset Prices'!U191-1</f>
        <v>3.7072547139661349E-2</v>
      </c>
      <c r="V190" s="1">
        <f>'Asset Prices'!V190/'Asset Prices'!V191-1</f>
        <v>-5.7475196715703003E-2</v>
      </c>
      <c r="W190" s="1">
        <f>'Asset Prices'!W190/'Asset Prices'!W191-1</f>
        <v>2.4843610366398483E-2</v>
      </c>
      <c r="X190" s="1">
        <f>'Asset Prices'!X190/'Asset Prices'!X191-1</f>
        <v>-2.0322990382870554E-2</v>
      </c>
      <c r="Y190" s="1">
        <f>'Asset Prices'!Y190/'Asset Prices'!Y191-1</f>
        <v>-1.6799022599717883E-2</v>
      </c>
      <c r="Z190" s="1">
        <f>'Asset Prices'!Z190/'Asset Prices'!Z191-1</f>
        <v>-3.4055727554179516E-2</v>
      </c>
      <c r="AA190" s="1">
        <f>'Asset Prices'!AA190/'Asset Prices'!AA191-1</f>
        <v>-4.3402777777777901E-3</v>
      </c>
      <c r="AB190" s="1">
        <f>'Asset Prices'!AB190/'Asset Prices'!AB191-1</f>
        <v>4.0214477211796273E-2</v>
      </c>
      <c r="AC190" s="1">
        <f>'Asset Prices'!AC190/'Asset Prices'!AC191-1</f>
        <v>8.0868588543616449E-2</v>
      </c>
      <c r="AD190" s="1">
        <f>'Asset Prices'!AD190/'Asset Prices'!AD191-1</f>
        <v>3.5001446340757969E-2</v>
      </c>
      <c r="AE190" s="1">
        <f>'Asset Prices'!AE190/'Asset Prices'!AE191-1</f>
        <v>0.20982645931935995</v>
      </c>
      <c r="AF190" s="1">
        <f>'Asset Prices'!AF190/'Asset Prices'!AF191-1</f>
        <v>6.1909262759924255E-2</v>
      </c>
      <c r="AG190" s="1">
        <f>'Asset Prices'!AG190/'Asset Prices'!AG191-1</f>
        <v>-3.8751345532831105E-2</v>
      </c>
      <c r="AH190" s="1">
        <f>'Asset Prices'!AH190/'Asset Prices'!AH191-1</f>
        <v>-7.8446021666043975E-2</v>
      </c>
      <c r="AI190" s="1">
        <f>'Asset Prices'!AI190/'Asset Prices'!AI191-1</f>
        <v>-0.17126073203795744</v>
      </c>
      <c r="AJ190" s="1">
        <f>'Asset Prices'!AJ190/'Asset Prices'!AJ191-1</f>
        <v>-6.101694915254241E-2</v>
      </c>
      <c r="AK190" s="1">
        <f>'Asset Prices'!AK190/'Asset Prices'!AK191-1</f>
        <v>-3.4201123021949886E-2</v>
      </c>
      <c r="AL190" s="1">
        <f>'Asset Prices'!AL190/'Asset Prices'!AL191-1</f>
        <v>4.318557093864861E-3</v>
      </c>
      <c r="AM190" s="1">
        <f>'Asset Prices'!AM190/'Asset Prices'!AM191-1</f>
        <v>-1.6276041666666297E-3</v>
      </c>
      <c r="AN190" s="1">
        <f>'Asset Prices'!AN190/'Asset Prices'!AN191-1</f>
        <v>4.166106706087902E-2</v>
      </c>
      <c r="AO190" s="1">
        <f>'Asset Prices'!AO190/'Asset Prices'!AO191-1</f>
        <v>-2.9249335242380825E-2</v>
      </c>
      <c r="AP190" s="1">
        <f>'Asset Prices'!AP190/'Asset Prices'!AP191-1</f>
        <v>-1.76297747306563E-2</v>
      </c>
      <c r="AQ190" s="1">
        <f>'Asset Prices'!AQ190/'Asset Prices'!AQ191-1</f>
        <v>-1.7999100044998606E-3</v>
      </c>
      <c r="AR190" s="1">
        <f>'Asset Prices'!AR190/'Asset Prices'!AR191-1</f>
        <v>1.8709857581681089E-2</v>
      </c>
      <c r="AS190" s="1">
        <f>'Asset Prices'!AS190/'Asset Prices'!AS191-1</f>
        <v>-8.3743842364531917E-2</v>
      </c>
      <c r="AT190" s="1">
        <f>'Asset Prices'!AT190/'Asset Prices'!AT191-1</f>
        <v>1.7863652934743124E-2</v>
      </c>
      <c r="AU190" s="1">
        <f>'Asset Prices'!AU190/'Asset Prices'!AU191-1</f>
        <v>6.7575295463210061E-2</v>
      </c>
      <c r="AV190" s="1">
        <f>'Asset Prices'!AV190/'Asset Prices'!AV191-1</f>
        <v>-7.2937895527191987E-3</v>
      </c>
      <c r="AW190" s="1">
        <f>'Asset Prices'!AW190/'Asset Prices'!AW191-1</f>
        <v>-2.111632501852323E-2</v>
      </c>
      <c r="AX190" s="1">
        <f>'Asset Prices'!AX190/'Asset Prices'!AX191-1</f>
        <v>-0.1169573060733613</v>
      </c>
      <c r="AY190" s="1">
        <f>'Asset Prices'!AY190/'Asset Prices'!AY191-1</f>
        <v>9.0909090909090828E-2</v>
      </c>
      <c r="AZ190" s="1">
        <f>'Asset Prices'!AZ190/'Asset Prices'!AZ191-1</f>
        <v>-3.0630883799353636E-2</v>
      </c>
      <c r="BA190" s="1">
        <f>'Asset Prices'!BA190/'Asset Prices'!BA191-1</f>
        <v>-2.0142180094786744E-2</v>
      </c>
      <c r="BB190" s="1">
        <f>'Asset Prices'!BB190/'Asset Prices'!BB191-1</f>
        <v>1.5012621230237944E-2</v>
      </c>
      <c r="BC190" s="1">
        <f>'Asset Prices'!BC190/'Asset Prices'!BC191-1</f>
        <v>-5.4474708171206143E-2</v>
      </c>
      <c r="BD190" s="1">
        <f>'Asset Prices'!BD190/'Asset Prices'!BD191-1</f>
        <v>-2.1905805038336945E-3</v>
      </c>
    </row>
    <row r="191" spans="3:56" x14ac:dyDescent="0.25">
      <c r="C191" s="38">
        <f>'Asset Prices'!C191</f>
        <v>43034</v>
      </c>
      <c r="D191" s="1">
        <f>'Asset Prices'!D191/'Asset Prices'!D192-1</f>
        <v>2.5976452999439292E-2</v>
      </c>
      <c r="E191" s="1">
        <f>'Asset Prices'!E191/'Asset Prices'!E192-1</f>
        <v>-4.5449954550045302E-3</v>
      </c>
      <c r="F191" s="1">
        <f>'Asset Prices'!F191/'Asset Prices'!F192-1</f>
        <v>7.8193205541848609E-2</v>
      </c>
      <c r="G191" s="1">
        <f>'Asset Prices'!G191/'Asset Prices'!G192-1</f>
        <v>1.6210739614994862E-2</v>
      </c>
      <c r="H191" s="1">
        <f>'Asset Prices'!H191/'Asset Prices'!H192-1</f>
        <v>4.0973014063093727E-2</v>
      </c>
      <c r="I191" s="1">
        <f>'Asset Prices'!I191/'Asset Prices'!I192-1</f>
        <v>-2.2513748854262161E-2</v>
      </c>
      <c r="J191" s="1">
        <f>'Asset Prices'!J191/'Asset Prices'!J192-1</f>
        <v>9.167842031029716E-3</v>
      </c>
      <c r="K191" s="1">
        <f>'Asset Prices'!K191/'Asset Prices'!K192-1</f>
        <v>-1.4372447066216654E-2</v>
      </c>
      <c r="L191" s="1">
        <f>'Asset Prices'!L191/'Asset Prices'!L192-1</f>
        <v>4.0998308819761853E-4</v>
      </c>
      <c r="M191" s="1">
        <f>'Asset Prices'!M191/'Asset Prices'!M192-1</f>
        <v>1.0910024387113415E-2</v>
      </c>
      <c r="N191" s="1">
        <f>'Asset Prices'!N191/'Asset Prices'!N192-1</f>
        <v>-1.040086241315985E-2</v>
      </c>
      <c r="O191" s="1">
        <f>'Asset Prices'!O191/'Asset Prices'!O192-1</f>
        <v>-5.9259259259259123E-2</v>
      </c>
      <c r="P191" s="1">
        <f>'Asset Prices'!P191/'Asset Prices'!P192-1</f>
        <v>-1.1321822813472604E-3</v>
      </c>
      <c r="Q191" s="1">
        <f>'Asset Prices'!Q191/'Asset Prices'!Q192-1</f>
        <v>3.1140462280924597E-2</v>
      </c>
      <c r="R191" s="1">
        <f>'Asset Prices'!R191/'Asset Prices'!R192-1</f>
        <v>-4.0609137055838129E-3</v>
      </c>
      <c r="S191" s="1">
        <f>'Asset Prices'!S191/'Asset Prices'!S192-1</f>
        <v>-3.1737635546152942E-3</v>
      </c>
      <c r="T191" s="1">
        <f>'Asset Prices'!T191/'Asset Prices'!T192-1</f>
        <v>3.1336805555555625E-2</v>
      </c>
      <c r="U191" s="1">
        <f>'Asset Prices'!U191/'Asset Prices'!U192-1</f>
        <v>3.8498556304138454E-3</v>
      </c>
      <c r="V191" s="1">
        <f>'Asset Prices'!V191/'Asset Prices'!V192-1</f>
        <v>3.0132158590308267E-2</v>
      </c>
      <c r="W191" s="1">
        <f>'Asset Prices'!W191/'Asset Prices'!W192-1</f>
        <v>8.8351965380455422E-3</v>
      </c>
      <c r="X191" s="1">
        <f>'Asset Prices'!X191/'Asset Prices'!X192-1</f>
        <v>-6.0037523452157626E-2</v>
      </c>
      <c r="Y191" s="1">
        <f>'Asset Prices'!Y191/'Asset Prices'!Y192-1</f>
        <v>-1.2368024134631894E-2</v>
      </c>
      <c r="Z191" s="1">
        <f>'Asset Prices'!Z191/'Asset Prices'!Z192-1</f>
        <v>2.5396825396825307E-2</v>
      </c>
      <c r="AA191" s="1">
        <f>'Asset Prices'!AA191/'Asset Prices'!AA192-1</f>
        <v>-2.8667790893760481E-2</v>
      </c>
      <c r="AB191" s="1">
        <f>'Asset Prices'!AB191/'Asset Prices'!AB192-1</f>
        <v>-4.8469387755102011E-2</v>
      </c>
      <c r="AC191" s="1">
        <f>'Asset Prices'!AC191/'Asset Prices'!AC192-1</f>
        <v>-1.7653549098933241E-2</v>
      </c>
      <c r="AD191" s="1">
        <f>'Asset Prices'!AD191/'Asset Prices'!AD192-1</f>
        <v>5.1558935361216696E-2</v>
      </c>
      <c r="AE191" s="1">
        <f>'Asset Prices'!AE191/'Asset Prices'!AE192-1</f>
        <v>1.8478136118443622E-2</v>
      </c>
      <c r="AF191" s="1">
        <f>'Asset Prices'!AF191/'Asset Prices'!AF192-1</f>
        <v>2.8436018957345155E-3</v>
      </c>
      <c r="AG191" s="1">
        <f>'Asset Prices'!AG191/'Asset Prices'!AG192-1</f>
        <v>4.6171171171171199E-2</v>
      </c>
      <c r="AH191" s="1">
        <f>'Asset Prices'!AH191/'Asset Prices'!AH192-1</f>
        <v>2.9615384615384599E-2</v>
      </c>
      <c r="AI191" s="1">
        <f>'Asset Prices'!AI191/'Asset Prices'!AI192-1</f>
        <v>-5.6911786730566849E-3</v>
      </c>
      <c r="AJ191" s="1">
        <f>'Asset Prices'!AJ191/'Asset Prices'!AJ192-1</f>
        <v>2.7874564459930307E-2</v>
      </c>
      <c r="AK191" s="1">
        <f>'Asset Prices'!AK191/'Asset Prices'!AK192-1</f>
        <v>-3.6873156342182911E-2</v>
      </c>
      <c r="AL191" s="1">
        <f>'Asset Prices'!AL191/'Asset Prices'!AL192-1</f>
        <v>-9.3116899458914881E-3</v>
      </c>
      <c r="AM191" s="1">
        <f>'Asset Prices'!AM191/'Asset Prices'!AM192-1</f>
        <v>-4.5369794903666993E-2</v>
      </c>
      <c r="AN191" s="1">
        <f>'Asset Prices'!AN191/'Asset Prices'!AN192-1</f>
        <v>-3.34851326011254E-3</v>
      </c>
      <c r="AO191" s="1">
        <f>'Asset Prices'!AO191/'Asset Prices'!AO192-1</f>
        <v>-6.5027433448485716E-3</v>
      </c>
      <c r="AP191" s="1">
        <f>'Asset Prices'!AP191/'Asset Prices'!AP192-1</f>
        <v>8.4021845679882468E-4</v>
      </c>
      <c r="AQ191" s="1">
        <f>'Asset Prices'!AQ191/'Asset Prices'!AQ192-1</f>
        <v>4.8600188738597172E-2</v>
      </c>
      <c r="AR191" s="1">
        <f>'Asset Prices'!AR191/'Asset Prices'!AR192-1</f>
        <v>-5.3646934460887974E-2</v>
      </c>
      <c r="AS191" s="1">
        <f>'Asset Prices'!AS191/'Asset Prices'!AS192-1</f>
        <v>7.3126142595978383E-3</v>
      </c>
      <c r="AT191" s="1">
        <f>'Asset Prices'!AT191/'Asset Prices'!AT192-1</f>
        <v>2.19218122031406E-3</v>
      </c>
      <c r="AU191" s="1">
        <f>'Asset Prices'!AU191/'Asset Prices'!AU192-1</f>
        <v>2.2927015666793782E-3</v>
      </c>
      <c r="AV191" s="1">
        <f>'Asset Prices'!AV191/'Asset Prices'!AV192-1</f>
        <v>1.991029427852542E-2</v>
      </c>
      <c r="AW191" s="1">
        <f>'Asset Prices'!AW191/'Asset Prices'!AW192-1</f>
        <v>2.1958606764260535E-2</v>
      </c>
      <c r="AX191" s="1">
        <f>'Asset Prices'!AX191/'Asset Prices'!AX192-1</f>
        <v>-1.1296076099881147E-2</v>
      </c>
      <c r="AY191" s="1">
        <f>'Asset Prices'!AY191/'Asset Prices'!AY192-1</f>
        <v>2.7472527472527375E-2</v>
      </c>
      <c r="AZ191" s="1">
        <f>'Asset Prices'!AZ191/'Asset Prices'!AZ192-1</f>
        <v>-7.9453582380819565E-3</v>
      </c>
      <c r="BA191" s="1">
        <f>'Asset Prices'!BA191/'Asset Prices'!BA192-1</f>
        <v>-1.0550996483001285E-2</v>
      </c>
      <c r="BB191" s="1">
        <f>'Asset Prices'!BB191/'Asset Prices'!BB192-1</f>
        <v>-5.3113796308601469E-4</v>
      </c>
      <c r="BC191" s="1">
        <f>'Asset Prices'!BC191/'Asset Prices'!BC192-1</f>
        <v>1.9473494410385817E-2</v>
      </c>
      <c r="BD191" s="1">
        <f>'Asset Prices'!BD191/'Asset Prices'!BD192-1</f>
        <v>-7.0199723156020299E-3</v>
      </c>
    </row>
    <row r="192" spans="3:56" x14ac:dyDescent="0.25">
      <c r="C192" s="38">
        <f>'Asset Prices'!C192</f>
        <v>43027</v>
      </c>
      <c r="D192" s="1">
        <f>'Asset Prices'!D192/'Asset Prices'!D193-1</f>
        <v>-1.0082323559337691E-2</v>
      </c>
      <c r="E192" s="1">
        <f>'Asset Prices'!E192/'Asset Prices'!E193-1</f>
        <v>2.1458784689982524E-2</v>
      </c>
      <c r="F192" s="1">
        <f>'Asset Prices'!F192/'Asset Prices'!F193-1</f>
        <v>3.659256344678341E-2</v>
      </c>
      <c r="G192" s="1">
        <f>'Asset Prices'!G192/'Asset Prices'!G193-1</f>
        <v>2.3222060957910129E-2</v>
      </c>
      <c r="H192" s="1">
        <f>'Asset Prices'!H192/'Asset Prices'!H193-1</f>
        <v>1.200092314793455E-2</v>
      </c>
      <c r="I192" s="1">
        <f>'Asset Prices'!I192/'Asset Prices'!I193-1</f>
        <v>1.1648797450014348E-2</v>
      </c>
      <c r="J192" s="1">
        <f>'Asset Prices'!J192/'Asset Prices'!J193-1</f>
        <v>-1.2820512820521657E-4</v>
      </c>
      <c r="K192" s="1">
        <f>'Asset Prices'!K192/'Asset Prices'!K193-1</f>
        <v>-1.4306694773860262E-2</v>
      </c>
      <c r="L192" s="1">
        <f>'Asset Prices'!L192/'Asset Prices'!L193-1</f>
        <v>-3.7271520473808328E-3</v>
      </c>
      <c r="M192" s="1">
        <f>'Asset Prices'!M192/'Asset Prices'!M193-1</f>
        <v>1.0243775933609811E-2</v>
      </c>
      <c r="N192" s="1">
        <f>'Asset Prices'!N192/'Asset Prices'!N193-1</f>
        <v>-3.7885944414060013E-3</v>
      </c>
      <c r="O192" s="1">
        <f>'Asset Prices'!O192/'Asset Prices'!O193-1</f>
        <v>-5.6379012457943301E-3</v>
      </c>
      <c r="P192" s="1">
        <f>'Asset Prices'!P192/'Asset Prices'!P193-1</f>
        <v>2.2082931533268901E-2</v>
      </c>
      <c r="Q192" s="1">
        <f>'Asset Prices'!Q192/'Asset Prices'!Q193-1</f>
        <v>2.3235263540908546E-2</v>
      </c>
      <c r="R192" s="1">
        <f>'Asset Prices'!R192/'Asset Prices'!R193-1</f>
        <v>1.0049220672682546E-2</v>
      </c>
      <c r="S192" s="1">
        <f>'Asset Prices'!S192/'Asset Prices'!S193-1</f>
        <v>-1.4594735470419451E-2</v>
      </c>
      <c r="T192" s="1">
        <f>'Asset Prices'!T192/'Asset Prices'!T193-1</f>
        <v>6.4651406604927519E-3</v>
      </c>
      <c r="U192" s="1">
        <f>'Asset Prices'!U192/'Asset Prices'!U193-1</f>
        <v>1.0700389105058328E-2</v>
      </c>
      <c r="V192" s="1">
        <f>'Asset Prices'!V192/'Asset Prices'!V193-1</f>
        <v>1.2488849241748312E-2</v>
      </c>
      <c r="W192" s="1">
        <f>'Asset Prices'!W192/'Asset Prices'!W193-1</f>
        <v>5.9858516234354564E-3</v>
      </c>
      <c r="X192" s="1">
        <f>'Asset Prices'!X192/'Asset Prices'!X193-1</f>
        <v>-3.0607039619112708E-3</v>
      </c>
      <c r="Y192" s="1">
        <f>'Asset Prices'!Y192/'Asset Prices'!Y193-1</f>
        <v>1.2832263964137613E-2</v>
      </c>
      <c r="Z192" s="1">
        <f>'Asset Prices'!Z192/'Asset Prices'!Z193-1</f>
        <v>-4.5454545454545414E-2</v>
      </c>
      <c r="AA192" s="1">
        <f>'Asset Prices'!AA192/'Asset Prices'!AA193-1</f>
        <v>-1.6583747927031545E-2</v>
      </c>
      <c r="AB192" s="1">
        <f>'Asset Prices'!AB192/'Asset Prices'!AB193-1</f>
        <v>4.8128342245989275E-2</v>
      </c>
      <c r="AC192" s="1">
        <f>'Asset Prices'!AC192/'Asset Prices'!AC193-1</f>
        <v>1.0029717682020767E-2</v>
      </c>
      <c r="AD192" s="1">
        <f>'Asset Prices'!AD192/'Asset Prices'!AD193-1</f>
        <v>-3.4791544333529156E-2</v>
      </c>
      <c r="AE192" s="1">
        <f>'Asset Prices'!AE192/'Asset Prices'!AE193-1</f>
        <v>-2.1759047182775548E-3</v>
      </c>
      <c r="AF192" s="1">
        <f>'Asset Prices'!AF192/'Asset Prices'!AF193-1</f>
        <v>-6.1234102684879499E-3</v>
      </c>
      <c r="AG192" s="1">
        <f>'Asset Prices'!AG192/'Asset Prices'!AG193-1</f>
        <v>-1.7699115044247926E-2</v>
      </c>
      <c r="AH192" s="1">
        <f>'Asset Prices'!AH192/'Asset Prices'!AH193-1</f>
        <v>4.1666666666666741E-2</v>
      </c>
      <c r="AI192" s="1">
        <f>'Asset Prices'!AI192/'Asset Prices'!AI193-1</f>
        <v>4.2466822794691605E-2</v>
      </c>
      <c r="AJ192" s="1">
        <f>'Asset Prices'!AJ192/'Asset Prices'!AJ193-1</f>
        <v>-0.14836795252225532</v>
      </c>
      <c r="AK192" s="1">
        <f>'Asset Prices'!AK192/'Asset Prices'!AK193-1</f>
        <v>0</v>
      </c>
      <c r="AL192" s="1">
        <f>'Asset Prices'!AL192/'Asset Prices'!AL193-1</f>
        <v>-2.3851368315339627E-3</v>
      </c>
      <c r="AM192" s="1">
        <f>'Asset Prices'!AM192/'Asset Prices'!AM193-1</f>
        <v>9.4334489559953827E-2</v>
      </c>
      <c r="AN192" s="1">
        <f>'Asset Prices'!AN192/'Asset Prices'!AN193-1</f>
        <v>1.883187772925754E-2</v>
      </c>
      <c r="AO192" s="1">
        <f>'Asset Prices'!AO192/'Asset Prices'!AO193-1</f>
        <v>1.7786970010341241E-2</v>
      </c>
      <c r="AP192" s="1">
        <f>'Asset Prices'!AP192/'Asset Prices'!AP193-1</f>
        <v>-5.1546391752578247E-3</v>
      </c>
      <c r="AQ192" s="1">
        <f>'Asset Prices'!AQ192/'Asset Prices'!AQ193-1</f>
        <v>1.4175460702472442E-3</v>
      </c>
      <c r="AR192" s="1">
        <f>'Asset Prices'!AR192/'Asset Prices'!AR193-1</f>
        <v>-1.4326647564469996E-2</v>
      </c>
      <c r="AS192" s="1">
        <f>'Asset Prices'!AS192/'Asset Prices'!AS193-1</f>
        <v>1.4036016949152463E-2</v>
      </c>
      <c r="AT192" s="1">
        <f>'Asset Prices'!AT192/'Asset Prices'!AT193-1</f>
        <v>8.4745762711864181E-3</v>
      </c>
      <c r="AU192" s="1">
        <f>'Asset Prices'!AU192/'Asset Prices'!AU193-1</f>
        <v>5.295981491726609E-2</v>
      </c>
      <c r="AV192" s="1">
        <f>'Asset Prices'!AV192/'Asset Prices'!AV193-1</f>
        <v>4.3778045310260971E-4</v>
      </c>
      <c r="AW192" s="1">
        <f>'Asset Prices'!AW192/'Asset Prices'!AW193-1</f>
        <v>-1.2618296529975925E-4</v>
      </c>
      <c r="AX192" s="1">
        <f>'Asset Prices'!AX192/'Asset Prices'!AX193-1</f>
        <v>-2.5492468134414858E-2</v>
      </c>
      <c r="AY192" s="1">
        <f>'Asset Prices'!AY192/'Asset Prices'!AY193-1</f>
        <v>-7.3791348600508844E-2</v>
      </c>
      <c r="AZ192" s="1">
        <f>'Asset Prices'!AZ192/'Asset Prices'!AZ193-1</f>
        <v>-3.8981915606162154E-2</v>
      </c>
      <c r="BA192" s="1">
        <f>'Asset Prices'!BA192/'Asset Prices'!BA193-1</f>
        <v>-1.5011547344110809E-2</v>
      </c>
      <c r="BB192" s="1">
        <f>'Asset Prices'!BB192/'Asset Prices'!BB193-1</f>
        <v>3.0633990410229295E-3</v>
      </c>
      <c r="BC192" s="1">
        <f>'Asset Prices'!BC192/'Asset Prices'!BC193-1</f>
        <v>-1.7363571934797983E-2</v>
      </c>
      <c r="BD192" s="1">
        <f>'Asset Prices'!BD192/'Asset Prices'!BD193-1</f>
        <v>5.409067222511732E-2</v>
      </c>
    </row>
    <row r="193" spans="3:56" x14ac:dyDescent="0.25">
      <c r="C193" s="38">
        <f>'Asset Prices'!C193</f>
        <v>43020</v>
      </c>
      <c r="D193" s="1">
        <f>'Asset Prices'!D193/'Asset Prices'!D194-1</f>
        <v>1.7601656626506035E-2</v>
      </c>
      <c r="E193" s="1">
        <f>'Asset Prices'!E193/'Asset Prices'!E194-1</f>
        <v>-3.1765058435720639E-2</v>
      </c>
      <c r="F193" s="1">
        <f>'Asset Prices'!F193/'Asset Prices'!F194-1</f>
        <v>-2.5871981602146432E-2</v>
      </c>
      <c r="G193" s="1">
        <f>'Asset Prices'!G193/'Asset Prices'!G194-1</f>
        <v>-1.3903087303209993E-2</v>
      </c>
      <c r="H193" s="1">
        <f>'Asset Prices'!H193/'Asset Prices'!H194-1</f>
        <v>2.84018987341772E-2</v>
      </c>
      <c r="I193" s="1">
        <f>'Asset Prices'!I193/'Asset Prices'!I194-1</f>
        <v>7.6500817565989809E-3</v>
      </c>
      <c r="J193" s="1">
        <f>'Asset Prices'!J193/'Asset Prices'!J194-1</f>
        <v>3.9256065383874716E-3</v>
      </c>
      <c r="K193" s="1">
        <f>'Asset Prices'!K193/'Asset Prices'!K194-1</f>
        <v>2.0472039557526633E-2</v>
      </c>
      <c r="L193" s="1">
        <f>'Asset Prices'!L193/'Asset Prices'!L194-1</f>
        <v>7.5621173928701602E-3</v>
      </c>
      <c r="M193" s="1">
        <f>'Asset Prices'!M193/'Asset Prices'!M194-1</f>
        <v>1.5137554297749212E-2</v>
      </c>
      <c r="N193" s="1">
        <f>'Asset Prices'!N193/'Asset Prices'!N194-1</f>
        <v>2.0767567677300702E-2</v>
      </c>
      <c r="O193" s="1">
        <f>'Asset Prices'!O193/'Asset Prices'!O194-1</f>
        <v>9.6401028277635081E-3</v>
      </c>
      <c r="P193" s="1">
        <f>'Asset Prices'!P193/'Asset Prices'!P194-1</f>
        <v>-8.8410991636798109E-3</v>
      </c>
      <c r="Q193" s="1">
        <f>'Asset Prices'!Q193/'Asset Prices'!Q194-1</f>
        <v>3.092010074486895E-2</v>
      </c>
      <c r="R193" s="1">
        <f>'Asset Prices'!R193/'Asset Prices'!R194-1</f>
        <v>2.4800336275746071E-2</v>
      </c>
      <c r="S193" s="1">
        <f>'Asset Prices'!S193/'Asset Prices'!S194-1</f>
        <v>2.8686327077747986E-2</v>
      </c>
      <c r="T193" s="1">
        <f>'Asset Prices'!T193/'Asset Prices'!T194-1</f>
        <v>2.8669003325244802E-2</v>
      </c>
      <c r="U193" s="1">
        <f>'Asset Prices'!U193/'Asset Prices'!U194-1</f>
        <v>-5.1660516605166129E-2</v>
      </c>
      <c r="V193" s="1">
        <f>'Asset Prices'!V193/'Asset Prices'!V194-1</f>
        <v>-3.5669698591045407E-4</v>
      </c>
      <c r="W193" s="1">
        <f>'Asset Prices'!W193/'Asset Prices'!W194-1</f>
        <v>-4.105061749869543E-2</v>
      </c>
      <c r="X193" s="1">
        <f>'Asset Prices'!X193/'Asset Prices'!X194-1</f>
        <v>8.9209126779894454E-3</v>
      </c>
      <c r="Y193" s="1">
        <f>'Asset Prices'!Y193/'Asset Prices'!Y194-1</f>
        <v>-1.534296027742732E-2</v>
      </c>
      <c r="Z193" s="1">
        <f>'Asset Prices'!Z193/'Asset Prices'!Z194-1</f>
        <v>7.8431372549019551E-2</v>
      </c>
      <c r="AA193" s="1">
        <f>'Asset Prices'!AA193/'Asset Prices'!AA194-1</f>
        <v>1.8581081081080919E-2</v>
      </c>
      <c r="AB193" s="1">
        <f>'Asset Prices'!AB193/'Asset Prices'!AB194-1</f>
        <v>-2.0942408376963262E-2</v>
      </c>
      <c r="AC193" s="1">
        <f>'Asset Prices'!AC193/'Asset Prices'!AC194-1</f>
        <v>5.8176100628930749E-2</v>
      </c>
      <c r="AD193" s="1">
        <f>'Asset Prices'!AD193/'Asset Prices'!AD194-1</f>
        <v>2.8692237994563552E-2</v>
      </c>
      <c r="AE193" s="1">
        <f>'Asset Prices'!AE193/'Asset Prices'!AE194-1</f>
        <v>3.6781609195402076E-3</v>
      </c>
      <c r="AF193" s="1">
        <f>'Asset Prices'!AF193/'Asset Prices'!AF194-1</f>
        <v>-1.8946395563770757E-2</v>
      </c>
      <c r="AG193" s="1">
        <f>'Asset Prices'!AG193/'Asset Prices'!AG194-1</f>
        <v>-3.0042918454935563E-2</v>
      </c>
      <c r="AH193" s="1">
        <f>'Asset Prices'!AH193/'Asset Prices'!AH194-1</f>
        <v>-9.1372406261375994E-2</v>
      </c>
      <c r="AI193" s="1">
        <f>'Asset Prices'!AI193/'Asset Prices'!AI194-1</f>
        <v>-2.6447788417692797E-2</v>
      </c>
      <c r="AJ193" s="1">
        <f>'Asset Prices'!AJ193/'Asset Prices'!AJ194-1</f>
        <v>-5.8997050147491237E-3</v>
      </c>
      <c r="AK193" s="1">
        <f>'Asset Prices'!AK193/'Asset Prices'!AK194-1</f>
        <v>5.4432348367029482E-2</v>
      </c>
      <c r="AL193" s="1">
        <f>'Asset Prices'!AL193/'Asset Prices'!AL194-1</f>
        <v>2.5489186405767139E-2</v>
      </c>
      <c r="AM193" s="1">
        <f>'Asset Prices'!AM193/'Asset Prices'!AM194-1</f>
        <v>2.1128680479824968E-3</v>
      </c>
      <c r="AN193" s="1">
        <f>'Asset Prices'!AN193/'Asset Prices'!AN194-1</f>
        <v>-1.1799608927246963E-2</v>
      </c>
      <c r="AO193" s="1">
        <f>'Asset Prices'!AO193/'Asset Prices'!AO194-1</f>
        <v>-2.853124372111715E-2</v>
      </c>
      <c r="AP193" s="1">
        <f>'Asset Prices'!AP193/'Asset Prices'!AP194-1</f>
        <v>-2.7503048367429894E-2</v>
      </c>
      <c r="AQ193" s="1">
        <f>'Asset Prices'!AQ193/'Asset Prices'!AQ194-1</f>
        <v>-4.425711275026345E-2</v>
      </c>
      <c r="AR193" s="1">
        <f>'Asset Prices'!AR193/'Asset Prices'!AR194-1</f>
        <v>1.1594202898550732E-2</v>
      </c>
      <c r="AS193" s="1">
        <f>'Asset Prices'!AS193/'Asset Prices'!AS194-1</f>
        <v>-4.2194092827004814E-3</v>
      </c>
      <c r="AT193" s="1">
        <f>'Asset Prices'!AT193/'Asset Prices'!AT194-1</f>
        <v>-1.8419598452745767E-4</v>
      </c>
      <c r="AU193" s="1">
        <f>'Asset Prices'!AU193/'Asset Prices'!AU194-1</f>
        <v>8.010139416983586E-3</v>
      </c>
      <c r="AV193" s="1">
        <f>'Asset Prices'!AV193/'Asset Prices'!AV194-1</f>
        <v>2.4901850813236148E-2</v>
      </c>
      <c r="AW193" s="1">
        <f>'Asset Prices'!AW193/'Asset Prices'!AW194-1</f>
        <v>4.2351703275022912E-2</v>
      </c>
      <c r="AX193" s="1">
        <f>'Asset Prices'!AX193/'Asset Prices'!AX194-1</f>
        <v>-3.1968592260235407E-2</v>
      </c>
      <c r="AY193" s="1">
        <f>'Asset Prices'!AY193/'Asset Prices'!AY194-1</f>
        <v>-1.7500000000000071E-2</v>
      </c>
      <c r="AZ193" s="1">
        <f>'Asset Prices'!AZ193/'Asset Prices'!AZ194-1</f>
        <v>-8.5004648691725526E-3</v>
      </c>
      <c r="BA193" s="1">
        <f>'Asset Prices'!BA193/'Asset Prices'!BA194-1</f>
        <v>2.2432113341204207E-2</v>
      </c>
      <c r="BB193" s="1">
        <f>'Asset Prices'!BB193/'Asset Prices'!BB194-1</f>
        <v>1.0361997039429305E-2</v>
      </c>
      <c r="BC193" s="1">
        <f>'Asset Prices'!BC193/'Asset Prices'!BC194-1</f>
        <v>7.4638233054074465E-2</v>
      </c>
      <c r="BD193" s="1">
        <f>'Asset Prices'!BD193/'Asset Prices'!BD194-1</f>
        <v>4.8172583516599143E-3</v>
      </c>
    </row>
    <row r="194" spans="3:56" x14ac:dyDescent="0.25">
      <c r="C194" s="38">
        <f>'Asset Prices'!C194</f>
        <v>43013</v>
      </c>
      <c r="D194" s="1">
        <f>'Asset Prices'!D194/'Asset Prices'!D195-1</f>
        <v>1.5873015873015817E-2</v>
      </c>
      <c r="E194" s="1">
        <f>'Asset Prices'!E194/'Asset Prices'!E195-1</f>
        <v>2.1009688934217285E-2</v>
      </c>
      <c r="F194" s="1">
        <f>'Asset Prices'!F194/'Asset Prices'!F195-1</f>
        <v>-8.550256507695253E-3</v>
      </c>
      <c r="G194" s="1">
        <f>'Asset Prices'!G194/'Asset Prices'!G195-1</f>
        <v>1.7262895174708692E-2</v>
      </c>
      <c r="H194" s="1">
        <f>'Asset Prices'!H194/'Asset Prices'!H195-1</f>
        <v>9.3428092310150479E-3</v>
      </c>
      <c r="I194" s="1">
        <f>'Asset Prices'!I194/'Asset Prices'!I195-1</f>
        <v>1.48758371362534E-2</v>
      </c>
      <c r="J194" s="1">
        <f>'Asset Prices'!J194/'Asset Prices'!J195-1</f>
        <v>1.376565762004156E-2</v>
      </c>
      <c r="K194" s="1">
        <f>'Asset Prices'!K194/'Asset Prices'!K195-1</f>
        <v>2.5564617314931093E-2</v>
      </c>
      <c r="L194" s="1">
        <f>'Asset Prices'!L194/'Asset Prices'!L195-1</f>
        <v>7.5760929717764158E-2</v>
      </c>
      <c r="M194" s="1">
        <f>'Asset Prices'!M194/'Asset Prices'!M195-1</f>
        <v>2.8428320021659514E-2</v>
      </c>
      <c r="N194" s="1">
        <f>'Asset Prices'!N194/'Asset Prices'!N195-1</f>
        <v>2.1123329982069228E-2</v>
      </c>
      <c r="O194" s="1">
        <f>'Asset Prices'!O194/'Asset Prices'!O195-1</f>
        <v>1.0202188833240644E-2</v>
      </c>
      <c r="P194" s="1">
        <f>'Asset Prices'!P194/'Asset Prices'!P195-1</f>
        <v>4.9924736578023099E-2</v>
      </c>
      <c r="Q194" s="1">
        <f>'Asset Prices'!Q194/'Asset Prices'!Q195-1</f>
        <v>1.9503933566433762E-2</v>
      </c>
      <c r="R194" s="1">
        <f>'Asset Prices'!R194/'Asset Prices'!R195-1</f>
        <v>4.4331855604813342E-3</v>
      </c>
      <c r="S194" s="1">
        <f>'Asset Prices'!S194/'Asset Prices'!S195-1</f>
        <v>-2.3048716605552744E-2</v>
      </c>
      <c r="T194" s="1">
        <f>'Asset Prices'!T194/'Asset Prices'!T195-1</f>
        <v>1.1545454545454525E-2</v>
      </c>
      <c r="U194" s="1">
        <f>'Asset Prices'!U194/'Asset Prices'!U195-1</f>
        <v>2.1998742928975634E-2</v>
      </c>
      <c r="V194" s="1">
        <f>'Asset Prices'!V194/'Asset Prices'!V195-1</f>
        <v>7.3520964962665136E-2</v>
      </c>
      <c r="W194" s="1">
        <f>'Asset Prices'!W194/'Asset Prices'!W195-1</f>
        <v>1.1613584374450259E-2</v>
      </c>
      <c r="X194" s="1">
        <f>'Asset Prices'!X194/'Asset Prices'!X195-1</f>
        <v>3.7742567206694E-2</v>
      </c>
      <c r="Y194" s="1">
        <f>'Asset Prices'!Y194/'Asset Prices'!Y195-1</f>
        <v>-2.9994001417199545E-3</v>
      </c>
      <c r="Z194" s="1">
        <f>'Asset Prices'!Z194/'Asset Prices'!Z195-1</f>
        <v>-1.9230769230769162E-2</v>
      </c>
      <c r="AA194" s="1">
        <f>'Asset Prices'!AA194/'Asset Prices'!AA195-1</f>
        <v>3.3158813263525433E-2</v>
      </c>
      <c r="AB194" s="1">
        <f>'Asset Prices'!AB194/'Asset Prices'!AB195-1</f>
        <v>2.4128686327077764E-2</v>
      </c>
      <c r="AC194" s="1">
        <f>'Asset Prices'!AC194/'Asset Prices'!AC195-1</f>
        <v>-5.0840829096596707E-3</v>
      </c>
      <c r="AD194" s="1">
        <f>'Asset Prices'!AD194/'Asset Prices'!AD195-1</f>
        <v>-6.0368246302455741E-4</v>
      </c>
      <c r="AE194" s="1">
        <f>'Asset Prices'!AE194/'Asset Prices'!AE195-1</f>
        <v>-2.4991594755127244E-2</v>
      </c>
      <c r="AF194" s="1">
        <f>'Asset Prices'!AF194/'Asset Prices'!AF195-1</f>
        <v>1.5962441314554043E-2</v>
      </c>
      <c r="AG194" s="1">
        <f>'Asset Prices'!AG194/'Asset Prices'!AG195-1</f>
        <v>1.7467248908296984E-2</v>
      </c>
      <c r="AH194" s="1">
        <f>'Asset Prices'!AH194/'Asset Prices'!AH195-1</f>
        <v>1.4582573824279965E-3</v>
      </c>
      <c r="AI194" s="1">
        <f>'Asset Prices'!AI194/'Asset Prices'!AI195-1</f>
        <v>3.2000000000000028E-2</v>
      </c>
      <c r="AJ194" s="1">
        <f>'Asset Prices'!AJ194/'Asset Prices'!AJ195-1</f>
        <v>4.9535603715170407E-2</v>
      </c>
      <c r="AK194" s="1">
        <f>'Asset Prices'!AK194/'Asset Prices'!AK195-1</f>
        <v>4.213938411669349E-2</v>
      </c>
      <c r="AL194" s="1">
        <f>'Asset Prices'!AL194/'Asset Prices'!AL195-1</f>
        <v>1.4180739976796808E-3</v>
      </c>
      <c r="AM194" s="1">
        <f>'Asset Prices'!AM194/'Asset Prices'!AM195-1</f>
        <v>7.2772209254428066E-3</v>
      </c>
      <c r="AN194" s="1">
        <f>'Asset Prices'!AN194/'Asset Prices'!AN195-1</f>
        <v>5.7695050634716916E-2</v>
      </c>
      <c r="AO194" s="1">
        <f>'Asset Prices'!AO194/'Asset Prices'!AO195-1</f>
        <v>7.2859744990894093E-3</v>
      </c>
      <c r="AP194" s="1">
        <f>'Asset Prices'!AP194/'Asset Prices'!AP195-1</f>
        <v>-1.8931710615280872E-3</v>
      </c>
      <c r="AQ194" s="1">
        <f>'Asset Prices'!AQ194/'Asset Prices'!AQ195-1</f>
        <v>-9.5422692709108414E-3</v>
      </c>
      <c r="AR194" s="1">
        <f>'Asset Prices'!AR194/'Asset Prices'!AR195-1</f>
        <v>8.7719298245614308E-3</v>
      </c>
      <c r="AS194" s="1">
        <f>'Asset Prices'!AS194/'Asset Prices'!AS195-1</f>
        <v>0.22877511341542456</v>
      </c>
      <c r="AT194" s="1">
        <f>'Asset Prices'!AT194/'Asset Prices'!AT195-1</f>
        <v>4.4403330249769279E-3</v>
      </c>
      <c r="AU194" s="1">
        <f>'Asset Prices'!AU194/'Asset Prices'!AU195-1</f>
        <v>1.8853305785123897E-2</v>
      </c>
      <c r="AV194" s="1">
        <f>'Asset Prices'!AV194/'Asset Prices'!AV195-1</f>
        <v>4.0499533146592048E-2</v>
      </c>
      <c r="AW194" s="1">
        <f>'Asset Prices'!AW194/'Asset Prices'!AW195-1</f>
        <v>1.7123745819398017E-2</v>
      </c>
      <c r="AX194" s="1">
        <f>'Asset Prices'!AX194/'Asset Prices'!AX195-1</f>
        <v>6.0047562425683543E-2</v>
      </c>
      <c r="AY194" s="1">
        <f>'Asset Prices'!AY194/'Asset Prices'!AY195-1</f>
        <v>-4.3062200956937691E-2</v>
      </c>
      <c r="AZ194" s="1">
        <f>'Asset Prices'!AZ194/'Asset Prices'!AZ195-1</f>
        <v>2.4632553075666808E-2</v>
      </c>
      <c r="BA194" s="1">
        <f>'Asset Prices'!BA194/'Asset Prices'!BA195-1</f>
        <v>9.5351609058405007E-3</v>
      </c>
      <c r="BB194" s="1">
        <f>'Asset Prices'!BB194/'Asset Prices'!BB195-1</f>
        <v>-4.6879185641574006E-3</v>
      </c>
      <c r="BC194" s="1">
        <f>'Asset Prices'!BC194/'Asset Prices'!BC195-1</f>
        <v>-1.7583239805461948E-2</v>
      </c>
      <c r="BD194" s="1">
        <f>'Asset Prices'!BD194/'Asset Prices'!BD195-1</f>
        <v>-3.0277719774484124E-3</v>
      </c>
    </row>
    <row r="195" spans="3:56" x14ac:dyDescent="0.25">
      <c r="C195" s="38">
        <f>'Asset Prices'!C195</f>
        <v>43006</v>
      </c>
      <c r="D195" s="1">
        <f>'Asset Prices'!D195/'Asset Prices'!D196-1</f>
        <v>-6.931915297692548E-3</v>
      </c>
      <c r="E195" s="1">
        <f>'Asset Prices'!E195/'Asset Prices'!E196-1</f>
        <v>-8.4942865810496704E-3</v>
      </c>
      <c r="F195" s="1">
        <f>'Asset Prices'!F195/'Asset Prices'!F196-1</f>
        <v>-1.0528294792254145E-2</v>
      </c>
      <c r="G195" s="1">
        <f>'Asset Prices'!G195/'Asset Prices'!G196-1</f>
        <v>2.2930998540755532E-3</v>
      </c>
      <c r="H195" s="1">
        <f>'Asset Prices'!H195/'Asset Prices'!H196-1</f>
        <v>3.5259235515665566E-3</v>
      </c>
      <c r="I195" s="1">
        <f>'Asset Prices'!I195/'Asset Prices'!I196-1</f>
        <v>-1.3909181228449641E-2</v>
      </c>
      <c r="J195" s="1">
        <f>'Asset Prices'!J195/'Asset Prices'!J196-1</f>
        <v>-7.1712627941833418E-4</v>
      </c>
      <c r="K195" s="1">
        <f>'Asset Prices'!K195/'Asset Prices'!K196-1</f>
        <v>-8.5523246773441253E-3</v>
      </c>
      <c r="L195" s="1">
        <f>'Asset Prices'!L195/'Asset Prices'!L196-1</f>
        <v>-4.280114418900316E-2</v>
      </c>
      <c r="M195" s="1">
        <f>'Asset Prices'!M195/'Asset Prices'!M196-1</f>
        <v>-4.5815927772535625E-3</v>
      </c>
      <c r="N195" s="1">
        <f>'Asset Prices'!N195/'Asset Prices'!N196-1</f>
        <v>1.8215397604347983E-2</v>
      </c>
      <c r="O195" s="1">
        <f>'Asset Prices'!O195/'Asset Prices'!O196-1</f>
        <v>2.5104602510459539E-3</v>
      </c>
      <c r="P195" s="1">
        <f>'Asset Prices'!P195/'Asset Prices'!P196-1</f>
        <v>-8.5563625509899044E-3</v>
      </c>
      <c r="Q195" s="1">
        <f>'Asset Prices'!Q195/'Asset Prices'!Q196-1</f>
        <v>-1.7604121940747119E-2</v>
      </c>
      <c r="R195" s="1">
        <f>'Asset Prices'!R195/'Asset Prices'!R196-1</f>
        <v>-1.3330556134138694E-2</v>
      </c>
      <c r="S195" s="1">
        <f>'Asset Prices'!S195/'Asset Prices'!S196-1</f>
        <v>-1.6232929657304829E-2</v>
      </c>
      <c r="T195" s="1">
        <f>'Asset Prices'!T195/'Asset Prices'!T196-1</f>
        <v>2.2589941433485139E-2</v>
      </c>
      <c r="U195" s="1">
        <f>'Asset Prices'!U195/'Asset Prices'!U196-1</f>
        <v>3.1436655139893688E-4</v>
      </c>
      <c r="V195" s="1">
        <f>'Asset Prices'!V195/'Asset Prices'!V196-1</f>
        <v>3.4462269756387442E-2</v>
      </c>
      <c r="W195" s="1">
        <f>'Asset Prices'!W195/'Asset Prices'!W196-1</f>
        <v>5.3382761816496593E-2</v>
      </c>
      <c r="X195" s="1">
        <f>'Asset Prices'!X195/'Asset Prices'!X196-1</f>
        <v>2.8189639392275367E-2</v>
      </c>
      <c r="Y195" s="1">
        <f>'Asset Prices'!Y195/'Asset Prices'!Y196-1</f>
        <v>-3.8084246944503741E-2</v>
      </c>
      <c r="Z195" s="1">
        <f>'Asset Prices'!Z195/'Asset Prices'!Z196-1</f>
        <v>7.2164948453608213E-2</v>
      </c>
      <c r="AA195" s="1">
        <f>'Asset Prices'!AA195/'Asset Prices'!AA196-1</f>
        <v>-8.65051903114189E-3</v>
      </c>
      <c r="AB195" s="1">
        <f>'Asset Prices'!AB195/'Asset Prices'!AB196-1</f>
        <v>-3.6175710594315236E-2</v>
      </c>
      <c r="AC195" s="1">
        <f>'Asset Prices'!AC195/'Asset Prices'!AC196-1</f>
        <v>-5.9926470588235303E-2</v>
      </c>
      <c r="AD195" s="1">
        <f>'Asset Prices'!AD195/'Asset Prices'!AD196-1</f>
        <v>3.531250000000008E-2</v>
      </c>
      <c r="AE195" s="1">
        <f>'Asset Prices'!AE195/'Asset Prices'!AE196-1</f>
        <v>0.1055631272456945</v>
      </c>
      <c r="AF195" s="1">
        <f>'Asset Prices'!AF195/'Asset Prices'!AF196-1</f>
        <v>1.7191977077363862E-2</v>
      </c>
      <c r="AG195" s="1">
        <f>'Asset Prices'!AG195/'Asset Prices'!AG196-1</f>
        <v>4.3859649122806044E-3</v>
      </c>
      <c r="AH195" s="1">
        <f>'Asset Prices'!AH195/'Asset Prices'!AH196-1</f>
        <v>4.5749142203583615E-2</v>
      </c>
      <c r="AI195" s="1">
        <f>'Asset Prices'!AI195/'Asset Prices'!AI196-1</f>
        <v>1.3997136949260414E-2</v>
      </c>
      <c r="AJ195" s="1">
        <f>'Asset Prices'!AJ195/'Asset Prices'!AJ196-1</f>
        <v>-5.8309037900874605E-2</v>
      </c>
      <c r="AK195" s="1">
        <f>'Asset Prices'!AK195/'Asset Prices'!AK196-1</f>
        <v>-2.0634920634920451E-2</v>
      </c>
      <c r="AL195" s="1">
        <f>'Asset Prices'!AL195/'Asset Prices'!AL196-1</f>
        <v>-1.3857106534452157E-2</v>
      </c>
      <c r="AM195" s="1">
        <f>'Asset Prices'!AM195/'Asset Prices'!AM196-1</f>
        <v>2.753683051080813E-3</v>
      </c>
      <c r="AN195" s="1">
        <f>'Asset Prices'!AN195/'Asset Prices'!AN196-1</f>
        <v>-3.1989763275750427E-3</v>
      </c>
      <c r="AO195" s="1">
        <f>'Asset Prices'!AO195/'Asset Prices'!AO196-1</f>
        <v>9.6035962402942765E-3</v>
      </c>
      <c r="AP195" s="1">
        <f>'Asset Prices'!AP195/'Asset Prices'!AP196-1</f>
        <v>1.5517714913485525E-2</v>
      </c>
      <c r="AQ195" s="1">
        <f>'Asset Prices'!AQ195/'Asset Prices'!AQ196-1</f>
        <v>-2.0732953715870917E-2</v>
      </c>
      <c r="AR195" s="1">
        <f>'Asset Prices'!AR195/'Asset Prices'!AR196-1</f>
        <v>5.0761421319795996E-3</v>
      </c>
      <c r="AS195" s="1">
        <f>'Asset Prices'!AS195/'Asset Prices'!AS196-1</f>
        <v>-1.216389244558258E-2</v>
      </c>
      <c r="AT195" s="1">
        <f>'Asset Prices'!AT195/'Asset Prices'!AT196-1</f>
        <v>3.3413773900130561E-3</v>
      </c>
      <c r="AU195" s="1">
        <f>'Asset Prices'!AU195/'Asset Prices'!AU196-1</f>
        <v>1.0649404886197589E-2</v>
      </c>
      <c r="AV195" s="1">
        <f>'Asset Prices'!AV195/'Asset Prices'!AV196-1</f>
        <v>3.0550878037046036E-2</v>
      </c>
      <c r="AW195" s="1">
        <f>'Asset Prices'!AW195/'Asset Prices'!AW196-1</f>
        <v>-1.3722126929674228E-2</v>
      </c>
      <c r="AX195" s="1">
        <f>'Asset Prices'!AX195/'Asset Prices'!AX196-1</f>
        <v>-1.1876484560570111E-3</v>
      </c>
      <c r="AY195" s="1">
        <f>'Asset Prices'!AY195/'Asset Prices'!AY196-1</f>
        <v>5.2896725440805925E-2</v>
      </c>
      <c r="AZ195" s="1">
        <f>'Asset Prices'!AZ195/'Asset Prices'!AZ196-1</f>
        <v>1.4992503748125774E-3</v>
      </c>
      <c r="BA195" s="1">
        <f>'Asset Prices'!BA195/'Asset Prices'!BA196-1</f>
        <v>5.2697616060225716E-2</v>
      </c>
      <c r="BB195" s="1">
        <f>'Asset Prices'!BB195/'Asset Prices'!BB196-1</f>
        <v>3.2249395323837859E-3</v>
      </c>
      <c r="BC195" s="1">
        <f>'Asset Prices'!BC195/'Asset Prices'!BC196-1</f>
        <v>3.9269051321928483E-2</v>
      </c>
      <c r="BD195" s="1">
        <f>'Asset Prices'!BD195/'Asset Prices'!BD196-1</f>
        <v>2.329059829059843E-2</v>
      </c>
    </row>
    <row r="196" spans="3:56" x14ac:dyDescent="0.25">
      <c r="C196" s="38">
        <f>'Asset Prices'!C196</f>
        <v>42999</v>
      </c>
      <c r="D196" s="1">
        <f>'Asset Prices'!D196/'Asset Prices'!D197-1</f>
        <v>-7.2586726998491446E-3</v>
      </c>
      <c r="E196" s="1">
        <f>'Asset Prices'!E196/'Asset Prices'!E197-1</f>
        <v>1.0112359550561667E-2</v>
      </c>
      <c r="F196" s="1">
        <f>'Asset Prices'!F196/'Asset Prices'!F197-1</f>
        <v>-1.005025125628134E-2</v>
      </c>
      <c r="G196" s="1">
        <f>'Asset Prices'!G196/'Asset Prices'!G197-1</f>
        <v>-9.1305171433983756E-2</v>
      </c>
      <c r="H196" s="1">
        <f>'Asset Prices'!H196/'Asset Prices'!H197-1</f>
        <v>3.5773572377157947E-2</v>
      </c>
      <c r="I196" s="1">
        <f>'Asset Prices'!I196/'Asset Prices'!I197-1</f>
        <v>8.7739822180621374E-4</v>
      </c>
      <c r="J196" s="1">
        <f>'Asset Prices'!J196/'Asset Prices'!J197-1</f>
        <v>-3.0894617134192615E-2</v>
      </c>
      <c r="K196" s="1">
        <f>'Asset Prices'!K196/'Asset Prices'!K197-1</f>
        <v>-2.7776377984499279E-2</v>
      </c>
      <c r="L196" s="1">
        <f>'Asset Prices'!L196/'Asset Prices'!L197-1</f>
        <v>3.3674642720254111E-2</v>
      </c>
      <c r="M196" s="1">
        <f>'Asset Prices'!M196/'Asset Prices'!M197-1</f>
        <v>-7.4896348802996338E-3</v>
      </c>
      <c r="N196" s="1">
        <f>'Asset Prices'!N196/'Asset Prices'!N197-1</f>
        <v>7.8925255017923135E-3</v>
      </c>
      <c r="O196" s="1">
        <f>'Asset Prices'!O196/'Asset Prices'!O197-1</f>
        <v>-1.6190998902305132E-2</v>
      </c>
      <c r="P196" s="1">
        <f>'Asset Prices'!P196/'Asset Prices'!P197-1</f>
        <v>-1.6439964771504001E-2</v>
      </c>
      <c r="Q196" s="1">
        <f>'Asset Prices'!Q196/'Asset Prices'!Q197-1</f>
        <v>7.8978686573623058E-3</v>
      </c>
      <c r="R196" s="1">
        <f>'Asset Prices'!R196/'Asset Prices'!R197-1</f>
        <v>-2.2199592668024515E-2</v>
      </c>
      <c r="S196" s="1">
        <f>'Asset Prices'!S196/'Asset Prices'!S197-1</f>
        <v>-7.9243353783229331E-3</v>
      </c>
      <c r="T196" s="1">
        <f>'Asset Prices'!T196/'Asset Prices'!T197-1</f>
        <v>1.1091267976313546E-2</v>
      </c>
      <c r="U196" s="1">
        <f>'Asset Prices'!U196/'Asset Prices'!U197-1</f>
        <v>-7.3334373537213837E-3</v>
      </c>
      <c r="V196" s="1">
        <f>'Asset Prices'!V196/'Asset Prices'!V197-1</f>
        <v>-7.8600903910394093E-3</v>
      </c>
      <c r="W196" s="1">
        <f>'Asset Prices'!W196/'Asset Prices'!W197-1</f>
        <v>-7.5882151421719723E-2</v>
      </c>
      <c r="X196" s="1">
        <f>'Asset Prices'!X196/'Asset Prices'!X197-1</f>
        <v>5.1517939282428316E-3</v>
      </c>
      <c r="Y196" s="1">
        <f>'Asset Prices'!Y196/'Asset Prices'!Y197-1</f>
        <v>3.1240702173533252E-2</v>
      </c>
      <c r="Z196" s="1">
        <f>'Asset Prices'!Z196/'Asset Prices'!Z197-1</f>
        <v>-7.3248407643311975E-2</v>
      </c>
      <c r="AA196" s="1">
        <f>'Asset Prices'!AA196/'Asset Prices'!AA197-1</f>
        <v>3.3065236818587973E-2</v>
      </c>
      <c r="AB196" s="1">
        <f>'Asset Prices'!AB196/'Asset Prices'!AB197-1</f>
        <v>2.6525198938992078E-2</v>
      </c>
      <c r="AC196" s="1">
        <f>'Asset Prices'!AC196/'Asset Prices'!AC197-1</f>
        <v>3.0693444486548094E-2</v>
      </c>
      <c r="AD196" s="1">
        <f>'Asset Prices'!AD196/'Asset Prices'!AD197-1</f>
        <v>5.925190334326369E-2</v>
      </c>
      <c r="AE196" s="1">
        <f>'Asset Prices'!AE196/'Asset Prices'!AE197-1</f>
        <v>-5.7896033505790978E-3</v>
      </c>
      <c r="AF196" s="1">
        <f>'Asset Prices'!AF196/'Asset Prices'!AF197-1</f>
        <v>2.4461839530332652E-2</v>
      </c>
      <c r="AG196" s="1">
        <f>'Asset Prices'!AG196/'Asset Prices'!AG197-1</f>
        <v>6.6225165562914245E-3</v>
      </c>
      <c r="AH196" s="1">
        <f>'Asset Prices'!AH196/'Asset Prices'!AH197-1</f>
        <v>-3.9897510980966278E-2</v>
      </c>
      <c r="AI196" s="1">
        <f>'Asset Prices'!AI196/'Asset Prices'!AI197-1</f>
        <v>4.1066401722139378E-2</v>
      </c>
      <c r="AJ196" s="1">
        <f>'Asset Prices'!AJ196/'Asset Prices'!AJ197-1</f>
        <v>1.4792899408283988E-2</v>
      </c>
      <c r="AK196" s="1">
        <f>'Asset Prices'!AK196/'Asset Prices'!AK197-1</f>
        <v>-2.4264326277749215E-2</v>
      </c>
      <c r="AL196" s="1">
        <f>'Asset Prices'!AL196/'Asset Prices'!AL197-1</f>
        <v>-2.924842650870052E-2</v>
      </c>
      <c r="AM196" s="1">
        <f>'Asset Prices'!AM196/'Asset Prices'!AM197-1</f>
        <v>-1.9238697265356874E-3</v>
      </c>
      <c r="AN196" s="1">
        <f>'Asset Prices'!AN196/'Asset Prices'!AN197-1</f>
        <v>-2.6437815765797068E-2</v>
      </c>
      <c r="AO196" s="1">
        <f>'Asset Prices'!AO196/'Asset Prices'!AO197-1</f>
        <v>3.730394234845269E-2</v>
      </c>
      <c r="AP196" s="1">
        <f>'Asset Prices'!AP196/'Asset Prices'!AP197-1</f>
        <v>-5.3271411009424563E-3</v>
      </c>
      <c r="AQ196" s="1">
        <f>'Asset Prices'!AQ196/'Asset Prices'!AQ197-1</f>
        <v>7.9470198675495318E-3</v>
      </c>
      <c r="AR196" s="1">
        <f>'Asset Prices'!AR196/'Asset Prices'!AR197-1</f>
        <v>-1.6552811350499241E-2</v>
      </c>
      <c r="AS196" s="1">
        <f>'Asset Prices'!AS196/'Asset Prices'!AS197-1</f>
        <v>-4.9589291146942438E-2</v>
      </c>
      <c r="AT196" s="1">
        <f>'Asset Prices'!AT196/'Asset Prices'!AT197-1</f>
        <v>2.258921791951396E-2</v>
      </c>
      <c r="AU196" s="1">
        <f>'Asset Prices'!AU196/'Asset Prices'!AU197-1</f>
        <v>-3.0566801619433148E-2</v>
      </c>
      <c r="AV196" s="1">
        <f>'Asset Prices'!AV196/'Asset Prices'!AV197-1</f>
        <v>-3.8341720584710304E-3</v>
      </c>
      <c r="AW196" s="1">
        <f>'Asset Prices'!AW196/'Asset Prices'!AW197-1</f>
        <v>1.1072572038420603E-2</v>
      </c>
      <c r="AX196" s="1">
        <f>'Asset Prices'!AX196/'Asset Prices'!AX197-1</f>
        <v>-1.1156782149148614E-2</v>
      </c>
      <c r="AY196" s="1">
        <f>'Asset Prices'!AY196/'Asset Prices'!AY197-1</f>
        <v>-4.796163069544368E-2</v>
      </c>
      <c r="AZ196" s="1">
        <f>'Asset Prices'!AZ196/'Asset Prices'!AZ197-1</f>
        <v>5.2956371986222717E-2</v>
      </c>
      <c r="BA196" s="1">
        <f>'Asset Prices'!BA196/'Asset Prices'!BA197-1</f>
        <v>2.5740025740025763E-2</v>
      </c>
      <c r="BB196" s="1">
        <f>'Asset Prices'!BB196/'Asset Prices'!BB197-1</f>
        <v>-5.6119722073757483E-3</v>
      </c>
      <c r="BC196" s="1">
        <f>'Asset Prices'!BC196/'Asset Prices'!BC197-1</f>
        <v>4.467912266450047E-2</v>
      </c>
      <c r="BD196" s="1">
        <f>'Asset Prices'!BD196/'Asset Prices'!BD197-1</f>
        <v>3.6457216384300217E-3</v>
      </c>
    </row>
    <row r="197" spans="3:56" x14ac:dyDescent="0.25">
      <c r="C197" s="38">
        <f>'Asset Prices'!C197</f>
        <v>42992</v>
      </c>
      <c r="D197" s="1">
        <f>'Asset Prices'!D197/'Asset Prices'!D198-1</f>
        <v>1.4537107880642663E-2</v>
      </c>
      <c r="E197" s="1">
        <f>'Asset Prices'!E197/'Asset Prices'!E198-1</f>
        <v>8.6544405522357426E-3</v>
      </c>
      <c r="F197" s="1">
        <f>'Asset Prices'!F197/'Asset Prices'!F198-1</f>
        <v>2.5577400267226436E-2</v>
      </c>
      <c r="G197" s="1">
        <f>'Asset Prices'!G197/'Asset Prices'!G198-1</f>
        <v>2.0491011018751282E-2</v>
      </c>
      <c r="H197" s="1">
        <f>'Asset Prices'!H197/'Asset Prices'!H198-1</f>
        <v>2.3010953553536551E-2</v>
      </c>
      <c r="I197" s="1">
        <f>'Asset Prices'!I197/'Asset Prices'!I198-1</f>
        <v>-1.2990012124011296E-2</v>
      </c>
      <c r="J197" s="1">
        <f>'Asset Prices'!J197/'Asset Prices'!J198-1</f>
        <v>-1.8479474141138486E-2</v>
      </c>
      <c r="K197" s="1">
        <f>'Asset Prices'!K197/'Asset Prices'!K198-1</f>
        <v>1.300703441657225E-2</v>
      </c>
      <c r="L197" s="1">
        <f>'Asset Prices'!L197/'Asset Prices'!L198-1</f>
        <v>2.0279329608938523E-2</v>
      </c>
      <c r="M197" s="1">
        <f>'Asset Prices'!M197/'Asset Prices'!M198-1</f>
        <v>5.7842345977938692E-3</v>
      </c>
      <c r="N197" s="1">
        <f>'Asset Prices'!N197/'Asset Prices'!N198-1</f>
        <v>-1.0274873932771156E-2</v>
      </c>
      <c r="O197" s="1">
        <f>'Asset Prices'!O197/'Asset Prices'!O198-1</f>
        <v>1.4100185528757025E-2</v>
      </c>
      <c r="P197" s="1">
        <f>'Asset Prices'!P197/'Asset Prices'!P198-1</f>
        <v>1.0731417832945844E-2</v>
      </c>
      <c r="Q197" s="1">
        <f>'Asset Prices'!Q197/'Asset Prices'!Q198-1</f>
        <v>2.7057058725484806E-2</v>
      </c>
      <c r="R197" s="1">
        <f>'Asset Prices'!R197/'Asset Prices'!R198-1</f>
        <v>-1.5834836640609362E-2</v>
      </c>
      <c r="S197" s="1">
        <f>'Asset Prices'!S197/'Asset Prices'!S198-1</f>
        <v>-1.0214504596527396E-3</v>
      </c>
      <c r="T197" s="1">
        <f>'Asset Prices'!T197/'Asset Prices'!T198-1</f>
        <v>4.5499213836478036E-2</v>
      </c>
      <c r="U197" s="1">
        <f>'Asset Prices'!U197/'Asset Prices'!U198-1</f>
        <v>1.1042751222590352E-2</v>
      </c>
      <c r="V197" s="1">
        <f>'Asset Prices'!V197/'Asset Prices'!V198-1</f>
        <v>2.0453178263484917E-2</v>
      </c>
      <c r="W197" s="1">
        <f>'Asset Prices'!W197/'Asset Prices'!W198-1</f>
        <v>4.2313872522763862E-2</v>
      </c>
      <c r="X197" s="1">
        <f>'Asset Prices'!X197/'Asset Prices'!X198-1</f>
        <v>4.0988316414479975E-2</v>
      </c>
      <c r="Y197" s="1">
        <f>'Asset Prices'!Y197/'Asset Prices'!Y198-1</f>
        <v>3.6386062263946917E-2</v>
      </c>
      <c r="Z197" s="1">
        <f>'Asset Prices'!Z197/'Asset Prices'!Z198-1</f>
        <v>-1.2578616352201366E-2</v>
      </c>
      <c r="AA197" s="1">
        <f>'Asset Prices'!AA197/'Asset Prices'!AA198-1</f>
        <v>-4.4483985765124689E-3</v>
      </c>
      <c r="AB197" s="1">
        <f>'Asset Prices'!AB197/'Asset Prices'!AB198-1</f>
        <v>2.168021680216814E-2</v>
      </c>
      <c r="AC197" s="1">
        <f>'Asset Prices'!AC197/'Asset Prices'!AC198-1</f>
        <v>2.0889748549322906E-2</v>
      </c>
      <c r="AD197" s="1">
        <f>'Asset Prices'!AD197/'Asset Prices'!AD198-1</f>
        <v>6.3291139240506666E-3</v>
      </c>
      <c r="AE197" s="1">
        <f>'Asset Prices'!AE197/'Asset Prices'!AE198-1</f>
        <v>2.3707440100882771E-2</v>
      </c>
      <c r="AF197" s="1">
        <f>'Asset Prices'!AF197/'Asset Prices'!AF198-1</f>
        <v>4.6594982078853153E-2</v>
      </c>
      <c r="AG197" s="1">
        <f>'Asset Prices'!AG197/'Asset Prices'!AG198-1</f>
        <v>2.6047565118912708E-2</v>
      </c>
      <c r="AH197" s="1">
        <f>'Asset Prices'!AH197/'Asset Prices'!AH198-1</f>
        <v>1.5235971757710853E-2</v>
      </c>
      <c r="AI197" s="1">
        <f>'Asset Prices'!AI197/'Asset Prices'!AI198-1</f>
        <v>-7.8856579595859566E-3</v>
      </c>
      <c r="AJ197" s="1">
        <f>'Asset Prices'!AJ197/'Asset Prices'!AJ198-1</f>
        <v>-8.7976539589443847E-3</v>
      </c>
      <c r="AK197" s="1">
        <f>'Asset Prices'!AK197/'Asset Prices'!AK198-1</f>
        <v>6.1369863013698733E-2</v>
      </c>
      <c r="AL197" s="1">
        <f>'Asset Prices'!AL197/'Asset Prices'!AL198-1</f>
        <v>1.0727204690033743E-2</v>
      </c>
      <c r="AM197" s="1">
        <f>'Asset Prices'!AM197/'Asset Prices'!AM198-1</f>
        <v>1.8474457662701171E-2</v>
      </c>
      <c r="AN197" s="1">
        <f>'Asset Prices'!AN197/'Asset Prices'!AN198-1</f>
        <v>1.5961186893545198E-2</v>
      </c>
      <c r="AO197" s="1">
        <f>'Asset Prices'!AO197/'Asset Prices'!AO198-1</f>
        <v>2.1212121212121238E-2</v>
      </c>
      <c r="AP197" s="1">
        <f>'Asset Prices'!AP197/'Asset Prices'!AP198-1</f>
        <v>3.9769610532089938E-3</v>
      </c>
      <c r="AQ197" s="1">
        <f>'Asset Prices'!AQ197/'Asset Prices'!AQ198-1</f>
        <v>-6.8693364513300326E-3</v>
      </c>
      <c r="AR197" s="1">
        <f>'Asset Prices'!AR197/'Asset Prices'!AR198-1</f>
        <v>-3.8888888888888862E-2</v>
      </c>
      <c r="AS197" s="1">
        <f>'Asset Prices'!AS197/'Asset Prices'!AS198-1</f>
        <v>3.0084612973989344E-2</v>
      </c>
      <c r="AT197" s="1">
        <f>'Asset Prices'!AT197/'Asset Prices'!AT198-1</f>
        <v>-8.096403690453724E-3</v>
      </c>
      <c r="AU197" s="1">
        <f>'Asset Prices'!AU197/'Asset Prices'!AU198-1</f>
        <v>-9.8712231297288788E-3</v>
      </c>
      <c r="AV197" s="1">
        <f>'Asset Prices'!AV197/'Asset Prices'!AV198-1</f>
        <v>2.7634266490446091E-3</v>
      </c>
      <c r="AW197" s="1">
        <f>'Asset Prices'!AW197/'Asset Prices'!AW198-1</f>
        <v>1.4893040888166675E-2</v>
      </c>
      <c r="AX197" s="1">
        <f>'Asset Prices'!AX197/'Asset Prices'!AX198-1</f>
        <v>7.9898541534559442E-2</v>
      </c>
      <c r="AY197" s="1">
        <f>'Asset Prices'!AY197/'Asset Prices'!AY198-1</f>
        <v>1.9559902200489088E-2</v>
      </c>
      <c r="AZ197" s="1">
        <f>'Asset Prices'!AZ197/'Asset Prices'!AZ198-1</f>
        <v>4.4364508393285318E-2</v>
      </c>
      <c r="BA197" s="1">
        <f>'Asset Prices'!BA197/'Asset Prices'!BA198-1</f>
        <v>-8.9285714285713969E-3</v>
      </c>
      <c r="BB197" s="1">
        <f>'Asset Prices'!BB197/'Asset Prices'!BB198-1</f>
        <v>-3.7273695420660946E-3</v>
      </c>
      <c r="BC197" s="1">
        <f>'Asset Prices'!BC197/'Asset Prices'!BC198-1</f>
        <v>6.9040382110290732E-2</v>
      </c>
      <c r="BD197" s="1">
        <f>'Asset Prices'!BD197/'Asset Prices'!BD198-1</f>
        <v>6.2913152496011149E-2</v>
      </c>
    </row>
    <row r="198" spans="3:56" x14ac:dyDescent="0.25">
      <c r="C198" s="38">
        <f>'Asset Prices'!C198</f>
        <v>42985</v>
      </c>
      <c r="D198" s="1">
        <f>'Asset Prices'!D198/'Asset Prices'!D199-1</f>
        <v>1.0046367851622939E-2</v>
      </c>
      <c r="E198" s="1">
        <f>'Asset Prices'!E198/'Asset Prices'!E199-1</f>
        <v>-4.0909090909090895E-2</v>
      </c>
      <c r="F198" s="1">
        <f>'Asset Prices'!F198/'Asset Prices'!F199-1</f>
        <v>-7.9530391971217584E-3</v>
      </c>
      <c r="G198" s="1">
        <f>'Asset Prices'!G198/'Asset Prices'!G199-1</f>
        <v>2.781641168289295E-2</v>
      </c>
      <c r="H198" s="1">
        <f>'Asset Prices'!H198/'Asset Prices'!H199-1</f>
        <v>2.3831815473658313E-3</v>
      </c>
      <c r="I198" s="1">
        <f>'Asset Prices'!I198/'Asset Prices'!I199-1</f>
        <v>7.210559981392084E-3</v>
      </c>
      <c r="J198" s="1">
        <f>'Asset Prices'!J198/'Asset Prices'!J199-1</f>
        <v>-1.6707317073170747E-2</v>
      </c>
      <c r="K198" s="1">
        <f>'Asset Prices'!K198/'Asset Prices'!K199-1</f>
        <v>-1.1523557005914675E-3</v>
      </c>
      <c r="L198" s="1">
        <f>'Asset Prices'!L198/'Asset Prices'!L199-1</f>
        <v>2.4554976818728091E-2</v>
      </c>
      <c r="M198" s="1">
        <f>'Asset Prices'!M198/'Asset Prices'!M199-1</f>
        <v>-5.7509696402299193E-3</v>
      </c>
      <c r="N198" s="1">
        <f>'Asset Prices'!N198/'Asset Prices'!N199-1</f>
        <v>-5.6006867384112979E-3</v>
      </c>
      <c r="O198" s="1">
        <f>'Asset Prices'!O198/'Asset Prices'!O199-1</f>
        <v>2.744948532215008E-2</v>
      </c>
      <c r="P198" s="1">
        <f>'Asset Prices'!P198/'Asset Prices'!P199-1</f>
        <v>1.0544727636182083E-2</v>
      </c>
      <c r="Q198" s="1">
        <f>'Asset Prices'!Q198/'Asset Prices'!Q199-1</f>
        <v>1.8388593414054633E-2</v>
      </c>
      <c r="R198" s="1">
        <f>'Asset Prices'!R198/'Asset Prices'!R199-1</f>
        <v>7.8787878787878185E-3</v>
      </c>
      <c r="S198" s="1">
        <f>'Asset Prices'!S198/'Asset Prices'!S199-1</f>
        <v>-2.0387359836901986E-3</v>
      </c>
      <c r="T198" s="1">
        <f>'Asset Prices'!T198/'Asset Prices'!T199-1</f>
        <v>-1.7570959644718998E-2</v>
      </c>
      <c r="U198" s="1">
        <f>'Asset Prices'!U198/'Asset Prices'!U199-1</f>
        <v>1.8968011573701871E-2</v>
      </c>
      <c r="V198" s="1">
        <f>'Asset Prices'!V198/'Asset Prices'!V199-1</f>
        <v>-3.6514683153013983E-2</v>
      </c>
      <c r="W198" s="1">
        <f>'Asset Prices'!W198/'Asset Prices'!W199-1</f>
        <v>3.2252119424990733E-2</v>
      </c>
      <c r="X198" s="1">
        <f>'Asset Prices'!X198/'Asset Prices'!X199-1</f>
        <v>1.342539317222835E-3</v>
      </c>
      <c r="Y198" s="1">
        <f>'Asset Prices'!Y198/'Asset Prices'!Y199-1</f>
        <v>6.1709349414340586E-4</v>
      </c>
      <c r="Z198" s="1">
        <f>'Asset Prices'!Z198/'Asset Prices'!Z199-1</f>
        <v>3.154574132492094E-3</v>
      </c>
      <c r="AA198" s="1">
        <f>'Asset Prices'!AA198/'Asset Prices'!AA199-1</f>
        <v>-2.3457862728062495E-2</v>
      </c>
      <c r="AB198" s="1">
        <f>'Asset Prices'!AB198/'Asset Prices'!AB199-1</f>
        <v>-1.6000000000000014E-2</v>
      </c>
      <c r="AC198" s="1">
        <f>'Asset Prices'!AC198/'Asset Prices'!AC199-1</f>
        <v>1.6915814319433453E-2</v>
      </c>
      <c r="AD198" s="1">
        <f>'Asset Prices'!AD198/'Asset Prices'!AD199-1</f>
        <v>-1.8954248366013116E-2</v>
      </c>
      <c r="AE198" s="1">
        <f>'Asset Prices'!AE198/'Asset Prices'!AE199-1</f>
        <v>4.3421052631578805E-2</v>
      </c>
      <c r="AF198" s="1">
        <f>'Asset Prices'!AF198/'Asset Prices'!AF199-1</f>
        <v>-2.2522522522522515E-2</v>
      </c>
      <c r="AG198" s="1">
        <f>'Asset Prices'!AG198/'Asset Prices'!AG199-1</f>
        <v>5.4958183990442055E-2</v>
      </c>
      <c r="AH198" s="1">
        <f>'Asset Prices'!AH198/'Asset Prices'!AH199-1</f>
        <v>2.0864946889226132E-2</v>
      </c>
      <c r="AI198" s="1">
        <f>'Asset Prices'!AI198/'Asset Prices'!AI199-1</f>
        <v>-1.6639741518578388E-2</v>
      </c>
      <c r="AJ198" s="1">
        <f>'Asset Prices'!AJ198/'Asset Prices'!AJ199-1</f>
        <v>-5.0139275766016622E-2</v>
      </c>
      <c r="AK198" s="1">
        <f>'Asset Prices'!AK198/'Asset Prices'!AK199-1</f>
        <v>-7.8748107016658242E-2</v>
      </c>
      <c r="AL198" s="1">
        <f>'Asset Prices'!AL198/'Asset Prices'!AL199-1</f>
        <v>-1.2471938139191341E-4</v>
      </c>
      <c r="AM198" s="1">
        <f>'Asset Prices'!AM198/'Asset Prices'!AM199-1</f>
        <v>-9.0890023072076609E-4</v>
      </c>
      <c r="AN198" s="1">
        <f>'Asset Prices'!AN198/'Asset Prices'!AN199-1</f>
        <v>6.0125910730706167E-3</v>
      </c>
      <c r="AO198" s="1">
        <f>'Asset Prices'!AO198/'Asset Prices'!AO199-1</f>
        <v>-3.6898061288305084E-2</v>
      </c>
      <c r="AP198" s="1">
        <f>'Asset Prices'!AP198/'Asset Prices'!AP199-1</f>
        <v>8.5753803596126943E-3</v>
      </c>
      <c r="AQ198" s="1">
        <f>'Asset Prices'!AQ198/'Asset Prices'!AQ199-1</f>
        <v>1.9824116857952045E-2</v>
      </c>
      <c r="AR198" s="1">
        <f>'Asset Prices'!AR198/'Asset Prices'!AR199-1</f>
        <v>3.2863849765258246E-2</v>
      </c>
      <c r="AS198" s="1">
        <f>'Asset Prices'!AS198/'Asset Prices'!AS199-1</f>
        <v>1.3659466327827108E-2</v>
      </c>
      <c r="AT198" s="1">
        <f>'Asset Prices'!AT198/'Asset Prices'!AT199-1</f>
        <v>8.3539016517941711E-3</v>
      </c>
      <c r="AU198" s="1">
        <f>'Asset Prices'!AU198/'Asset Prices'!AU199-1</f>
        <v>6.5182511030892343E-4</v>
      </c>
      <c r="AV198" s="1">
        <f>'Asset Prices'!AV198/'Asset Prices'!AV199-1</f>
        <v>4.5077850326469049E-2</v>
      </c>
      <c r="AW198" s="1">
        <f>'Asset Prices'!AW198/'Asset Prices'!AW199-1</f>
        <v>-1.0052271813429825E-2</v>
      </c>
      <c r="AX198" s="1">
        <f>'Asset Prices'!AX198/'Asset Prices'!AX199-1</f>
        <v>6.7704807041299997E-2</v>
      </c>
      <c r="AY198" s="1">
        <f>'Asset Prices'!AY198/'Asset Prices'!AY199-1</f>
        <v>5.1413881748071821E-2</v>
      </c>
      <c r="AZ198" s="1">
        <f>'Asset Prices'!AZ198/'Asset Prices'!AZ199-1</f>
        <v>-2.5273922571219853E-2</v>
      </c>
      <c r="BA198" s="1">
        <f>'Asset Prices'!BA198/'Asset Prices'!BA199-1</f>
        <v>-1.2594458438287215E-2</v>
      </c>
      <c r="BB198" s="1">
        <f>'Asset Prices'!BB198/'Asset Prices'!BB199-1</f>
        <v>-1.5948963317382603E-3</v>
      </c>
      <c r="BC198" s="1">
        <f>'Asset Prices'!BC198/'Asset Prices'!BC199-1</f>
        <v>-2.4152542372881336E-2</v>
      </c>
      <c r="BD198" s="1">
        <f>'Asset Prices'!BD198/'Asset Prices'!BD199-1</f>
        <v>-7.3397402048790861E-2</v>
      </c>
    </row>
    <row r="199" spans="3:56" x14ac:dyDescent="0.25">
      <c r="C199" s="38">
        <f>'Asset Prices'!C199</f>
        <v>42978</v>
      </c>
      <c r="D199" s="1">
        <f>'Asset Prices'!D199/'Asset Prices'!D200-1</f>
        <v>2.9064134857585966E-3</v>
      </c>
      <c r="E199" s="1">
        <f>'Asset Prices'!E199/'Asset Prices'!E200-1</f>
        <v>-3.1520882584711307E-3</v>
      </c>
      <c r="F199" s="1">
        <f>'Asset Prices'!F199/'Asset Prices'!F200-1</f>
        <v>-1.9130757800891574E-2</v>
      </c>
      <c r="G199" s="1">
        <f>'Asset Prices'!G199/'Asset Prices'!G200-1</f>
        <v>2.3175442163041238E-2</v>
      </c>
      <c r="H199" s="1">
        <f>'Asset Prices'!H199/'Asset Prices'!H200-1</f>
        <v>2.3610385084509522E-2</v>
      </c>
      <c r="I199" s="1">
        <f>'Asset Prices'!I199/'Asset Prices'!I200-1</f>
        <v>2.5217598664599938E-2</v>
      </c>
      <c r="J199" s="1">
        <f>'Asset Prices'!J199/'Asset Prices'!J200-1</f>
        <v>2.9697997111822527E-2</v>
      </c>
      <c r="K199" s="1">
        <f>'Asset Prices'!K199/'Asset Prices'!K200-1</f>
        <v>2.9555357236600299E-2</v>
      </c>
      <c r="L199" s="1">
        <f>'Asset Prices'!L199/'Asset Prices'!L200-1</f>
        <v>3.9136382561113514E-2</v>
      </c>
      <c r="M199" s="1">
        <f>'Asset Prices'!M199/'Asset Prices'!M200-1</f>
        <v>2.8614665015820551E-2</v>
      </c>
      <c r="N199" s="1">
        <f>'Asset Prices'!N199/'Asset Prices'!N200-1</f>
        <v>1.9586077340989938E-2</v>
      </c>
      <c r="O199" s="1">
        <f>'Asset Prices'!O199/'Asset Prices'!O200-1</f>
        <v>-5.686125852918833E-3</v>
      </c>
      <c r="P199" s="1">
        <f>'Asset Prices'!P199/'Asset Prices'!P200-1</f>
        <v>1.6355140186915973E-2</v>
      </c>
      <c r="Q199" s="1">
        <f>'Asset Prices'!Q199/'Asset Prices'!Q200-1</f>
        <v>8.1569790656552676E-3</v>
      </c>
      <c r="R199" s="1">
        <f>'Asset Prices'!R199/'Asset Prices'!R200-1</f>
        <v>3.0395136778114118E-3</v>
      </c>
      <c r="S199" s="1">
        <f>'Asset Prices'!S199/'Asset Prices'!S200-1</f>
        <v>-6.5822784810125601E-3</v>
      </c>
      <c r="T199" s="1">
        <f>'Asset Prices'!T199/'Asset Prices'!T200-1</f>
        <v>3.6318159079539614E-2</v>
      </c>
      <c r="U199" s="1">
        <f>'Asset Prices'!U199/'Asset Prices'!U200-1</f>
        <v>3.2702523240371928E-2</v>
      </c>
      <c r="V199" s="1">
        <f>'Asset Prices'!V199/'Asset Prices'!V200-1</f>
        <v>1.1134987302207522E-2</v>
      </c>
      <c r="W199" s="1">
        <f>'Asset Prices'!W199/'Asset Prices'!W200-1</f>
        <v>-0.12200647249190932</v>
      </c>
      <c r="X199" s="1">
        <f>'Asset Prices'!X199/'Asset Prices'!X200-1</f>
        <v>2.8199566160520551E-2</v>
      </c>
      <c r="Y199" s="1">
        <f>'Asset Prices'!Y199/'Asset Prices'!Y200-1</f>
        <v>-6.4646464644150137E-2</v>
      </c>
      <c r="Z199" s="1">
        <f>'Asset Prices'!Z199/'Asset Prices'!Z200-1</f>
        <v>6.3492063492063266E-3</v>
      </c>
      <c r="AA199" s="1">
        <f>'Asset Prices'!AA199/'Asset Prices'!AA200-1</f>
        <v>5.1141552511415389E-2</v>
      </c>
      <c r="AB199" s="1">
        <f>'Asset Prices'!AB199/'Asset Prices'!AB200-1</f>
        <v>2.1798365122615904E-2</v>
      </c>
      <c r="AC199" s="1">
        <f>'Asset Prices'!AC199/'Asset Prices'!AC200-1</f>
        <v>0.12777284826974267</v>
      </c>
      <c r="AD199" s="1">
        <f>'Asset Prices'!AD199/'Asset Prices'!AD200-1</f>
        <v>7.8414096916299636E-2</v>
      </c>
      <c r="AE199" s="1">
        <f>'Asset Prices'!AE199/'Asset Prices'!AE200-1</f>
        <v>5.5702180858452577E-2</v>
      </c>
      <c r="AF199" s="1">
        <f>'Asset Prices'!AF199/'Asset Prices'!AF200-1</f>
        <v>-1.0401188707280906E-2</v>
      </c>
      <c r="AG199" s="1">
        <f>'Asset Prices'!AG199/'Asset Prices'!AG200-1</f>
        <v>-3.9035591274397152E-2</v>
      </c>
      <c r="AH199" s="1">
        <f>'Asset Prices'!AH199/'Asset Prices'!AH200-1</f>
        <v>4.9561570720548787E-3</v>
      </c>
      <c r="AI199" s="1">
        <f>'Asset Prices'!AI199/'Asset Prices'!AI200-1</f>
        <v>1.6420361247947435E-2</v>
      </c>
      <c r="AJ199" s="1">
        <f>'Asset Prices'!AJ199/'Asset Prices'!AJ200-1</f>
        <v>1.4124293785310771E-2</v>
      </c>
      <c r="AK199" s="1">
        <f>'Asset Prices'!AK199/'Asset Prices'!AK200-1</f>
        <v>2.4301964839710477E-2</v>
      </c>
      <c r="AL199" s="1">
        <f>'Asset Prices'!AL199/'Asset Prices'!AL200-1</f>
        <v>-2.4937655860346464E-4</v>
      </c>
      <c r="AM199" s="1">
        <f>'Asset Prices'!AM199/'Asset Prices'!AM200-1</f>
        <v>6.2963481180910996E-4</v>
      </c>
      <c r="AN199" s="1">
        <f>'Asset Prices'!AN199/'Asset Prices'!AN200-1</f>
        <v>1.8736038048569492E-2</v>
      </c>
      <c r="AO199" s="1">
        <f>'Asset Prices'!AO199/'Asset Prices'!AO200-1</f>
        <v>-7.0378803560340319E-3</v>
      </c>
      <c r="AP199" s="1">
        <f>'Asset Prices'!AP199/'Asset Prices'!AP200-1</f>
        <v>1.9889970376639754E-2</v>
      </c>
      <c r="AQ199" s="1">
        <f>'Asset Prices'!AQ199/'Asset Prices'!AQ200-1</f>
        <v>0.11297279362972801</v>
      </c>
      <c r="AR199" s="1">
        <f>'Asset Prices'!AR199/'Asset Prices'!AR200-1</f>
        <v>4.1281912004345722E-2</v>
      </c>
      <c r="AS199" s="1">
        <f>'Asset Prices'!AS199/'Asset Prices'!AS200-1</f>
        <v>4.203905991393575E-2</v>
      </c>
      <c r="AT199" s="1">
        <f>'Asset Prices'!AT199/'Asset Prices'!AT200-1</f>
        <v>2.8309254197579126E-2</v>
      </c>
      <c r="AU199" s="1">
        <f>'Asset Prices'!AU199/'Asset Prices'!AU200-1</f>
        <v>7.9854442535125525E-3</v>
      </c>
      <c r="AV199" s="1">
        <f>'Asset Prices'!AV199/'Asset Prices'!AV200-1</f>
        <v>1.4522292993630614E-2</v>
      </c>
      <c r="AW199" s="1">
        <f>'Asset Prices'!AW199/'Asset Prices'!AW200-1</f>
        <v>1.5654778110536505E-2</v>
      </c>
      <c r="AX199" s="1">
        <f>'Asset Prices'!AX199/'Asset Prices'!AX200-1</f>
        <v>2.00276243093922E-2</v>
      </c>
      <c r="AY199" s="1">
        <f>'Asset Prices'!AY199/'Asset Prices'!AY200-1</f>
        <v>1.3020833333333481E-2</v>
      </c>
      <c r="AZ199" s="1">
        <f>'Asset Prices'!AZ199/'Asset Prices'!AZ200-1</f>
        <v>3.0563083408611913E-2</v>
      </c>
      <c r="BA199" s="1">
        <f>'Asset Prices'!BA199/'Asset Prices'!BA200-1</f>
        <v>2.525252525252597E-3</v>
      </c>
      <c r="BB199" s="1">
        <f>'Asset Prices'!BB199/'Asset Prices'!BB200-1</f>
        <v>-1.7248242006104864E-3</v>
      </c>
      <c r="BC199" s="1">
        <f>'Asset Prices'!BC199/'Asset Prices'!BC200-1</f>
        <v>2.4750325662179717E-2</v>
      </c>
      <c r="BD199" s="1">
        <f>'Asset Prices'!BD199/'Asset Prices'!BD200-1</f>
        <v>-3.5939727143148081E-2</v>
      </c>
    </row>
    <row r="200" spans="3:56" x14ac:dyDescent="0.25">
      <c r="C200" s="38">
        <f>'Asset Prices'!C200</f>
        <v>42971</v>
      </c>
      <c r="D200" s="1">
        <f>'Asset Prices'!D200/'Asset Prices'!D201-1</f>
        <v>1.037588097102593E-2</v>
      </c>
      <c r="E200" s="1">
        <f>'Asset Prices'!E200/'Asset Prices'!E201-1</f>
        <v>1.3809429867823741E-3</v>
      </c>
      <c r="F200" s="1">
        <f>'Asset Prices'!F200/'Asset Prices'!F201-1</f>
        <v>-6.3000348068221301E-2</v>
      </c>
      <c r="G200" s="1">
        <f>'Asset Prices'!G200/'Asset Prices'!G201-1</f>
        <v>1.3182286302780621E-2</v>
      </c>
      <c r="H200" s="1">
        <f>'Asset Prices'!H200/'Asset Prices'!H201-1</f>
        <v>1.4495315538271214E-2</v>
      </c>
      <c r="I200" s="1">
        <f>'Asset Prices'!I200/'Asset Prices'!I201-1</f>
        <v>4.9727397998922118E-3</v>
      </c>
      <c r="J200" s="1">
        <f>'Asset Prices'!J200/'Asset Prices'!J201-1</f>
        <v>8.9319650323069766E-3</v>
      </c>
      <c r="K200" s="1">
        <f>'Asset Prices'!K200/'Asset Prices'!K201-1</f>
        <v>-8.4533141780400722E-3</v>
      </c>
      <c r="L200" s="1">
        <f>'Asset Prices'!L200/'Asset Prices'!L201-1</f>
        <v>1.2282497441146401E-2</v>
      </c>
      <c r="M200" s="1">
        <f>'Asset Prices'!M200/'Asset Prices'!M201-1</f>
        <v>4.00552486187844E-3</v>
      </c>
      <c r="N200" s="1">
        <f>'Asset Prices'!N200/'Asset Prices'!N201-1</f>
        <v>9.9497660780889507E-3</v>
      </c>
      <c r="O200" s="1">
        <f>'Asset Prices'!O200/'Asset Prices'!O201-1</f>
        <v>-2.1604079740380144E-2</v>
      </c>
      <c r="P200" s="1">
        <f>'Asset Prices'!P200/'Asset Prices'!P201-1</f>
        <v>-1.0148163182465142E-3</v>
      </c>
      <c r="Q200" s="1">
        <f>'Asset Prices'!Q200/'Asset Prices'!Q201-1</f>
        <v>3.5132262635805267E-2</v>
      </c>
      <c r="R200" s="1">
        <f>'Asset Prices'!R200/'Asset Prices'!R201-1</f>
        <v>1.3971645777686392E-2</v>
      </c>
      <c r="S200" s="1">
        <f>'Asset Prices'!S200/'Asset Prices'!S201-1</f>
        <v>1.7516743946419444E-2</v>
      </c>
      <c r="T200" s="1">
        <f>'Asset Prices'!T200/'Asset Prices'!T201-1</f>
        <v>2.15658217497956E-2</v>
      </c>
      <c r="U200" s="1">
        <f>'Asset Prices'!U200/'Asset Prices'!U201-1</f>
        <v>2.1627017135252835E-3</v>
      </c>
      <c r="V200" s="1">
        <f>'Asset Prices'!V200/'Asset Prices'!V201-1</f>
        <v>-3.1959152798789692E-2</v>
      </c>
      <c r="W200" s="1">
        <f>'Asset Prices'!W200/'Asset Prices'!W201-1</f>
        <v>2.7431421446383997E-2</v>
      </c>
      <c r="X200" s="1">
        <f>'Asset Prices'!X200/'Asset Prices'!X201-1</f>
        <v>-4.5907808090310365E-2</v>
      </c>
      <c r="Y200" s="1">
        <f>'Asset Prices'!Y200/'Asset Prices'!Y201-1</f>
        <v>-1.2257696699003229E-2</v>
      </c>
      <c r="Z200" s="1">
        <f>'Asset Prices'!Z200/'Asset Prices'!Z201-1</f>
        <v>-6.3091482649841879E-3</v>
      </c>
      <c r="AA200" s="1">
        <f>'Asset Prices'!AA200/'Asset Prices'!AA201-1</f>
        <v>9.1407678244959101E-4</v>
      </c>
      <c r="AB200" s="1">
        <f>'Asset Prices'!AB200/'Asset Prices'!AB201-1</f>
        <v>2.801120448179284E-2</v>
      </c>
      <c r="AC200" s="1">
        <f>'Asset Prices'!AC200/'Asset Prices'!AC201-1</f>
        <v>4.9041462327239493E-3</v>
      </c>
      <c r="AD200" s="1">
        <f>'Asset Prices'!AD200/'Asset Prices'!AD201-1</f>
        <v>2.5849602313810616E-2</v>
      </c>
      <c r="AE200" s="1">
        <f>'Asset Prices'!AE200/'Asset Prices'!AE201-1</f>
        <v>-2.3996746203904684E-2</v>
      </c>
      <c r="AF200" s="1">
        <f>'Asset Prices'!AF200/'Asset Prices'!AF201-1</f>
        <v>4.4776119402984982E-3</v>
      </c>
      <c r="AG200" s="1">
        <f>'Asset Prices'!AG200/'Asset Prices'!AG201-1</f>
        <v>9.2699884125144738E-3</v>
      </c>
      <c r="AH200" s="1">
        <f>'Asset Prices'!AH200/'Asset Prices'!AH201-1</f>
        <v>-5.4434030281182322E-2</v>
      </c>
      <c r="AI200" s="1">
        <f>'Asset Prices'!AI200/'Asset Prices'!AI201-1</f>
        <v>-2.6203734032099746E-3</v>
      </c>
      <c r="AJ200" s="1">
        <f>'Asset Prices'!AJ200/'Asset Prices'!AJ201-1</f>
        <v>3.5087719298245501E-2</v>
      </c>
      <c r="AK200" s="1">
        <f>'Asset Prices'!AK200/'Asset Prices'!AK201-1</f>
        <v>-5.6124938994631446E-2</v>
      </c>
      <c r="AL200" s="1">
        <f>'Asset Prices'!AL200/'Asset Prices'!AL201-1</f>
        <v>1.5061384634856401E-2</v>
      </c>
      <c r="AM200" s="1">
        <f>'Asset Prices'!AM200/'Asset Prices'!AM201-1</f>
        <v>1.5920398009950265E-2</v>
      </c>
      <c r="AN200" s="1">
        <f>'Asset Prices'!AN200/'Asset Prices'!AN201-1</f>
        <v>-4.5335718216841014E-2</v>
      </c>
      <c r="AO200" s="1">
        <f>'Asset Prices'!AO200/'Asset Prices'!AO201-1</f>
        <v>8.7700981415743673E-3</v>
      </c>
      <c r="AP200" s="1">
        <f>'Asset Prices'!AP200/'Asset Prices'!AP201-1</f>
        <v>9.1103202846976039E-3</v>
      </c>
      <c r="AQ200" s="1">
        <f>'Asset Prices'!AQ200/'Asset Prices'!AQ201-1</f>
        <v>1.893171061528065E-2</v>
      </c>
      <c r="AR200" s="1">
        <f>'Asset Prices'!AR200/'Asset Prices'!AR201-1</f>
        <v>2.1359223300970953E-2</v>
      </c>
      <c r="AS200" s="1">
        <f>'Asset Prices'!AS200/'Asset Prices'!AS201-1</f>
        <v>-1.1452879581151709E-2</v>
      </c>
      <c r="AT200" s="1">
        <f>'Asset Prices'!AT200/'Asset Prices'!AT201-1</f>
        <v>5.8605196327410347E-4</v>
      </c>
      <c r="AU200" s="1">
        <f>'Asset Prices'!AU200/'Asset Prices'!AU201-1</f>
        <v>-7.2750990918668546E-3</v>
      </c>
      <c r="AV200" s="1">
        <f>'Asset Prices'!AV200/'Asset Prices'!AV201-1</f>
        <v>5.5959106806564352E-2</v>
      </c>
      <c r="AW200" s="1">
        <f>'Asset Prices'!AW200/'Asset Prices'!AW201-1</f>
        <v>4.2725337118523665E-2</v>
      </c>
      <c r="AX200" s="1">
        <f>'Asset Prices'!AX200/'Asset Prices'!AX201-1</f>
        <v>3.5025017869907193E-2</v>
      </c>
      <c r="AY200" s="1">
        <f>'Asset Prices'!AY200/'Asset Prices'!AY201-1</f>
        <v>-1.538461538461533E-2</v>
      </c>
      <c r="AZ200" s="1">
        <f>'Asset Prices'!AZ200/'Asset Prices'!AZ201-1</f>
        <v>-2.0931603773584939E-2</v>
      </c>
      <c r="BA200" s="1">
        <f>'Asset Prices'!BA200/'Asset Prices'!BA201-1</f>
        <v>-2.4630541871921263E-2</v>
      </c>
      <c r="BB200" s="1">
        <f>'Asset Prices'!BB200/'Asset Prices'!BB201-1</f>
        <v>1.9064359113034168E-2</v>
      </c>
      <c r="BC200" s="1">
        <f>'Asset Prices'!BC200/'Asset Prices'!BC201-1</f>
        <v>-3.5998325659271635E-2</v>
      </c>
      <c r="BD200" s="1">
        <f>'Asset Prices'!BD200/'Asset Prices'!BD201-1</f>
        <v>-2.0933014354066914E-2</v>
      </c>
    </row>
    <row r="201" spans="3:56" x14ac:dyDescent="0.25">
      <c r="C201" s="38">
        <f>'Asset Prices'!C201</f>
        <v>42964</v>
      </c>
      <c r="D201" s="1">
        <f>'Asset Prices'!D201/'Asset Prices'!D202-1</f>
        <v>2.6836868026937299E-2</v>
      </c>
      <c r="E201" s="1">
        <f>'Asset Prices'!E201/'Asset Prices'!E202-1</f>
        <v>2.9600394671924768E-4</v>
      </c>
      <c r="F201" s="1">
        <f>'Asset Prices'!F201/'Asset Prices'!F202-1</f>
        <v>-2.7255798205518822E-2</v>
      </c>
      <c r="G201" s="1">
        <f>'Asset Prices'!G201/'Asset Prices'!G202-1</f>
        <v>9.3555093555093283E-3</v>
      </c>
      <c r="H201" s="1">
        <f>'Asset Prices'!H201/'Asset Prices'!H202-1</f>
        <v>-8.837825894836282E-5</v>
      </c>
      <c r="I201" s="1">
        <f>'Asset Prices'!I201/'Asset Prices'!I202-1</f>
        <v>-2.9271206690562046E-3</v>
      </c>
      <c r="J201" s="1">
        <f>'Asset Prices'!J201/'Asset Prices'!J202-1</f>
        <v>1.6353335050218964E-2</v>
      </c>
      <c r="K201" s="1">
        <f>'Asset Prices'!K201/'Asset Prices'!K202-1</f>
        <v>3.814320946369687E-3</v>
      </c>
      <c r="L201" s="1">
        <f>'Asset Prices'!L201/'Asset Prices'!L202-1</f>
        <v>-1.8032399195932247E-2</v>
      </c>
      <c r="M201" s="1">
        <f>'Asset Prices'!M201/'Asset Prices'!M202-1</f>
        <v>1.386360453717983E-2</v>
      </c>
      <c r="N201" s="1">
        <f>'Asset Prices'!N201/'Asset Prices'!N202-1</f>
        <v>4.4067172663193599E-3</v>
      </c>
      <c r="O201" s="1">
        <f>'Asset Prices'!O201/'Asset Prices'!O202-1</f>
        <v>2.4216524216524205E-2</v>
      </c>
      <c r="P201" s="1">
        <f>'Asset Prices'!P201/'Asset Prices'!P202-1</f>
        <v>1.2275925830808054E-2</v>
      </c>
      <c r="Q201" s="1">
        <f>'Asset Prices'!Q201/'Asset Prices'!Q202-1</f>
        <v>-1.0920983472522239E-2</v>
      </c>
      <c r="R201" s="1">
        <f>'Asset Prices'!R201/'Asset Prices'!R202-1</f>
        <v>6.1677631578960224E-4</v>
      </c>
      <c r="S201" s="1">
        <f>'Asset Prices'!S201/'Asset Prices'!S202-1</f>
        <v>1.8064516129032704E-3</v>
      </c>
      <c r="T201" s="1">
        <f>'Asset Prices'!T201/'Asset Prices'!T202-1</f>
        <v>-1.6881028938906639E-2</v>
      </c>
      <c r="U201" s="1">
        <f>'Asset Prices'!U201/'Asset Prices'!U202-1</f>
        <v>-8.3111702127658393E-4</v>
      </c>
      <c r="V201" s="1">
        <f>'Asset Prices'!V201/'Asset Prices'!V202-1</f>
        <v>-5.2671181339353224E-3</v>
      </c>
      <c r="W201" s="1">
        <f>'Asset Prices'!W201/'Asset Prices'!W202-1</f>
        <v>6.1893609902976543E-3</v>
      </c>
      <c r="X201" s="1">
        <f>'Asset Prices'!X201/'Asset Prices'!X202-1</f>
        <v>-1.5922977226439539E-2</v>
      </c>
      <c r="Y201" s="1">
        <f>'Asset Prices'!Y201/'Asset Prices'!Y202-1</f>
        <v>6.8209500605981743E-2</v>
      </c>
      <c r="Z201" s="1">
        <f>'Asset Prices'!Z201/'Asset Prices'!Z202-1</f>
        <v>3.5947712418300526E-2</v>
      </c>
      <c r="AA201" s="1">
        <f>'Asset Prices'!AA201/'Asset Prices'!AA202-1</f>
        <v>5.1923076923076961E-2</v>
      </c>
      <c r="AB201" s="1">
        <f>'Asset Prices'!AB201/'Asset Prices'!AB202-1</f>
        <v>-1.3812154696132617E-2</v>
      </c>
      <c r="AC201" s="1">
        <f>'Asset Prices'!AC201/'Asset Prices'!AC202-1</f>
        <v>1.5391579900407404E-2</v>
      </c>
      <c r="AD201" s="1">
        <f>'Asset Prices'!AD201/'Asset Prices'!AD202-1</f>
        <v>6.0010911074741546E-3</v>
      </c>
      <c r="AE201" s="1">
        <f>'Asset Prices'!AE201/'Asset Prices'!AE202-1</f>
        <v>-2.7554383651944514E-2</v>
      </c>
      <c r="AF201" s="1">
        <f>'Asset Prices'!AF201/'Asset Prices'!AF202-1</f>
        <v>-2.4745269286753913E-2</v>
      </c>
      <c r="AG201" s="1">
        <f>'Asset Prices'!AG201/'Asset Prices'!AG202-1</f>
        <v>-6.9044879171462625E-3</v>
      </c>
      <c r="AH201" s="1">
        <f>'Asset Prices'!AH201/'Asset Prices'!AH202-1</f>
        <v>-0.17953268263827282</v>
      </c>
      <c r="AI201" s="1">
        <f>'Asset Prices'!AI201/'Asset Prices'!AI202-1</f>
        <v>3.1070584262073764E-2</v>
      </c>
      <c r="AJ201" s="1">
        <f>'Asset Prices'!AJ201/'Asset Prices'!AJ202-1</f>
        <v>3.6363636363636376E-2</v>
      </c>
      <c r="AK201" s="1">
        <f>'Asset Prices'!AK201/'Asset Prices'!AK202-1</f>
        <v>-4.5200372786579845E-2</v>
      </c>
      <c r="AL201" s="1">
        <f>'Asset Prices'!AL201/'Asset Prices'!AL202-1</f>
        <v>-8.2841722103677018E-3</v>
      </c>
      <c r="AM201" s="1">
        <f>'Asset Prices'!AM201/'Asset Prices'!AM202-1</f>
        <v>-8.0372250423013103E-3</v>
      </c>
      <c r="AN201" s="1">
        <f>'Asset Prices'!AN201/'Asset Prices'!AN202-1</f>
        <v>1.0075741783059033E-2</v>
      </c>
      <c r="AO201" s="1">
        <f>'Asset Prices'!AO201/'Asset Prices'!AO202-1</f>
        <v>-2.707205331112128E-3</v>
      </c>
      <c r="AP201" s="1">
        <f>'Asset Prices'!AP201/'Asset Prices'!AP202-1</f>
        <v>-1.4232849416462301E-4</v>
      </c>
      <c r="AQ201" s="1">
        <f>'Asset Prices'!AQ201/'Asset Prices'!AQ202-1</f>
        <v>4.0999472109801038E-2</v>
      </c>
      <c r="AR201" s="1">
        <f>'Asset Prices'!AR201/'Asset Prices'!AR202-1</f>
        <v>-1.0702524698133931E-2</v>
      </c>
      <c r="AS201" s="1">
        <f>'Asset Prices'!AS201/'Asset Prices'!AS202-1</f>
        <v>-5.3576958810777398E-2</v>
      </c>
      <c r="AT201" s="1">
        <f>'Asset Prices'!AT201/'Asset Prices'!AT202-1</f>
        <v>6.2905445252605663E-3</v>
      </c>
      <c r="AU201" s="1">
        <f>'Asset Prices'!AU201/'Asset Prices'!AU202-1</f>
        <v>5.4989405710825778E-3</v>
      </c>
      <c r="AV201" s="1">
        <f>'Asset Prices'!AV201/'Asset Prices'!AV202-1</f>
        <v>1.7241379310344973E-2</v>
      </c>
      <c r="AW201" s="1">
        <f>'Asset Prices'!AW201/'Asset Prices'!AW202-1</f>
        <v>3.4204345273047609E-2</v>
      </c>
      <c r="AX201" s="1">
        <f>'Asset Prices'!AX201/'Asset Prices'!AX202-1</f>
        <v>7.1994240460762082E-3</v>
      </c>
      <c r="AY201" s="1">
        <f>'Asset Prices'!AY201/'Asset Prices'!AY202-1</f>
        <v>-4.8780487804878092E-2</v>
      </c>
      <c r="AZ201" s="1">
        <f>'Asset Prices'!AZ201/'Asset Prices'!AZ202-1</f>
        <v>-3.1410622501427676E-2</v>
      </c>
      <c r="BA201" s="1">
        <f>'Asset Prices'!BA201/'Asset Prices'!BA202-1</f>
        <v>-1.4563106796116498E-2</v>
      </c>
      <c r="BB201" s="1">
        <f>'Asset Prices'!BB201/'Asset Prices'!BB202-1</f>
        <v>-8.4461724091702273E-3</v>
      </c>
      <c r="BC201" s="1">
        <f>'Asset Prices'!BC201/'Asset Prices'!BC202-1</f>
        <v>-2.3303352412101352E-2</v>
      </c>
      <c r="BD201" s="1">
        <f>'Asset Prices'!BD201/'Asset Prices'!BD202-1</f>
        <v>-2.5924847072531287E-2</v>
      </c>
    </row>
    <row r="202" spans="3:56" x14ac:dyDescent="0.25">
      <c r="C202" s="38">
        <f>'Asset Prices'!C202</f>
        <v>42957</v>
      </c>
      <c r="D202" s="1">
        <f>'Asset Prices'!D202/'Asset Prices'!D203-1</f>
        <v>-1.0935480664082009E-2</v>
      </c>
      <c r="E202" s="1">
        <f>'Asset Prices'!E202/'Asset Prices'!E203-1</f>
        <v>-7.1206011730205354E-2</v>
      </c>
      <c r="F202" s="1">
        <f>'Asset Prices'!F202/'Asset Prices'!F203-1</f>
        <v>-1.7791819088792793E-2</v>
      </c>
      <c r="G202" s="1">
        <f>'Asset Prices'!G202/'Asset Prices'!G203-1</f>
        <v>-4.2404937288472944E-2</v>
      </c>
      <c r="H202" s="1">
        <f>'Asset Prices'!H202/'Asset Prices'!H203-1</f>
        <v>-3.6104262064107218E-3</v>
      </c>
      <c r="I202" s="1">
        <f>'Asset Prices'!I202/'Asset Prices'!I203-1</f>
        <v>-7.0585443976510787E-3</v>
      </c>
      <c r="J202" s="1">
        <f>'Asset Prices'!J202/'Asset Prices'!J203-1</f>
        <v>-1.6069936363052317E-3</v>
      </c>
      <c r="K202" s="1">
        <f>'Asset Prices'!K202/'Asset Prices'!K203-1</f>
        <v>-3.0397600616058007E-2</v>
      </c>
      <c r="L202" s="1">
        <f>'Asset Prices'!L202/'Asset Prices'!L203-1</f>
        <v>-5.6296378954416082E-2</v>
      </c>
      <c r="M202" s="1">
        <f>'Asset Prices'!M202/'Asset Prices'!M203-1</f>
        <v>-1.0256410256410331E-2</v>
      </c>
      <c r="N202" s="1">
        <f>'Asset Prices'!N202/'Asset Prices'!N203-1</f>
        <v>-1.7770924173136193E-2</v>
      </c>
      <c r="O202" s="1">
        <f>'Asset Prices'!O202/'Asset Prices'!O203-1</f>
        <v>-2.2740193291643784E-3</v>
      </c>
      <c r="P202" s="1">
        <f>'Asset Prices'!P202/'Asset Prices'!P203-1</f>
        <v>8.5474513054288881E-3</v>
      </c>
      <c r="Q202" s="1">
        <f>'Asset Prices'!Q202/'Asset Prices'!Q203-1</f>
        <v>4.5171887832922142E-3</v>
      </c>
      <c r="R202" s="1">
        <f>'Asset Prices'!R202/'Asset Prices'!R203-1</f>
        <v>1.1016420702556706E-2</v>
      </c>
      <c r="S202" s="1">
        <f>'Asset Prices'!S202/'Asset Prices'!S203-1</f>
        <v>-9.2048069547430167E-3</v>
      </c>
      <c r="T202" s="1">
        <f>'Asset Prices'!T202/'Asset Prices'!T203-1</f>
        <v>-3.9938259695157297E-2</v>
      </c>
      <c r="U202" s="1">
        <f>'Asset Prices'!U202/'Asset Prices'!U203-1</f>
        <v>-1.0200723922342947E-2</v>
      </c>
      <c r="V202" s="1">
        <f>'Asset Prices'!V202/'Asset Prices'!V203-1</f>
        <v>-1.3179877482829006E-2</v>
      </c>
      <c r="W202" s="1">
        <f>'Asset Prices'!W202/'Asset Prices'!W203-1</f>
        <v>1.5077902496232198E-3</v>
      </c>
      <c r="X202" s="1">
        <f>'Asset Prices'!X202/'Asset Prices'!X203-1</f>
        <v>-3.7426483692746371E-2</v>
      </c>
      <c r="Y202" s="1">
        <f>'Asset Prices'!Y202/'Asset Prices'!Y203-1</f>
        <v>9.102990033310232E-2</v>
      </c>
      <c r="Z202" s="1">
        <f>'Asset Prices'!Z202/'Asset Prices'!Z203-1</f>
        <v>-6.4220183486238591E-2</v>
      </c>
      <c r="AA202" s="1">
        <f>'Asset Prices'!AA202/'Asset Prices'!AA203-1</f>
        <v>-0.13621262458471761</v>
      </c>
      <c r="AB202" s="1">
        <f>'Asset Prices'!AB202/'Asset Prices'!AB203-1</f>
        <v>-1.8970189701897011E-2</v>
      </c>
      <c r="AC202" s="1">
        <f>'Asset Prices'!AC202/'Asset Prices'!AC203-1</f>
        <v>-7.2628043660789232E-2</v>
      </c>
      <c r="AD202" s="1">
        <f>'Asset Prices'!AD202/'Asset Prices'!AD203-1</f>
        <v>-5.4016858764837417E-2</v>
      </c>
      <c r="AE202" s="1">
        <f>'Asset Prices'!AE202/'Asset Prices'!AE203-1</f>
        <v>-2.4688183104024763E-2</v>
      </c>
      <c r="AF202" s="1">
        <f>'Asset Prices'!AF202/'Asset Prices'!AF203-1</f>
        <v>-7.6612903225806495E-2</v>
      </c>
      <c r="AG202" s="1">
        <f>'Asset Prices'!AG202/'Asset Prices'!AG203-1</f>
        <v>-3.5516093229744583E-2</v>
      </c>
      <c r="AH202" s="1">
        <f>'Asset Prices'!AH202/'Asset Prices'!AH203-1</f>
        <v>-9.2592592592592449E-2</v>
      </c>
      <c r="AI202" s="1">
        <f>'Asset Prices'!AI202/'Asset Prices'!AI203-1</f>
        <v>1.4388489208633004E-2</v>
      </c>
      <c r="AJ202" s="1">
        <f>'Asset Prices'!AJ202/'Asset Prices'!AJ203-1</f>
        <v>3.125E-2</v>
      </c>
      <c r="AK202" s="1">
        <f>'Asset Prices'!AK202/'Asset Prices'!AK203-1</f>
        <v>-3.0275643922277329E-2</v>
      </c>
      <c r="AL202" s="1">
        <f>'Asset Prices'!AL202/'Asset Prices'!AL203-1</f>
        <v>2.895266868076618E-3</v>
      </c>
      <c r="AM202" s="1">
        <f>'Asset Prices'!AM202/'Asset Prices'!AM203-1</f>
        <v>-2.1388160618186824E-2</v>
      </c>
      <c r="AN202" s="1">
        <f>'Asset Prices'!AN202/'Asset Prices'!AN203-1</f>
        <v>-1.6806722689075682E-2</v>
      </c>
      <c r="AO202" s="1">
        <f>'Asset Prices'!AO202/'Asset Prices'!AO203-1</f>
        <v>-1.2137420283892086E-2</v>
      </c>
      <c r="AP202" s="1">
        <f>'Asset Prices'!AP202/'Asset Prices'!AP203-1</f>
        <v>9.4827586206898129E-3</v>
      </c>
      <c r="AQ202" s="1">
        <f>'Asset Prices'!AQ202/'Asset Prices'!AQ203-1</f>
        <v>-4.326599326599323E-2</v>
      </c>
      <c r="AR202" s="1">
        <f>'Asset Prices'!AR202/'Asset Prices'!AR203-1</f>
        <v>-4.0994807324407079E-3</v>
      </c>
      <c r="AS202" s="1">
        <f>'Asset Prices'!AS202/'Asset Prices'!AS203-1</f>
        <v>-6.9452449567723451E-2</v>
      </c>
      <c r="AT202" s="1">
        <f>'Asset Prices'!AT202/'Asset Prices'!AT203-1</f>
        <v>-2.3608445297504832E-2</v>
      </c>
      <c r="AU202" s="1">
        <f>'Asset Prices'!AU202/'Asset Prices'!AU203-1</f>
        <v>-3.4188034188034067E-3</v>
      </c>
      <c r="AV202" s="1">
        <f>'Asset Prices'!AV202/'Asset Prices'!AV203-1</f>
        <v>-6.1199510403917579E-3</v>
      </c>
      <c r="AW202" s="1">
        <f>'Asset Prices'!AW202/'Asset Prices'!AW203-1</f>
        <v>-1.8302349041648625E-2</v>
      </c>
      <c r="AX202" s="1">
        <f>'Asset Prices'!AX202/'Asset Prices'!AX203-1</f>
        <v>-4.3388429752066027E-2</v>
      </c>
      <c r="AY202" s="1">
        <f>'Asset Prices'!AY202/'Asset Prices'!AY203-1</f>
        <v>5.6701030927835072E-2</v>
      </c>
      <c r="AZ202" s="1">
        <f>'Asset Prices'!AZ202/'Asset Prices'!AZ203-1</f>
        <v>-2.9916897506925055E-2</v>
      </c>
      <c r="BA202" s="1">
        <f>'Asset Prices'!BA202/'Asset Prices'!BA203-1</f>
        <v>-1.2121212121212199E-3</v>
      </c>
      <c r="BB202" s="1">
        <f>'Asset Prices'!BB202/'Asset Prices'!BB203-1</f>
        <v>1.180141074335328E-2</v>
      </c>
      <c r="BC202" s="1">
        <f>'Asset Prices'!BC202/'Asset Prices'!BC203-1</f>
        <v>-4.8249027237354136E-2</v>
      </c>
      <c r="BD202" s="1">
        <f>'Asset Prices'!BD202/'Asset Prices'!BD203-1</f>
        <v>-8.1856702619415023E-3</v>
      </c>
    </row>
    <row r="203" spans="3:56" x14ac:dyDescent="0.25">
      <c r="C203" s="38">
        <f>'Asset Prices'!C203</f>
        <v>42950</v>
      </c>
      <c r="D203" s="1">
        <f>'Asset Prices'!D203/'Asset Prices'!D204-1</f>
        <v>1.024404941247381E-2</v>
      </c>
      <c r="E203" s="1">
        <f>'Asset Prices'!E203/'Asset Prices'!E204-1</f>
        <v>-8.0000000000000071E-3</v>
      </c>
      <c r="F203" s="1">
        <f>'Asset Prices'!F203/'Asset Prices'!F204-1</f>
        <v>3.4221840068787701E-2</v>
      </c>
      <c r="G203" s="1">
        <f>'Asset Prices'!G203/'Asset Prices'!G204-1</f>
        <v>-4.3607532210110378E-3</v>
      </c>
      <c r="H203" s="1">
        <f>'Asset Prices'!H203/'Asset Prices'!H204-1</f>
        <v>-7.082276820844613E-3</v>
      </c>
      <c r="I203" s="1">
        <f>'Asset Prices'!I203/'Asset Prices'!I204-1</f>
        <v>-1.0854259563482738E-2</v>
      </c>
      <c r="J203" s="1">
        <f>'Asset Prices'!J203/'Asset Prices'!J204-1</f>
        <v>3.3275770456960618E-2</v>
      </c>
      <c r="K203" s="1">
        <f>'Asset Prices'!K203/'Asset Prices'!K204-1</f>
        <v>-5.6481835564053617E-2</v>
      </c>
      <c r="L203" s="1">
        <f>'Asset Prices'!L203/'Asset Prices'!L204-1</f>
        <v>-1.8885482811473731E-2</v>
      </c>
      <c r="M203" s="1">
        <f>'Asset Prices'!M203/'Asset Prices'!M204-1</f>
        <v>-1.3805358119190703E-2</v>
      </c>
      <c r="N203" s="1">
        <f>'Asset Prices'!N203/'Asset Prices'!N204-1</f>
        <v>-1.2818763057605764E-2</v>
      </c>
      <c r="O203" s="1">
        <f>'Asset Prices'!O203/'Asset Prices'!O204-1</f>
        <v>-8.5486143729449626E-3</v>
      </c>
      <c r="P203" s="1">
        <f>'Asset Prices'!P203/'Asset Prices'!P204-1</f>
        <v>-7.3022729610203729E-3</v>
      </c>
      <c r="Q203" s="1">
        <f>'Asset Prices'!Q203/'Asset Prices'!Q204-1</f>
        <v>8.3937428462419028E-2</v>
      </c>
      <c r="R203" s="1">
        <f>'Asset Prices'!R203/'Asset Prices'!R204-1</f>
        <v>9.4418799832145517E-3</v>
      </c>
      <c r="S203" s="1">
        <f>'Asset Prices'!S203/'Asset Prices'!S204-1</f>
        <v>2.5970619097586578E-2</v>
      </c>
      <c r="T203" s="1">
        <f>'Asset Prices'!T203/'Asset Prices'!T204-1</f>
        <v>-3.8439361906592584E-3</v>
      </c>
      <c r="U203" s="1">
        <f>'Asset Prices'!U203/'Asset Prices'!U204-1</f>
        <v>-2.3928055243295332E-2</v>
      </c>
      <c r="V203" s="1">
        <f>'Asset Prices'!V203/'Asset Prices'!V204-1</f>
        <v>1.584009051480284E-2</v>
      </c>
      <c r="W203" s="1">
        <f>'Asset Prices'!W203/'Asset Prices'!W204-1</f>
        <v>4.6275197195442708E-2</v>
      </c>
      <c r="X203" s="1">
        <f>'Asset Prices'!X203/'Asset Prices'!X204-1</f>
        <v>-8.1315184726886702E-3</v>
      </c>
      <c r="Y203" s="1">
        <f>'Asset Prices'!Y203/'Asset Prices'!Y204-1</f>
        <v>3.3333333575935598E-3</v>
      </c>
      <c r="Z203" s="1">
        <f>'Asset Prices'!Z203/'Asset Prices'!Z204-1</f>
        <v>-5.7636887608069176E-2</v>
      </c>
      <c r="AA203" s="1">
        <f>'Asset Prices'!AA203/'Asset Prices'!AA204-1</f>
        <v>-6.6006600660065695E-3</v>
      </c>
      <c r="AB203" s="1">
        <f>'Asset Prices'!AB203/'Asset Prices'!AB204-1</f>
        <v>8.1967213114753079E-3</v>
      </c>
      <c r="AC203" s="1">
        <f>'Asset Prices'!AC203/'Asset Prices'!AC204-1</f>
        <v>-1.2028204064703507E-2</v>
      </c>
      <c r="AD203" s="1">
        <f>'Asset Prices'!AD203/'Asset Prices'!AD204-1</f>
        <v>-1.956485073368186E-2</v>
      </c>
      <c r="AE203" s="1">
        <f>'Asset Prices'!AE203/'Asset Prices'!AE204-1</f>
        <v>2.2079116835326484E-2</v>
      </c>
      <c r="AF203" s="1">
        <f>'Asset Prices'!AF203/'Asset Prices'!AF204-1</f>
        <v>-6.5326633165829096E-2</v>
      </c>
      <c r="AG203" s="1">
        <f>'Asset Prices'!AG203/'Asset Prices'!AG204-1</f>
        <v>5.5803571428572063E-3</v>
      </c>
      <c r="AH203" s="1">
        <f>'Asset Prices'!AH203/'Asset Prices'!AH204-1</f>
        <v>1.4705882352941124E-2</v>
      </c>
      <c r="AI203" s="1">
        <f>'Asset Prices'!AI203/'Asset Prices'!AI204-1</f>
        <v>-4.918566775244293E-2</v>
      </c>
      <c r="AJ203" s="1">
        <f>'Asset Prices'!AJ203/'Asset Prices'!AJ204-1</f>
        <v>-1.8404907975460127E-2</v>
      </c>
      <c r="AK203" s="1">
        <f>'Asset Prices'!AK203/'Asset Prices'!AK204-1</f>
        <v>1.9345923537540166E-2</v>
      </c>
      <c r="AL203" s="1">
        <f>'Asset Prices'!AL203/'Asset Prices'!AL204-1</f>
        <v>2.777076495834363E-3</v>
      </c>
      <c r="AM203" s="1">
        <f>'Asset Prices'!AM203/'Asset Prices'!AM204-1</f>
        <v>-8.9611911491005447E-4</v>
      </c>
      <c r="AN203" s="1">
        <f>'Asset Prices'!AN203/'Asset Prices'!AN204-1</f>
        <v>1.6105518917042705E-2</v>
      </c>
      <c r="AO203" s="1">
        <f>'Asset Prices'!AO203/'Asset Prices'!AO204-1</f>
        <v>1.6732901066722317E-2</v>
      </c>
      <c r="AP203" s="1">
        <f>'Asset Prices'!AP203/'Asset Prices'!AP204-1</f>
        <v>-5.7438253877095669E-4</v>
      </c>
      <c r="AQ203" s="1">
        <f>'Asset Prices'!AQ203/'Asset Prices'!AQ204-1</f>
        <v>-1.5415216310293411E-2</v>
      </c>
      <c r="AR203" s="1">
        <f>'Asset Prices'!AR203/'Asset Prices'!AR204-1</f>
        <v>4.1163556531285117E-3</v>
      </c>
      <c r="AS203" s="1">
        <f>'Asset Prices'!AS203/'Asset Prices'!AS204-1</f>
        <v>-9.8467134320602723E-2</v>
      </c>
      <c r="AT203" s="1">
        <f>'Asset Prices'!AT203/'Asset Prices'!AT204-1</f>
        <v>-8.7519025875190115E-3</v>
      </c>
      <c r="AU203" s="1">
        <f>'Asset Prices'!AU203/'Asset Prices'!AU204-1</f>
        <v>-1.3735310160162606E-2</v>
      </c>
      <c r="AV203" s="1">
        <f>'Asset Prices'!AV203/'Asset Prices'!AV204-1</f>
        <v>1.7857142857143016E-2</v>
      </c>
      <c r="AW203" s="1">
        <f>'Asset Prices'!AW203/'Asset Prices'!AW204-1</f>
        <v>1.8769852728848235E-3</v>
      </c>
      <c r="AX203" s="1">
        <f>'Asset Prices'!AX203/'Asset Prices'!AX204-1</f>
        <v>-6.5035415325177093E-2</v>
      </c>
      <c r="AY203" s="1">
        <f>'Asset Prices'!AY203/'Asset Prices'!AY204-1</f>
        <v>-6.5060240963855431E-2</v>
      </c>
      <c r="AZ203" s="1">
        <f>'Asset Prices'!AZ203/'Asset Prices'!AZ204-1</f>
        <v>-8.3033490174377889E-4</v>
      </c>
      <c r="BA203" s="1">
        <f>'Asset Prices'!BA203/'Asset Prices'!BA204-1</f>
        <v>-3.6231884057970065E-3</v>
      </c>
      <c r="BB203" s="1">
        <f>'Asset Prices'!BB203/'Asset Prices'!BB204-1</f>
        <v>7.7922077922076838E-3</v>
      </c>
      <c r="BC203" s="1">
        <f>'Asset Prices'!BC203/'Asset Prices'!BC204-1</f>
        <v>-2.5407660219946893E-2</v>
      </c>
      <c r="BD203" s="1">
        <f>'Asset Prices'!BD203/'Asset Prices'!BD204-1</f>
        <v>-1.0482180293501009E-2</v>
      </c>
    </row>
    <row r="204" spans="3:56" x14ac:dyDescent="0.25">
      <c r="C204" s="38">
        <f>'Asset Prices'!C204</f>
        <v>42943</v>
      </c>
      <c r="D204" s="1">
        <f>'Asset Prices'!D204/'Asset Prices'!D205-1</f>
        <v>1.488125573336041E-2</v>
      </c>
      <c r="E204" s="1">
        <f>'Asset Prices'!E204/'Asset Prices'!E205-1</f>
        <v>2.4590163934426146E-2</v>
      </c>
      <c r="F204" s="1">
        <f>'Asset Prices'!F204/'Asset Prices'!F205-1</f>
        <v>-1.6074450084602399E-2</v>
      </c>
      <c r="G204" s="1">
        <f>'Asset Prices'!G204/'Asset Prices'!G205-1</f>
        <v>-1.3299432818306256E-2</v>
      </c>
      <c r="H204" s="1">
        <f>'Asset Prices'!H204/'Asset Prices'!H205-1</f>
        <v>6.5691390234811964E-2</v>
      </c>
      <c r="I204" s="1">
        <f>'Asset Prices'!I204/'Asset Prices'!I205-1</f>
        <v>3.5920500820519008E-2</v>
      </c>
      <c r="J204" s="1">
        <f>'Asset Prices'!J204/'Asset Prices'!J205-1</f>
        <v>1.463349740588038E-3</v>
      </c>
      <c r="K204" s="1">
        <f>'Asset Prices'!K204/'Asset Prices'!K205-1</f>
        <v>1.6817342276659764E-2</v>
      </c>
      <c r="L204" s="1">
        <f>'Asset Prices'!L204/'Asset Prices'!L205-1</f>
        <v>-5.010893246187309E-3</v>
      </c>
      <c r="M204" s="1">
        <f>'Asset Prices'!M204/'Asset Prices'!M205-1</f>
        <v>-1.4281864726488847E-2</v>
      </c>
      <c r="N204" s="1">
        <f>'Asset Prices'!N204/'Asset Prices'!N205-1</f>
        <v>-3.9992340176780772E-2</v>
      </c>
      <c r="O204" s="1">
        <f>'Asset Prices'!O204/'Asset Prices'!O205-1</f>
        <v>1.599548362815284E-3</v>
      </c>
      <c r="P204" s="1">
        <f>'Asset Prices'!P204/'Asset Prices'!P205-1</f>
        <v>-1.8473652331919999E-2</v>
      </c>
      <c r="Q204" s="1">
        <f>'Asset Prices'!Q204/'Asset Prices'!Q205-1</f>
        <v>-1.8168196291440286E-2</v>
      </c>
      <c r="R204" s="1">
        <f>'Asset Prices'!R204/'Asset Prices'!R205-1</f>
        <v>1.124549119456808E-2</v>
      </c>
      <c r="S204" s="1">
        <f>'Asset Prices'!S204/'Asset Prices'!S205-1</f>
        <v>-3.138075313807609E-3</v>
      </c>
      <c r="T204" s="1">
        <f>'Asset Prices'!T204/'Asset Prices'!T205-1</f>
        <v>1.6210937499999911E-2</v>
      </c>
      <c r="U204" s="1">
        <f>'Asset Prices'!U204/'Asset Prices'!U205-1</f>
        <v>1.7696267696267753E-3</v>
      </c>
      <c r="V204" s="1">
        <f>'Asset Prices'!V204/'Asset Prices'!V205-1</f>
        <v>-4.3184378520465527E-3</v>
      </c>
      <c r="W204" s="1">
        <f>'Asset Prices'!W204/'Asset Prices'!W205-1</f>
        <v>5.7264640474425477E-2</v>
      </c>
      <c r="X204" s="1">
        <f>'Asset Prices'!X204/'Asset Prices'!X205-1</f>
        <v>-6.3410596026490018E-2</v>
      </c>
      <c r="Y204" s="1">
        <f>'Asset Prices'!Y204/'Asset Prices'!Y205-1</f>
        <v>-4.0000000010461778E-2</v>
      </c>
      <c r="Z204" s="1">
        <f>'Asset Prices'!Z204/'Asset Prices'!Z205-1</f>
        <v>-1.6997167138810054E-2</v>
      </c>
      <c r="AA204" s="1">
        <f>'Asset Prices'!AA204/'Asset Prices'!AA205-1</f>
        <v>-1.941747572815522E-2</v>
      </c>
      <c r="AB204" s="1">
        <f>'Asset Prices'!AB204/'Asset Prices'!AB205-1</f>
        <v>-2.6595744680851019E-2</v>
      </c>
      <c r="AC204" s="1">
        <f>'Asset Prices'!AC204/'Asset Prices'!AC205-1</f>
        <v>-2.2699635184434519E-2</v>
      </c>
      <c r="AD204" s="1">
        <f>'Asset Prices'!AD204/'Asset Prices'!AD205-1</f>
        <v>-2.0000000000000018E-2</v>
      </c>
      <c r="AE204" s="1">
        <f>'Asset Prices'!AE204/'Asset Prices'!AE205-1</f>
        <v>5.6512079977784069E-2</v>
      </c>
      <c r="AF204" s="1">
        <f>'Asset Prices'!AF204/'Asset Prices'!AF205-1</f>
        <v>-2.2513303315595645E-2</v>
      </c>
      <c r="AG204" s="1">
        <f>'Asset Prices'!AG204/'Asset Prices'!AG205-1</f>
        <v>2.7522935779816349E-2</v>
      </c>
      <c r="AH204" s="1">
        <f>'Asset Prices'!AH204/'Asset Prices'!AH205-1</f>
        <v>-1.3698630136986245E-2</v>
      </c>
      <c r="AI204" s="1">
        <f>'Asset Prices'!AI204/'Asset Prices'!AI205-1</f>
        <v>0.10411796439489307</v>
      </c>
      <c r="AJ204" s="1">
        <f>'Asset Prices'!AJ204/'Asset Prices'!AJ205-1</f>
        <v>-6.0975609756096505E-3</v>
      </c>
      <c r="AK204" s="1">
        <f>'Asset Prices'!AK204/'Asset Prices'!AK205-1</f>
        <v>-6.9438491213030362E-2</v>
      </c>
      <c r="AL204" s="1">
        <f>'Asset Prices'!AL204/'Asset Prices'!AL205-1</f>
        <v>9.8151688973868723E-3</v>
      </c>
      <c r="AM204" s="1">
        <f>'Asset Prices'!AM204/'Asset Prices'!AM205-1</f>
        <v>-1.7540295272924333E-2</v>
      </c>
      <c r="AN204" s="1">
        <f>'Asset Prices'!AN204/'Asset Prices'!AN205-1</f>
        <v>-2.2727272727272707E-2</v>
      </c>
      <c r="AO204" s="1">
        <f>'Asset Prices'!AO204/'Asset Prices'!AO205-1</f>
        <v>8.1184984170058927E-2</v>
      </c>
      <c r="AP204" s="1">
        <f>'Asset Prices'!AP204/'Asset Prices'!AP205-1</f>
        <v>5.7471264367814356E-4</v>
      </c>
      <c r="AQ204" s="1">
        <f>'Asset Prices'!AQ204/'Asset Prices'!AQ205-1</f>
        <v>-1.9980506822612099E-2</v>
      </c>
      <c r="AR204" s="1">
        <f>'Asset Prices'!AR204/'Asset Prices'!AR205-1</f>
        <v>7.4292452830188704E-2</v>
      </c>
      <c r="AS204" s="1">
        <f>'Asset Prices'!AS204/'Asset Prices'!AS205-1</f>
        <v>-2.532286654849325E-2</v>
      </c>
      <c r="AT204" s="1">
        <f>'Asset Prices'!AT204/'Asset Prices'!AT205-1</f>
        <v>3.4238488783943311E-2</v>
      </c>
      <c r="AU204" s="1">
        <f>'Asset Prices'!AU204/'Asset Prices'!AU205-1</f>
        <v>-8.1640682634143147E-3</v>
      </c>
      <c r="AV204" s="1">
        <f>'Asset Prices'!AV204/'Asset Prices'!AV205-1</f>
        <v>2.0771513353115667E-2</v>
      </c>
      <c r="AW204" s="1">
        <f>'Asset Prices'!AW204/'Asset Prices'!AW205-1</f>
        <v>-1.1277658815131986E-2</v>
      </c>
      <c r="AX204" s="1">
        <f>'Asset Prices'!AX204/'Asset Prices'!AX205-1</f>
        <v>-2.080706179066838E-2</v>
      </c>
      <c r="AY204" s="1">
        <f>'Asset Prices'!AY204/'Asset Prices'!AY205-1</f>
        <v>-4.7961630695445567E-3</v>
      </c>
      <c r="AZ204" s="1">
        <f>'Asset Prices'!AZ204/'Asset Prices'!AZ205-1</f>
        <v>1.0346756152125325E-2</v>
      </c>
      <c r="BA204" s="1">
        <f>'Asset Prices'!BA204/'Asset Prices'!BA205-1</f>
        <v>-7.194244604316502E-3</v>
      </c>
      <c r="BB204" s="1">
        <f>'Asset Prices'!BB204/'Asset Prices'!BB205-1</f>
        <v>3.1153087115872724E-2</v>
      </c>
      <c r="BC204" s="1">
        <f>'Asset Prices'!BC204/'Asset Prices'!BC205-1</f>
        <v>-8.6278586278586422E-2</v>
      </c>
      <c r="BD204" s="1">
        <f>'Asset Prices'!BD204/'Asset Prices'!BD205-1</f>
        <v>-7.2840790842871872E-3</v>
      </c>
    </row>
    <row r="205" spans="3:56" x14ac:dyDescent="0.25">
      <c r="C205" s="38">
        <f>'Asset Prices'!C205</f>
        <v>42936</v>
      </c>
      <c r="D205" s="1">
        <f>'Asset Prices'!D205/'Asset Prices'!D206-1</f>
        <v>2.2618303106108018E-2</v>
      </c>
      <c r="E205" s="1">
        <f>'Asset Prices'!E205/'Asset Prices'!E206-1</f>
        <v>2.9437146418640259E-2</v>
      </c>
      <c r="F205" s="1">
        <f>'Asset Prices'!F205/'Asset Prices'!F206-1</f>
        <v>2.0020711080428022E-2</v>
      </c>
      <c r="G205" s="1">
        <f>'Asset Prices'!G205/'Asset Prices'!G206-1</f>
        <v>1.5491559086395323E-2</v>
      </c>
      <c r="H205" s="1">
        <f>'Asset Prices'!H205/'Asset Prices'!H206-1</f>
        <v>-1.0602009772287313E-2</v>
      </c>
      <c r="I205" s="1">
        <f>'Asset Prices'!I205/'Asset Prices'!I206-1</f>
        <v>3.3090543764912717E-2</v>
      </c>
      <c r="J205" s="1">
        <f>'Asset Prices'!J205/'Asset Prices'!J206-1</f>
        <v>1.7391892806388309E-2</v>
      </c>
      <c r="K205" s="1">
        <f>'Asset Prices'!K205/'Asset Prices'!K206-1</f>
        <v>2.805232703396876E-2</v>
      </c>
      <c r="L205" s="1">
        <f>'Asset Prices'!L205/'Asset Prices'!L206-1</f>
        <v>0.16048290247139874</v>
      </c>
      <c r="M205" s="1">
        <f>'Asset Prices'!M205/'Asset Prices'!M206-1</f>
        <v>3.4136825971854634E-2</v>
      </c>
      <c r="N205" s="1">
        <f>'Asset Prices'!N205/'Asset Prices'!N206-1</f>
        <v>2.4090416473138365E-2</v>
      </c>
      <c r="O205" s="1">
        <f>'Asset Prices'!O205/'Asset Prices'!O206-1</f>
        <v>1.4122137404580126E-2</v>
      </c>
      <c r="P205" s="1">
        <f>'Asset Prices'!P205/'Asset Prices'!P206-1</f>
        <v>9.5286624203820836E-3</v>
      </c>
      <c r="Q205" s="1">
        <f>'Asset Prices'!Q205/'Asset Prices'!Q206-1</f>
        <v>5.2434456928838857E-2</v>
      </c>
      <c r="R205" s="1">
        <f>'Asset Prices'!R205/'Asset Prices'!R206-1</f>
        <v>3.1968469454784376E-2</v>
      </c>
      <c r="S205" s="1">
        <f>'Asset Prices'!S205/'Asset Prices'!S206-1</f>
        <v>2.1367521367521514E-2</v>
      </c>
      <c r="T205" s="1">
        <f>'Asset Prices'!T205/'Asset Prices'!T206-1</f>
        <v>1.688182720953324E-2</v>
      </c>
      <c r="U205" s="1">
        <f>'Asset Prices'!U205/'Asset Prices'!U206-1</f>
        <v>-1.6084928422077649E-4</v>
      </c>
      <c r="V205" s="1">
        <f>'Asset Prices'!V205/'Asset Prices'!V206-1</f>
        <v>-1.0037174721189701E-2</v>
      </c>
      <c r="W205" s="1">
        <f>'Asset Prices'!W205/'Asset Prices'!W206-1</f>
        <v>-1.2806439809732839E-2</v>
      </c>
      <c r="X205" s="1">
        <f>'Asset Prices'!X205/'Asset Prices'!X206-1</f>
        <v>-2.6120606256046508E-2</v>
      </c>
      <c r="Y205" s="1">
        <f>'Asset Prices'!Y205/'Asset Prices'!Y206-1</f>
        <v>3.067282323044096E-2</v>
      </c>
      <c r="Z205" s="1">
        <f>'Asset Prices'!Z205/'Asset Prices'!Z206-1</f>
        <v>8.9506172839506126E-2</v>
      </c>
      <c r="AA205" s="1">
        <f>'Asset Prices'!AA205/'Asset Prices'!AA206-1</f>
        <v>2.3178807947019875E-2</v>
      </c>
      <c r="AB205" s="1">
        <f>'Asset Prices'!AB205/'Asset Prices'!AB206-1</f>
        <v>5.6179775280898792E-2</v>
      </c>
      <c r="AC205" s="1">
        <f>'Asset Prices'!AC205/'Asset Prices'!AC206-1</f>
        <v>6.7041522491349426E-2</v>
      </c>
      <c r="AD205" s="1">
        <f>'Asset Prices'!AD205/'Asset Prices'!AD206-1</f>
        <v>-3.9072426937738269E-2</v>
      </c>
      <c r="AE205" s="1">
        <f>'Asset Prices'!AE205/'Asset Prices'!AE206-1</f>
        <v>2.8122769450392493E-2</v>
      </c>
      <c r="AF205" s="1">
        <f>'Asset Prices'!AF205/'Asset Prices'!AF206-1</f>
        <v>2.4318658280922278E-2</v>
      </c>
      <c r="AG205" s="1">
        <f>'Asset Prices'!AG205/'Asset Prices'!AG206-1</f>
        <v>1.3953488372093092E-2</v>
      </c>
      <c r="AH205" s="1">
        <f>'Asset Prices'!AH205/'Asset Prices'!AH206-1</f>
        <v>-1.455796717840141E-2</v>
      </c>
      <c r="AI205" s="1">
        <f>'Asset Prices'!AI205/'Asset Prices'!AI206-1</f>
        <v>4.1190788241902254E-2</v>
      </c>
      <c r="AJ205" s="1">
        <f>'Asset Prices'!AJ205/'Asset Prices'!AJ206-1</f>
        <v>-1.7964071856287456E-2</v>
      </c>
      <c r="AK205" s="1">
        <f>'Asset Prices'!AK205/'Asset Prices'!AK206-1</f>
        <v>-1.7684210526315858E-2</v>
      </c>
      <c r="AL205" s="1">
        <f>'Asset Prices'!AL205/'Asset Prices'!AL206-1</f>
        <v>1.1866374306719996E-2</v>
      </c>
      <c r="AM205" s="1">
        <f>'Asset Prices'!AM205/'Asset Prices'!AM206-1</f>
        <v>-3.8859597734817397E-2</v>
      </c>
      <c r="AN205" s="1">
        <f>'Asset Prices'!AN205/'Asset Prices'!AN206-1</f>
        <v>2.9329608938547524E-2</v>
      </c>
      <c r="AO205" s="1">
        <f>'Asset Prices'!AO205/'Asset Prices'!AO206-1</f>
        <v>1.6785467923660535E-2</v>
      </c>
      <c r="AP205" s="1">
        <f>'Asset Prices'!AP205/'Asset Prices'!AP206-1</f>
        <v>-5.4301228922550848E-3</v>
      </c>
      <c r="AQ205" s="1">
        <f>'Asset Prices'!AQ205/'Asset Prices'!AQ206-1</f>
        <v>1.9542894998343829E-2</v>
      </c>
      <c r="AR205" s="1">
        <f>'Asset Prices'!AR205/'Asset Prices'!AR206-1</f>
        <v>2.9751062537947792E-2</v>
      </c>
      <c r="AS205" s="1">
        <f>'Asset Prices'!AS205/'Asset Prices'!AS206-1</f>
        <v>1.1267605633803024E-2</v>
      </c>
      <c r="AT205" s="1">
        <f>'Asset Prices'!AT205/'Asset Prices'!AT206-1</f>
        <v>8.5334391744393834E-3</v>
      </c>
      <c r="AU205" s="1">
        <f>'Asset Prices'!AU205/'Asset Prices'!AU206-1</f>
        <v>2.7490019707918645E-2</v>
      </c>
      <c r="AV205" s="1">
        <f>'Asset Prices'!AV205/'Asset Prices'!AV206-1</f>
        <v>3.2084001750036562E-2</v>
      </c>
      <c r="AW205" s="1">
        <f>'Asset Prices'!AW205/'Asset Prices'!AW206-1</f>
        <v>2.2926401869158841E-2</v>
      </c>
      <c r="AX205" s="1">
        <f>'Asset Prices'!AX205/'Asset Prices'!AX206-1</f>
        <v>2.3225806451612874E-2</v>
      </c>
      <c r="AY205" s="1">
        <f>'Asset Prices'!AY205/'Asset Prices'!AY206-1</f>
        <v>2.9629629629629672E-2</v>
      </c>
      <c r="AZ205" s="1">
        <f>'Asset Prices'!AZ205/'Asset Prices'!AZ206-1</f>
        <v>2.640642939150406E-2</v>
      </c>
      <c r="BA205" s="1">
        <f>'Asset Prices'!BA205/'Asset Prices'!BA206-1</f>
        <v>1.9559902200488866E-2</v>
      </c>
      <c r="BB205" s="1">
        <f>'Asset Prices'!BB205/'Asset Prices'!BB206-1</f>
        <v>2.5589128234783765E-2</v>
      </c>
      <c r="BC205" s="1">
        <f>'Asset Prices'!BC205/'Asset Prices'!BC206-1</f>
        <v>1.5839493136219573E-2</v>
      </c>
      <c r="BD205" s="1">
        <f>'Asset Prices'!BD205/'Asset Prices'!BD206-1</f>
        <v>4.9434356878030883E-3</v>
      </c>
    </row>
    <row r="206" spans="3:56" x14ac:dyDescent="0.25">
      <c r="C206" s="38">
        <f>'Asset Prices'!C206</f>
        <v>42929</v>
      </c>
      <c r="D206" s="1">
        <f>'Asset Prices'!D206/'Asset Prices'!D207-1</f>
        <v>2.884718498659522E-2</v>
      </c>
      <c r="E206" s="1">
        <f>'Asset Prices'!E206/'Asset Prices'!E207-1</f>
        <v>9.0953072085149245E-3</v>
      </c>
      <c r="F206" s="1">
        <f>'Asset Prices'!F206/'Asset Prices'!F207-1</f>
        <v>1.3645906228131555E-2</v>
      </c>
      <c r="G206" s="1">
        <f>'Asset Prices'!G206/'Asset Prices'!G207-1</f>
        <v>3.0706243602866001E-2</v>
      </c>
      <c r="H206" s="1">
        <f>'Asset Prices'!H206/'Asset Prices'!H207-1</f>
        <v>1.8402027978593472E-2</v>
      </c>
      <c r="I206" s="1">
        <f>'Asset Prices'!I206/'Asset Prices'!I207-1</f>
        <v>7.0151861308963781E-2</v>
      </c>
      <c r="J206" s="1">
        <f>'Asset Prices'!J206/'Asset Prices'!J207-1</f>
        <v>3.5311427170181542E-2</v>
      </c>
      <c r="K206" s="1">
        <f>'Asset Prices'!K206/'Asset Prices'!K207-1</f>
        <v>3.6771867293864169E-2</v>
      </c>
      <c r="L206" s="1">
        <f>'Asset Prices'!L206/'Asset Prices'!L207-1</f>
        <v>8.1777777777777727E-2</v>
      </c>
      <c r="M206" s="1">
        <f>'Asset Prices'!M206/'Asset Prices'!M207-1</f>
        <v>4.6667638909144049E-2</v>
      </c>
      <c r="N206" s="1">
        <f>'Asset Prices'!N206/'Asset Prices'!N207-1</f>
        <v>4.4368269572809815E-2</v>
      </c>
      <c r="O206" s="1">
        <f>'Asset Prices'!O206/'Asset Prices'!O207-1</f>
        <v>-1.5315230668044855E-2</v>
      </c>
      <c r="P206" s="1">
        <f>'Asset Prices'!P206/'Asset Prices'!P207-1</f>
        <v>1.2850949628406383E-2</v>
      </c>
      <c r="Q206" s="1">
        <f>'Asset Prices'!Q206/'Asset Prices'!Q207-1</f>
        <v>1.636169360224371E-2</v>
      </c>
      <c r="R206" s="1">
        <f>'Asset Prices'!R206/'Asset Prices'!R207-1</f>
        <v>2.1944261575599366E-3</v>
      </c>
      <c r="S206" s="1">
        <f>'Asset Prices'!S206/'Asset Prices'!S207-1</f>
        <v>-1.5514067841178147E-2</v>
      </c>
      <c r="T206" s="1">
        <f>'Asset Prices'!T206/'Asset Prices'!T207-1</f>
        <v>1.053687907676859E-2</v>
      </c>
      <c r="U206" s="1">
        <f>'Asset Prices'!U206/'Asset Prices'!U207-1</f>
        <v>1.0073111291632797E-2</v>
      </c>
      <c r="V206" s="1">
        <f>'Asset Prices'!V206/'Asset Prices'!V207-1</f>
        <v>3.7208405629458374E-2</v>
      </c>
      <c r="W206" s="1">
        <f>'Asset Prices'!W206/'Asset Prices'!W207-1</f>
        <v>-4.8066875653082652E-2</v>
      </c>
      <c r="X206" s="1">
        <f>'Asset Prices'!X206/'Asset Prices'!X207-1</f>
        <v>-2.1148989898989834E-2</v>
      </c>
      <c r="Y206" s="1">
        <f>'Asset Prices'!Y206/'Asset Prices'!Y207-1</f>
        <v>5.3050397876956978E-3</v>
      </c>
      <c r="Z206" s="1">
        <f>'Asset Prices'!Z206/'Asset Prices'!Z207-1</f>
        <v>3.1847133757961776E-2</v>
      </c>
      <c r="AA206" s="1">
        <f>'Asset Prices'!AA206/'Asset Prices'!AA207-1</f>
        <v>4.3177892918825567E-2</v>
      </c>
      <c r="AB206" s="1">
        <f>'Asset Prices'!AB206/'Asset Prices'!AB207-1</f>
        <v>1.7142857142857126E-2</v>
      </c>
      <c r="AC206" s="1">
        <f>'Asset Prices'!AC206/'Asset Prices'!AC207-1</f>
        <v>5.2344105598543411E-2</v>
      </c>
      <c r="AD206" s="1">
        <f>'Asset Prices'!AD206/'Asset Prices'!AD207-1</f>
        <v>-6.6266961186494111E-3</v>
      </c>
      <c r="AE206" s="1">
        <f>'Asset Prices'!AE206/'Asset Prices'!AE207-1</f>
        <v>3.5782936566612467E-2</v>
      </c>
      <c r="AF206" s="1">
        <f>'Asset Prices'!AF206/'Asset Prices'!AF207-1</f>
        <v>6.4732142857143016E-2</v>
      </c>
      <c r="AG206" s="1">
        <f>'Asset Prices'!AG206/'Asset Prices'!AG207-1</f>
        <v>4.4957472660996478E-2</v>
      </c>
      <c r="AH206" s="1">
        <f>'Asset Prices'!AH206/'Asset Prices'!AH207-1</f>
        <v>-4.6922300706357167E-2</v>
      </c>
      <c r="AI206" s="1">
        <f>'Asset Prices'!AI206/'Asset Prices'!AI207-1</f>
        <v>6.4156206415620698E-2</v>
      </c>
      <c r="AJ206" s="1">
        <f>'Asset Prices'!AJ206/'Asset Prices'!AJ207-1</f>
        <v>-5.1136363636363757E-2</v>
      </c>
      <c r="AK206" s="1">
        <f>'Asset Prices'!AK206/'Asset Prices'!AK207-1</f>
        <v>3.8024475524475632E-2</v>
      </c>
      <c r="AL206" s="1">
        <f>'Asset Prices'!AL206/'Asset Prices'!AL207-1</f>
        <v>1.1216903612886409E-2</v>
      </c>
      <c r="AM206" s="1">
        <f>'Asset Prices'!AM206/'Asset Prices'!AM207-1</f>
        <v>8.33552113415581E-3</v>
      </c>
      <c r="AN206" s="1">
        <f>'Asset Prices'!AN206/'Asset Prices'!AN207-1</f>
        <v>2.8218568248725262E-2</v>
      </c>
      <c r="AO206" s="1">
        <f>'Asset Prices'!AO206/'Asset Prices'!AO207-1</f>
        <v>-6.8933823529415683E-4</v>
      </c>
      <c r="AP206" s="1">
        <f>'Asset Prices'!AP206/'Asset Prices'!AP207-1</f>
        <v>-4.410300184948146E-3</v>
      </c>
      <c r="AQ206" s="1">
        <f>'Asset Prices'!AQ206/'Asset Prices'!AQ207-1</f>
        <v>7.304069664119428E-2</v>
      </c>
      <c r="AR206" s="1">
        <f>'Asset Prices'!AR206/'Asset Prices'!AR207-1</f>
        <v>2.0446096654274992E-2</v>
      </c>
      <c r="AS206" s="1">
        <f>'Asset Prices'!AS206/'Asset Prices'!AS207-1</f>
        <v>3.7184594953519223E-2</v>
      </c>
      <c r="AT206" s="1">
        <f>'Asset Prices'!AT206/'Asset Prices'!AT207-1</f>
        <v>2.606393809814711E-2</v>
      </c>
      <c r="AU206" s="1">
        <f>'Asset Prices'!AU206/'Asset Prices'!AU207-1</f>
        <v>1.3054161973993894E-2</v>
      </c>
      <c r="AV206" s="1">
        <f>'Asset Prices'!AV206/'Asset Prices'!AV207-1</f>
        <v>9.4214632710141188E-3</v>
      </c>
      <c r="AW206" s="1">
        <f>'Asset Prices'!AW206/'Asset Prices'!AW207-1</f>
        <v>3.1014754591990323E-2</v>
      </c>
      <c r="AX206" s="1">
        <f>'Asset Prices'!AX206/'Asset Prices'!AX207-1</f>
        <v>5.2989130434782483E-2</v>
      </c>
      <c r="AY206" s="1">
        <f>'Asset Prices'!AY206/'Asset Prices'!AY207-1</f>
        <v>4.9222797927461093E-2</v>
      </c>
      <c r="AZ206" s="1">
        <f>'Asset Prices'!AZ206/'Asset Prices'!AZ207-1</f>
        <v>2.7274067521745549E-2</v>
      </c>
      <c r="BA206" s="1">
        <f>'Asset Prices'!BA206/'Asset Prices'!BA207-1</f>
        <v>-2.4390243902437936E-3</v>
      </c>
      <c r="BB206" s="1">
        <f>'Asset Prices'!BB206/'Asset Prices'!BB207-1</f>
        <v>-3.0268088786392644E-3</v>
      </c>
      <c r="BC206" s="1">
        <f>'Asset Prices'!BC206/'Asset Prices'!BC207-1</f>
        <v>3.4972677595628499E-2</v>
      </c>
      <c r="BD206" s="1">
        <f>'Asset Prices'!BD206/'Asset Prices'!BD207-1</f>
        <v>9.985597695631121E-3</v>
      </c>
    </row>
    <row r="207" spans="3:56" x14ac:dyDescent="0.25">
      <c r="C207" s="38">
        <f>'Asset Prices'!C207</f>
        <v>42922</v>
      </c>
      <c r="D207" s="1">
        <f>'Asset Prices'!D207/'Asset Prices'!D208-1</f>
        <v>-1.2391442490997662E-2</v>
      </c>
      <c r="E207" s="1">
        <f>'Asset Prices'!E207/'Asset Prices'!E208-1</f>
        <v>-2.2325229401191971E-2</v>
      </c>
      <c r="F207" s="1">
        <f>'Asset Prices'!F207/'Asset Prices'!F208-1</f>
        <v>7.5042317096106759E-2</v>
      </c>
      <c r="G207" s="1">
        <f>'Asset Prices'!G207/'Asset Prices'!G208-1</f>
        <v>-2.6892430278884438E-2</v>
      </c>
      <c r="H207" s="1">
        <f>'Asset Prices'!H207/'Asset Prices'!H208-1</f>
        <v>8.2355168496781594E-3</v>
      </c>
      <c r="I207" s="1">
        <f>'Asset Prices'!I207/'Asset Prices'!I208-1</f>
        <v>-1.4698093220338992E-2</v>
      </c>
      <c r="J207" s="1">
        <f>'Asset Prices'!J207/'Asset Prices'!J208-1</f>
        <v>-6.6119153674834008E-3</v>
      </c>
      <c r="K207" s="1">
        <f>'Asset Prices'!K207/'Asset Prices'!K208-1</f>
        <v>-1.1056120828338067E-2</v>
      </c>
      <c r="L207" s="1">
        <f>'Asset Prices'!L207/'Asset Prices'!L208-1</f>
        <v>-2.5584649210473764E-2</v>
      </c>
      <c r="M207" s="1">
        <f>'Asset Prices'!M207/'Asset Prices'!M208-1</f>
        <v>1.1680537304716854E-3</v>
      </c>
      <c r="N207" s="1">
        <f>'Asset Prices'!N207/'Asset Prices'!N208-1</f>
        <v>-1.0801646371371931E-2</v>
      </c>
      <c r="O207" s="1">
        <f>'Asset Prices'!O207/'Asset Prices'!O208-1</f>
        <v>-1.7820296379665868E-3</v>
      </c>
      <c r="P207" s="1">
        <f>'Asset Prices'!P207/'Asset Prices'!P208-1</f>
        <v>5.0313812957103465E-3</v>
      </c>
      <c r="Q207" s="1">
        <f>'Asset Prices'!Q207/'Asset Prices'!Q208-1</f>
        <v>7.5359978468578781E-3</v>
      </c>
      <c r="R207" s="1">
        <f>'Asset Prices'!R207/'Asset Prices'!R208-1</f>
        <v>-8.4856396866840322E-3</v>
      </c>
      <c r="S207" s="1">
        <f>'Asset Prices'!S207/'Asset Prices'!S208-1</f>
        <v>-1.6295913088463454E-2</v>
      </c>
      <c r="T207" s="1">
        <f>'Asset Prices'!T207/'Asset Prices'!T208-1</f>
        <v>-5.5882646442469985E-3</v>
      </c>
      <c r="U207" s="1">
        <f>'Asset Prices'!U207/'Asset Prices'!U208-1</f>
        <v>-3.0861281687923126E-2</v>
      </c>
      <c r="V207" s="1">
        <f>'Asset Prices'!V207/'Asset Prices'!V208-1</f>
        <v>-1.574952561669829E-2</v>
      </c>
      <c r="W207" s="1">
        <f>'Asset Prices'!W207/'Asset Prices'!W208-1</f>
        <v>2.7942717429270125E-3</v>
      </c>
      <c r="X207" s="1">
        <f>'Asset Prices'!X207/'Asset Prices'!X208-1</f>
        <v>2.5076848406406782E-2</v>
      </c>
      <c r="Y207" s="1">
        <f>'Asset Prices'!Y207/'Asset Prices'!Y208-1</f>
        <v>-3.826530613964052E-2</v>
      </c>
      <c r="Z207" s="1">
        <f>'Asset Prices'!Z207/'Asset Prices'!Z208-1</f>
        <v>-1.8750000000000044E-2</v>
      </c>
      <c r="AA207" s="1">
        <f>'Asset Prices'!AA207/'Asset Prices'!AA208-1</f>
        <v>-1.5306122448979553E-2</v>
      </c>
      <c r="AB207" s="1">
        <f>'Asset Prices'!AB207/'Asset Prices'!AB208-1</f>
        <v>-3.0470914127423754E-2</v>
      </c>
      <c r="AC207" s="1">
        <f>'Asset Prices'!AC207/'Asset Prices'!AC208-1</f>
        <v>-7.2300045187528861E-3</v>
      </c>
      <c r="AD207" s="1">
        <f>'Asset Prices'!AD207/'Asset Prices'!AD208-1</f>
        <v>-2.1309450277949393E-2</v>
      </c>
      <c r="AE207" s="1">
        <f>'Asset Prices'!AE207/'Asset Prices'!AE208-1</f>
        <v>1.036116044996982E-3</v>
      </c>
      <c r="AF207" s="1">
        <f>'Asset Prices'!AF207/'Asset Prices'!AF208-1</f>
        <v>-9.2879256965944235E-3</v>
      </c>
      <c r="AG207" s="1">
        <f>'Asset Prices'!AG207/'Asset Prices'!AG208-1</f>
        <v>-9.6269554753308784E-3</v>
      </c>
      <c r="AH207" s="1">
        <f>'Asset Prices'!AH207/'Asset Prices'!AH208-1</f>
        <v>9.936305732484163E-3</v>
      </c>
      <c r="AI207" s="1">
        <f>'Asset Prices'!AI207/'Asset Prices'!AI208-1</f>
        <v>-5.3554591740524349E-2</v>
      </c>
      <c r="AJ207" s="1">
        <f>'Asset Prices'!AJ207/'Asset Prices'!AJ208-1</f>
        <v>-2.2222222222222143E-2</v>
      </c>
      <c r="AK207" s="1">
        <f>'Asset Prices'!AK207/'Asset Prices'!AK208-1</f>
        <v>1.3129102844637863E-3</v>
      </c>
      <c r="AL207" s="1">
        <f>'Asset Prices'!AL207/'Asset Prices'!AL208-1</f>
        <v>-1.9063459570112573E-2</v>
      </c>
      <c r="AM207" s="1">
        <f>'Asset Prices'!AM207/'Asset Prices'!AM208-1</f>
        <v>-1.1483812366184232E-2</v>
      </c>
      <c r="AN207" s="1">
        <f>'Asset Prices'!AN207/'Asset Prices'!AN208-1</f>
        <v>3.313882285137959E-3</v>
      </c>
      <c r="AO207" s="1">
        <f>'Asset Prices'!AO207/'Asset Prices'!AO208-1</f>
        <v>-2.0040531411844031E-2</v>
      </c>
      <c r="AP207" s="1">
        <f>'Asset Prices'!AP207/'Asset Prices'!AP208-1</f>
        <v>-1.1114237478896949E-2</v>
      </c>
      <c r="AQ207" s="1">
        <f>'Asset Prices'!AQ207/'Asset Prices'!AQ208-1</f>
        <v>-2.6133610245759775E-2</v>
      </c>
      <c r="AR207" s="1">
        <f>'Asset Prices'!AR207/'Asset Prices'!AR208-1</f>
        <v>1.5513496742165511E-3</v>
      </c>
      <c r="AS207" s="1">
        <f>'Asset Prices'!AS207/'Asset Prices'!AS208-1</f>
        <v>-2.8637770897832815E-2</v>
      </c>
      <c r="AT207" s="1">
        <f>'Asset Prices'!AT207/'Asset Prices'!AT208-1</f>
        <v>-1.5042117930204602E-2</v>
      </c>
      <c r="AU207" s="1">
        <f>'Asset Prices'!AU207/'Asset Prices'!AU208-1</f>
        <v>1.0919629457123659E-2</v>
      </c>
      <c r="AV207" s="1">
        <f>'Asset Prices'!AV207/'Asset Prices'!AV208-1</f>
        <v>-2.581385343467657E-2</v>
      </c>
      <c r="AW207" s="1">
        <f>'Asset Prices'!AW207/'Asset Prices'!AW208-1</f>
        <v>-1.6582765768433538E-2</v>
      </c>
      <c r="AX207" s="1">
        <f>'Asset Prices'!AX207/'Asset Prices'!AX208-1</f>
        <v>-4.9095607235142058E-2</v>
      </c>
      <c r="AY207" s="1">
        <f>'Asset Prices'!AY207/'Asset Prices'!AY208-1</f>
        <v>-4.2183622828784184E-2</v>
      </c>
      <c r="AZ207" s="1">
        <f>'Asset Prices'!AZ207/'Asset Prices'!AZ208-1</f>
        <v>1.8162713899729788E-2</v>
      </c>
      <c r="BA207" s="1">
        <f>'Asset Prices'!BA207/'Asset Prices'!BA208-1</f>
        <v>7.3710073710073765E-3</v>
      </c>
      <c r="BB207" s="1">
        <f>'Asset Prices'!BB207/'Asset Prices'!BB208-1</f>
        <v>-3.3041229708375974E-3</v>
      </c>
      <c r="BC207" s="1">
        <f>'Asset Prices'!BC207/'Asset Prices'!BC208-1</f>
        <v>8.4496693607640783E-3</v>
      </c>
      <c r="BD207" s="1">
        <f>'Asset Prices'!BD207/'Asset Prices'!BD208-1</f>
        <v>-4.798464491362342E-4</v>
      </c>
    </row>
    <row r="208" spans="3:56" x14ac:dyDescent="0.25">
      <c r="C208" s="38">
        <f>'Asset Prices'!C208</f>
        <v>42915</v>
      </c>
      <c r="D208" s="1">
        <f>'Asset Prices'!D208/'Asset Prices'!D209-1</f>
        <v>5.0026609898883301E-3</v>
      </c>
      <c r="E208" s="1">
        <f>'Asset Prices'!E208/'Asset Prices'!E209-1</f>
        <v>1.4296680099788794E-2</v>
      </c>
      <c r="F208" s="1">
        <f>'Asset Prices'!F208/'Asset Prices'!F209-1</f>
        <v>1.4694656488549729E-2</v>
      </c>
      <c r="G208" s="1">
        <f>'Asset Prices'!G208/'Asset Prices'!G209-1</f>
        <v>-1.9880715705764551E-3</v>
      </c>
      <c r="H208" s="1">
        <f>'Asset Prices'!H208/'Asset Prices'!H209-1</f>
        <v>1.7334360554699613E-2</v>
      </c>
      <c r="I208" s="1">
        <f>'Asset Prices'!I208/'Asset Prices'!I209-1</f>
        <v>-1.5384615384615441E-2</v>
      </c>
      <c r="J208" s="1">
        <f>'Asset Prices'!J208/'Asset Prices'!J209-1</f>
        <v>-1.3390098194053346E-2</v>
      </c>
      <c r="K208" s="1">
        <f>'Asset Prices'!K208/'Asset Prices'!K209-1</f>
        <v>-2.5337061819634465E-2</v>
      </c>
      <c r="L208" s="1">
        <f>'Asset Prices'!L208/'Asset Prices'!L209-1</f>
        <v>-3.0989734650396894E-2</v>
      </c>
      <c r="M208" s="1">
        <f>'Asset Prices'!M208/'Asset Prices'!M209-1</f>
        <v>-2.5192143467122285E-2</v>
      </c>
      <c r="N208" s="1">
        <f>'Asset Prices'!N208/'Asset Prices'!N209-1</f>
        <v>-3.9728860764678076E-2</v>
      </c>
      <c r="O208" s="1">
        <f>'Asset Prices'!O208/'Asset Prices'!O209-1</f>
        <v>-3.5287730727470046E-2</v>
      </c>
      <c r="P208" s="1">
        <f>'Asset Prices'!P208/'Asset Prices'!P209-1</f>
        <v>4.7145728097333084E-2</v>
      </c>
      <c r="Q208" s="1">
        <f>'Asset Prices'!Q208/'Asset Prices'!Q209-1</f>
        <v>-7.1481060859108769E-3</v>
      </c>
      <c r="R208" s="1">
        <f>'Asset Prices'!R208/'Asset Prices'!R209-1</f>
        <v>-2.9150823827630012E-2</v>
      </c>
      <c r="S208" s="1">
        <f>'Asset Prices'!S208/'Asset Prices'!S209-1</f>
        <v>-9.226037929267239E-3</v>
      </c>
      <c r="T208" s="1">
        <f>'Asset Prices'!T208/'Asset Prices'!T209-1</f>
        <v>-3.5422081047261633E-2</v>
      </c>
      <c r="U208" s="1">
        <f>'Asset Prices'!U208/'Asset Prices'!U209-1</f>
        <v>-1.2900217594031815E-2</v>
      </c>
      <c r="V208" s="1">
        <f>'Asset Prices'!V208/'Asset Prices'!V209-1</f>
        <v>5.5332951726769775E-3</v>
      </c>
      <c r="W208" s="1">
        <f>'Asset Prices'!W208/'Asset Prices'!W209-1</f>
        <v>3.6943136544730137E-2</v>
      </c>
      <c r="X208" s="1">
        <f>'Asset Prices'!X208/'Asset Prices'!X209-1</f>
        <v>4.713914174252265E-3</v>
      </c>
      <c r="Y208" s="1">
        <f>'Asset Prices'!Y208/'Asset Prices'!Y209-1</f>
        <v>3.1239723791197438E-2</v>
      </c>
      <c r="Z208" s="1">
        <f>'Asset Prices'!Z208/'Asset Prices'!Z209-1</f>
        <v>-3.1152647975077885E-3</v>
      </c>
      <c r="AA208" s="1">
        <f>'Asset Prices'!AA208/'Asset Prices'!AA209-1</f>
        <v>-1.8363939899833093E-2</v>
      </c>
      <c r="AB208" s="1">
        <f>'Asset Prices'!AB208/'Asset Prices'!AB209-1</f>
        <v>-2.7624309392265678E-3</v>
      </c>
      <c r="AC208" s="1">
        <f>'Asset Prices'!AC208/'Asset Prices'!AC209-1</f>
        <v>-6.5061258977608727E-2</v>
      </c>
      <c r="AD208" s="1">
        <f>'Asset Prices'!AD208/'Asset Prices'!AD209-1</f>
        <v>5.4551375997394791E-2</v>
      </c>
      <c r="AE208" s="1">
        <f>'Asset Prices'!AE208/'Asset Prices'!AE209-1</f>
        <v>-4.8608042421564024E-3</v>
      </c>
      <c r="AF208" s="1">
        <f>'Asset Prices'!AF208/'Asset Prices'!AF209-1</f>
        <v>1.2992831541218663E-2</v>
      </c>
      <c r="AG208" s="1">
        <f>'Asset Prices'!AG208/'Asset Prices'!AG209-1</f>
        <v>5.7251908396946494E-2</v>
      </c>
      <c r="AH208" s="1">
        <f>'Asset Prices'!AH208/'Asset Prices'!AH209-1</f>
        <v>1.7102876392847799E-2</v>
      </c>
      <c r="AI208" s="1">
        <f>'Asset Prices'!AI208/'Asset Prices'!AI209-1</f>
        <v>6.1024409763905663E-2</v>
      </c>
      <c r="AJ208" s="1">
        <f>'Asset Prices'!AJ208/'Asset Prices'!AJ209-1</f>
        <v>2.564102564102555E-2</v>
      </c>
      <c r="AK208" s="1">
        <f>'Asset Prices'!AK208/'Asset Prices'!AK209-1</f>
        <v>2.3287057769816544E-2</v>
      </c>
      <c r="AL208" s="1">
        <f>'Asset Prices'!AL208/'Asset Prices'!AL209-1</f>
        <v>-3.3749536407467029E-2</v>
      </c>
      <c r="AM208" s="1">
        <f>'Asset Prices'!AM208/'Asset Prices'!AM209-1</f>
        <v>-1.7487046632125303E-3</v>
      </c>
      <c r="AN208" s="1">
        <f>'Asset Prices'!AN208/'Asset Prices'!AN209-1</f>
        <v>-1.7065571448803274E-2</v>
      </c>
      <c r="AO208" s="1">
        <f>'Asset Prices'!AO208/'Asset Prices'!AO209-1</f>
        <v>-2.2236900044033558E-2</v>
      </c>
      <c r="AP208" s="1">
        <f>'Asset Prices'!AP208/'Asset Prices'!AP209-1</f>
        <v>3.3890909090908972E-2</v>
      </c>
      <c r="AQ208" s="1">
        <f>'Asset Prices'!AQ208/'Asset Prices'!AQ209-1</f>
        <v>-1.7848036715961246E-2</v>
      </c>
      <c r="AR208" s="1">
        <f>'Asset Prices'!AR208/'Asset Prices'!AR209-1</f>
        <v>-3.791044776119401E-2</v>
      </c>
      <c r="AS208" s="1">
        <f>'Asset Prices'!AS208/'Asset Prices'!AS209-1</f>
        <v>-6.4086131761086351E-3</v>
      </c>
      <c r="AT208" s="1">
        <f>'Asset Prices'!AT208/'Asset Prices'!AT209-1</f>
        <v>-5.5323986358469135E-2</v>
      </c>
      <c r="AU208" s="1">
        <f>'Asset Prices'!AU208/'Asset Prices'!AU209-1</f>
        <v>-9.3817286988620019E-3</v>
      </c>
      <c r="AV208" s="1">
        <f>'Asset Prices'!AV208/'Asset Prices'!AV209-1</f>
        <v>3.0289598108746985E-2</v>
      </c>
      <c r="AW208" s="1">
        <f>'Asset Prices'!AW208/'Asset Prices'!AW209-1</f>
        <v>-5.9200445744532648E-2</v>
      </c>
      <c r="AX208" s="1">
        <f>'Asset Prices'!AX208/'Asset Prices'!AX209-1</f>
        <v>-7.0558050032071273E-3</v>
      </c>
      <c r="AY208" s="1">
        <f>'Asset Prices'!AY208/'Asset Prices'!AY209-1</f>
        <v>1.0025062656641603E-2</v>
      </c>
      <c r="AZ208" s="1">
        <f>'Asset Prices'!AZ208/'Asset Prices'!AZ209-1</f>
        <v>-1.0496326285799329E-3</v>
      </c>
      <c r="BA208" s="1">
        <f>'Asset Prices'!BA208/'Asset Prices'!BA209-1</f>
        <v>-1.5719467956469169E-2</v>
      </c>
      <c r="BB208" s="1">
        <f>'Asset Prices'!BB208/'Asset Prices'!BB209-1</f>
        <v>-1.791760722347624E-2</v>
      </c>
      <c r="BC208" s="1">
        <f>'Asset Prices'!BC208/'Asset Prices'!BC209-1</f>
        <v>-4.5582047685834515E-2</v>
      </c>
      <c r="BD208" s="1">
        <f>'Asset Prices'!BD208/'Asset Prices'!BD209-1</f>
        <v>3.9297825653301421E-2</v>
      </c>
    </row>
    <row r="209" spans="3:56" x14ac:dyDescent="0.25">
      <c r="C209" s="38">
        <f>'Asset Prices'!C209</f>
        <v>42908</v>
      </c>
      <c r="D209" s="1">
        <f>'Asset Prices'!D209/'Asset Prices'!D210-1</f>
        <v>-2.3362004884782683E-3</v>
      </c>
      <c r="E209" s="1">
        <f>'Asset Prices'!E209/'Asset Prices'!E210-1</f>
        <v>-1.6606906963578028E-2</v>
      </c>
      <c r="F209" s="1">
        <f>'Asset Prices'!F209/'Asset Prices'!F210-1</f>
        <v>-9.4517958412098091E-3</v>
      </c>
      <c r="G209" s="1">
        <f>'Asset Prices'!G209/'Asset Prices'!G210-1</f>
        <v>0.1257833482542523</v>
      </c>
      <c r="H209" s="1">
        <f>'Asset Prices'!H209/'Asset Prices'!H210-1</f>
        <v>-2.4060150375939893E-2</v>
      </c>
      <c r="I209" s="1">
        <f>'Asset Prices'!I209/'Asset Prices'!I210-1</f>
        <v>2.4032042723631575E-2</v>
      </c>
      <c r="J209" s="1">
        <f>'Asset Prices'!J209/'Asset Prices'!J210-1</f>
        <v>9.2868528657565896E-3</v>
      </c>
      <c r="K209" s="1">
        <f>'Asset Prices'!K209/'Asset Prices'!K210-1</f>
        <v>3.8509806361948673E-2</v>
      </c>
      <c r="L209" s="1">
        <f>'Asset Prices'!L209/'Asset Prices'!L210-1</f>
        <v>2.0624670532419564E-2</v>
      </c>
      <c r="M209" s="1">
        <f>'Asset Prices'!M209/'Asset Prices'!M210-1</f>
        <v>5.1502145922746045E-3</v>
      </c>
      <c r="N209" s="1">
        <f>'Asset Prices'!N209/'Asset Prices'!N210-1</f>
        <v>1.7121789664438003E-2</v>
      </c>
      <c r="O209" s="1">
        <f>'Asset Prices'!O209/'Asset Prices'!O210-1</f>
        <v>-3.79526462395543E-2</v>
      </c>
      <c r="P209" s="1">
        <f>'Asset Prices'!P209/'Asset Prices'!P210-1</f>
        <v>2.1131447587354524E-2</v>
      </c>
      <c r="Q209" s="1">
        <f>'Asset Prices'!Q209/'Asset Prices'!Q210-1</f>
        <v>3.9369532009443153E-2</v>
      </c>
      <c r="R209" s="1">
        <f>'Asset Prices'!R209/'Asset Prices'!R210-1</f>
        <v>-5.2532044547173307E-3</v>
      </c>
      <c r="S209" s="1">
        <f>'Asset Prices'!S209/'Asset Prices'!S210-1</f>
        <v>-1.0649087221095144E-2</v>
      </c>
      <c r="T209" s="1">
        <f>'Asset Prices'!T209/'Asset Prices'!T210-1</f>
        <v>-8.11533320603397E-3</v>
      </c>
      <c r="U209" s="1">
        <f>'Asset Prices'!U209/'Asset Prices'!U210-1</f>
        <v>-6.6388760228499599E-3</v>
      </c>
      <c r="V209" s="1">
        <f>'Asset Prices'!V209/'Asset Prices'!V210-1</f>
        <v>-1.2994350282485745E-2</v>
      </c>
      <c r="W209" s="1">
        <f>'Asset Prices'!W209/'Asset Prices'!W210-1</f>
        <v>-2.3519009725906259E-2</v>
      </c>
      <c r="X209" s="1">
        <f>'Asset Prices'!X209/'Asset Prices'!X210-1</f>
        <v>2.3456995508234879E-2</v>
      </c>
      <c r="Y209" s="1">
        <f>'Asset Prices'!Y209/'Asset Prices'!Y210-1</f>
        <v>9.8749175885837204E-4</v>
      </c>
      <c r="Z209" s="1">
        <f>'Asset Prices'!Z209/'Asset Prices'!Z210-1</f>
        <v>-3.8922155688622673E-2</v>
      </c>
      <c r="AA209" s="1">
        <f>'Asset Prices'!AA209/'Asset Prices'!AA210-1</f>
        <v>1.0118043844856706E-2</v>
      </c>
      <c r="AB209" s="1">
        <f>'Asset Prices'!AB209/'Asset Prices'!AB210-1</f>
        <v>-8.2191780821917471E-3</v>
      </c>
      <c r="AC209" s="1">
        <f>'Asset Prices'!AC209/'Asset Prices'!AC210-1</f>
        <v>2.5119099177132842E-2</v>
      </c>
      <c r="AD209" s="1">
        <f>'Asset Prices'!AD209/'Asset Prices'!AD210-1</f>
        <v>5.567381693138973E-3</v>
      </c>
      <c r="AE209" s="1">
        <f>'Asset Prices'!AE209/'Asset Prices'!AE210-1</f>
        <v>1.3274336283186638E-3</v>
      </c>
      <c r="AF209" s="1">
        <f>'Asset Prices'!AF209/'Asset Prices'!AF210-1</f>
        <v>-4.4782803403486948E-4</v>
      </c>
      <c r="AG209" s="1">
        <f>'Asset Prices'!AG209/'Asset Prices'!AG210-1</f>
        <v>-3.9119804400978064E-2</v>
      </c>
      <c r="AH209" s="1">
        <f>'Asset Prices'!AH209/'Asset Prices'!AH210-1</f>
        <v>-5.1376597836774729E-2</v>
      </c>
      <c r="AI209" s="1">
        <f>'Asset Prices'!AI209/'Asset Prices'!AI210-1</f>
        <v>2.839506172839501E-2</v>
      </c>
      <c r="AJ209" s="1">
        <f>'Asset Prices'!AJ209/'Asset Prices'!AJ210-1</f>
        <v>5.7306590257879542E-3</v>
      </c>
      <c r="AK209" s="1">
        <f>'Asset Prices'!AK209/'Asset Prices'!AK210-1</f>
        <v>-3.0395136778115672E-2</v>
      </c>
      <c r="AL209" s="1">
        <f>'Asset Prices'!AL209/'Asset Prices'!AL210-1</f>
        <v>-1.3295925835569711E-2</v>
      </c>
      <c r="AM209" s="1">
        <f>'Asset Prices'!AM209/'Asset Prices'!AM210-1</f>
        <v>1.1671637919854483E-3</v>
      </c>
      <c r="AN209" s="1">
        <f>'Asset Prices'!AN209/'Asset Prices'!AN210-1</f>
        <v>-7.0806485873986524E-5</v>
      </c>
      <c r="AO209" s="1">
        <f>'Asset Prices'!AO209/'Asset Prices'!AO210-1</f>
        <v>-2.6157804459691181E-2</v>
      </c>
      <c r="AP209" s="1">
        <f>'Asset Prices'!AP209/'Asset Prices'!AP210-1</f>
        <v>-5.2247036118003964E-2</v>
      </c>
      <c r="AQ209" s="1">
        <f>'Asset Prices'!AQ209/'Asset Prices'!AQ210-1</f>
        <v>1.8877727745064021E-2</v>
      </c>
      <c r="AR209" s="1">
        <f>'Asset Prices'!AR209/'Asset Prices'!AR210-1</f>
        <v>1.3922518159806385E-2</v>
      </c>
      <c r="AS209" s="1">
        <f>'Asset Prices'!AS209/'Asset Prices'!AS210-1</f>
        <v>5.4894537587885317E-2</v>
      </c>
      <c r="AT209" s="1">
        <f>'Asset Prices'!AT209/'Asset Prices'!AT210-1</f>
        <v>-4.9522780479020367E-2</v>
      </c>
      <c r="AU209" s="1">
        <f>'Asset Prices'!AU209/'Asset Prices'!AU210-1</f>
        <v>1.6731821735731067E-2</v>
      </c>
      <c r="AV209" s="1">
        <f>'Asset Prices'!AV209/'Asset Prices'!AV210-1</f>
        <v>-6.9434896191392759E-2</v>
      </c>
      <c r="AW209" s="1">
        <f>'Asset Prices'!AW209/'Asset Prices'!AW210-1</f>
        <v>5.5114638447971709E-2</v>
      </c>
      <c r="AX209" s="1">
        <f>'Asset Prices'!AX209/'Asset Prices'!AX210-1</f>
        <v>4.0026684456304196E-2</v>
      </c>
      <c r="AY209" s="1">
        <f>'Asset Prices'!AY209/'Asset Prices'!AY210-1</f>
        <v>-2.5000000000000577E-3</v>
      </c>
      <c r="AZ209" s="1">
        <f>'Asset Prices'!AZ209/'Asset Prices'!AZ210-1</f>
        <v>-1.1120996441281172E-2</v>
      </c>
      <c r="BA209" s="1">
        <f>'Asset Prices'!BA209/'Asset Prices'!BA210-1</f>
        <v>-2.3612750885478206E-2</v>
      </c>
      <c r="BB209" s="1">
        <f>'Asset Prices'!BB209/'Asset Prices'!BB210-1</f>
        <v>-1.5145199388634234E-2</v>
      </c>
      <c r="BC209" s="1">
        <f>'Asset Prices'!BC209/'Asset Prices'!BC210-1</f>
        <v>-3.8421236465246977E-3</v>
      </c>
      <c r="BD209" s="1">
        <f>'Asset Prices'!BD209/'Asset Prices'!BD210-1</f>
        <v>-3.1491499227202402E-2</v>
      </c>
    </row>
    <row r="210" spans="3:56" x14ac:dyDescent="0.25">
      <c r="C210" s="38">
        <f>'Asset Prices'!C210</f>
        <v>42901</v>
      </c>
      <c r="D210" s="1">
        <f>'Asset Prices'!D210/'Asset Prices'!D211-1</f>
        <v>-1.9981267561660965E-2</v>
      </c>
      <c r="E210" s="1">
        <f>'Asset Prices'!E210/'Asset Prices'!E211-1</f>
        <v>1.5912576687116653E-2</v>
      </c>
      <c r="F210" s="1">
        <f>'Asset Prices'!F210/'Asset Prices'!F211-1</f>
        <v>-5.6390977443609991E-3</v>
      </c>
      <c r="G210" s="1">
        <f>'Asset Prices'!G210/'Asset Prices'!G211-1</f>
        <v>-1.6292382210480016E-2</v>
      </c>
      <c r="H210" s="1">
        <f>'Asset Prices'!H210/'Asset Prices'!H211-1</f>
        <v>1.3236834587182278E-2</v>
      </c>
      <c r="I210" s="1">
        <f>'Asset Prices'!I210/'Asset Prices'!I211-1</f>
        <v>-3.1736797879904355E-2</v>
      </c>
      <c r="J210" s="1">
        <f>'Asset Prices'!J210/'Asset Prices'!J211-1</f>
        <v>-6.9036712045938531E-2</v>
      </c>
      <c r="K210" s="1">
        <f>'Asset Prices'!K210/'Asset Prices'!K211-1</f>
        <v>-4.5631365872489504E-2</v>
      </c>
      <c r="L210" s="1">
        <f>'Asset Prices'!L210/'Asset Prices'!L211-1</f>
        <v>-8.5121774776947268E-2</v>
      </c>
      <c r="M210" s="1">
        <f>'Asset Prices'!M210/'Asset Prices'!M211-1</f>
        <v>-2.8492008339124353E-2</v>
      </c>
      <c r="N210" s="1">
        <f>'Asset Prices'!N210/'Asset Prices'!N211-1</f>
        <v>-4.3912056398613952E-2</v>
      </c>
      <c r="O210" s="1">
        <f>'Asset Prices'!O210/'Asset Prices'!O211-1</f>
        <v>9.4016343027851779E-3</v>
      </c>
      <c r="P210" s="1">
        <f>'Asset Prices'!P210/'Asset Prices'!P211-1</f>
        <v>-1.7170891251022002E-2</v>
      </c>
      <c r="Q210" s="1">
        <f>'Asset Prices'!Q210/'Asset Prices'!Q211-1</f>
        <v>-5.1376630219997277E-2</v>
      </c>
      <c r="R210" s="1">
        <f>'Asset Prices'!R210/'Asset Prices'!R211-1</f>
        <v>5.2809463455851802E-3</v>
      </c>
      <c r="S210" s="1">
        <f>'Asset Prices'!S210/'Asset Prices'!S211-1</f>
        <v>7.6122811469181428E-4</v>
      </c>
      <c r="T210" s="1">
        <f>'Asset Prices'!T210/'Asset Prices'!T211-1</f>
        <v>-3.2356299961934232E-3</v>
      </c>
      <c r="U210" s="1">
        <f>'Asset Prices'!U210/'Asset Prices'!U211-1</f>
        <v>2.1661766981277975E-3</v>
      </c>
      <c r="V210" s="1">
        <f>'Asset Prices'!V210/'Asset Prices'!V211-1</f>
        <v>1.8411967779056404E-2</v>
      </c>
      <c r="W210" s="1">
        <f>'Asset Prices'!W210/'Asset Prices'!W211-1</f>
        <v>-4.3309084757232275E-2</v>
      </c>
      <c r="X210" s="1">
        <f>'Asset Prices'!X210/'Asset Prices'!X211-1</f>
        <v>1.6058147396889932E-2</v>
      </c>
      <c r="Y210" s="1">
        <f>'Asset Prices'!Y210/'Asset Prices'!Y211-1</f>
        <v>-3.6077402497360911E-3</v>
      </c>
      <c r="Z210" s="1">
        <f>'Asset Prices'!Z210/'Asset Prices'!Z211-1</f>
        <v>9.1503267973856106E-2</v>
      </c>
      <c r="AA210" s="1">
        <f>'Asset Prices'!AA210/'Asset Prices'!AA211-1</f>
        <v>-6.8342498036135124E-2</v>
      </c>
      <c r="AB210" s="1">
        <f>'Asset Prices'!AB210/'Asset Prices'!AB211-1</f>
        <v>1.9553072625698276E-2</v>
      </c>
      <c r="AC210" s="1">
        <f>'Asset Prices'!AC210/'Asset Prices'!AC211-1</f>
        <v>-9.1660110149488494E-2</v>
      </c>
      <c r="AD210" s="1">
        <f>'Asset Prices'!AD210/'Asset Prices'!AD211-1</f>
        <v>2.7768428138673862E-2</v>
      </c>
      <c r="AE210" s="1">
        <f>'Asset Prices'!AE210/'Asset Prices'!AE211-1</f>
        <v>3.9558417663293488E-2</v>
      </c>
      <c r="AF210" s="1">
        <f>'Asset Prices'!AF210/'Asset Prices'!AF211-1</f>
        <v>-9.7560975609757294E-3</v>
      </c>
      <c r="AG210" s="1">
        <f>'Asset Prices'!AG210/'Asset Prices'!AG211-1</f>
        <v>-5.1044083526682216E-2</v>
      </c>
      <c r="AH210" s="1">
        <f>'Asset Prices'!AH210/'Asset Prices'!AH211-1</f>
        <v>5.4159108577351622E-2</v>
      </c>
      <c r="AI210" s="1">
        <f>'Asset Prices'!AI210/'Asset Prices'!AI211-1</f>
        <v>-4.3118724158298871E-2</v>
      </c>
      <c r="AJ210" s="1">
        <f>'Asset Prices'!AJ210/'Asset Prices'!AJ211-1</f>
        <v>2.346041055718473E-2</v>
      </c>
      <c r="AK210" s="1">
        <f>'Asset Prices'!AK210/'Asset Prices'!AK211-1</f>
        <v>1.1418533157663724E-2</v>
      </c>
      <c r="AL210" s="1">
        <f>'Asset Prices'!AL210/'Asset Prices'!AL211-1</f>
        <v>6.8779169737165358E-3</v>
      </c>
      <c r="AM210" s="1">
        <f>'Asset Prices'!AM210/'Asset Prices'!AM211-1</f>
        <v>1.3938198553583137E-2</v>
      </c>
      <c r="AN210" s="1">
        <f>'Asset Prices'!AN210/'Asset Prices'!AN211-1</f>
        <v>-8.4251913220531049E-3</v>
      </c>
      <c r="AO210" s="1">
        <f>'Asset Prices'!AO210/'Asset Prices'!AO211-1</f>
        <v>9.7423684780255648E-3</v>
      </c>
      <c r="AP210" s="1">
        <f>'Asset Prices'!AP210/'Asset Prices'!AP211-1</f>
        <v>-3.2976092333057982E-3</v>
      </c>
      <c r="AQ210" s="1">
        <f>'Asset Prices'!AQ210/'Asset Prices'!AQ211-1</f>
        <v>-5.9915337023770721E-2</v>
      </c>
      <c r="AR210" s="1">
        <f>'Asset Prices'!AR210/'Asset Prices'!AR211-1</f>
        <v>-5.6539120502570039E-2</v>
      </c>
      <c r="AS210" s="1">
        <f>'Asset Prices'!AS210/'Asset Prices'!AS211-1</f>
        <v>-6.8748426089146442E-2</v>
      </c>
      <c r="AT210" s="1">
        <f>'Asset Prices'!AT210/'Asset Prices'!AT211-1</f>
        <v>9.8199672667758087E-3</v>
      </c>
      <c r="AU210" s="1">
        <f>'Asset Prices'!AU210/'Asset Prices'!AU211-1</f>
        <v>1.0425897930455008E-4</v>
      </c>
      <c r="AV210" s="1">
        <f>'Asset Prices'!AV210/'Asset Prices'!AV211-1</f>
        <v>-2.8193479422768619E-2</v>
      </c>
      <c r="AW210" s="1">
        <f>'Asset Prices'!AW210/'Asset Prices'!AW211-1</f>
        <v>-1.4055933922619945E-2</v>
      </c>
      <c r="AX210" s="1">
        <f>'Asset Prices'!AX210/'Asset Prices'!AX211-1</f>
        <v>-5.2465233881163087E-2</v>
      </c>
      <c r="AY210" s="1">
        <f>'Asset Prices'!AY210/'Asset Prices'!AY211-1</f>
        <v>-1.4778325123152691E-2</v>
      </c>
      <c r="AZ210" s="1">
        <f>'Asset Prices'!AZ210/'Asset Prices'!AZ211-1</f>
        <v>3.0877407520635947E-2</v>
      </c>
      <c r="BA210" s="1">
        <f>'Asset Prices'!BA210/'Asset Prices'!BA211-1</f>
        <v>3.926380368098159E-2</v>
      </c>
      <c r="BB210" s="1">
        <f>'Asset Prices'!BB210/'Asset Prices'!BB211-1</f>
        <v>9.1138530566461373E-3</v>
      </c>
      <c r="BC210" s="1">
        <f>'Asset Prices'!BC210/'Asset Prices'!BC211-1</f>
        <v>4.1469625318297787E-2</v>
      </c>
      <c r="BD210" s="1">
        <f>'Asset Prices'!BD210/'Asset Prices'!BD211-1</f>
        <v>4.2602477590895305E-2</v>
      </c>
    </row>
    <row r="211" spans="3:56" x14ac:dyDescent="0.25">
      <c r="C211" s="38">
        <f>'Asset Prices'!C211</f>
        <v>42894</v>
      </c>
      <c r="D211" s="1">
        <f>'Asset Prices'!D211/'Asset Prices'!D212-1</f>
        <v>7.2327044025157772E-3</v>
      </c>
      <c r="E211" s="1">
        <f>'Asset Prices'!E211/'Asset Prices'!E212-1</f>
        <v>-3.5948618427132484E-2</v>
      </c>
      <c r="F211" s="1">
        <f>'Asset Prices'!F211/'Asset Prices'!F212-1</f>
        <v>1.7208413001912115E-2</v>
      </c>
      <c r="G211" s="1">
        <f>'Asset Prices'!G211/'Asset Prices'!G212-1</f>
        <v>-8.0803668923344896E-3</v>
      </c>
      <c r="H211" s="1">
        <f>'Asset Prices'!H211/'Asset Prices'!H212-1</f>
        <v>-6.0577378135352467E-3</v>
      </c>
      <c r="I211" s="1">
        <f>'Asset Prices'!I211/'Asset Prices'!I212-1</f>
        <v>2.0985943377548999E-2</v>
      </c>
      <c r="J211" s="1">
        <f>'Asset Prices'!J211/'Asset Prices'!J212-1</f>
        <v>1.1816163990077122E-2</v>
      </c>
      <c r="K211" s="1">
        <f>'Asset Prices'!K211/'Asset Prices'!K212-1</f>
        <v>1.4378231838947597E-2</v>
      </c>
      <c r="L211" s="1">
        <f>'Asset Prices'!L211/'Asset Prices'!L212-1</f>
        <v>1.7731149150254533E-2</v>
      </c>
      <c r="M211" s="1">
        <f>'Asset Prices'!M211/'Asset Prices'!M212-1</f>
        <v>2.6390870185449389E-2</v>
      </c>
      <c r="N211" s="1">
        <f>'Asset Prices'!N211/'Asset Prices'!N212-1</f>
        <v>1.617946149409577E-2</v>
      </c>
      <c r="O211" s="1">
        <f>'Asset Prices'!O211/'Asset Prices'!O212-1</f>
        <v>-1.7354515627698075E-2</v>
      </c>
      <c r="P211" s="1">
        <f>'Asset Prices'!P211/'Asset Prices'!P212-1</f>
        <v>-6.7139531106178429E-3</v>
      </c>
      <c r="Q211" s="1">
        <f>'Asset Prices'!Q211/'Asset Prices'!Q212-1</f>
        <v>4.0504420533205465E-2</v>
      </c>
      <c r="R211" s="1">
        <f>'Asset Prices'!R211/'Asset Prices'!R212-1</f>
        <v>-1.6413879077498472E-2</v>
      </c>
      <c r="S211" s="1">
        <f>'Asset Prices'!S211/'Asset Prices'!S212-1</f>
        <v>-1.376376376376387E-2</v>
      </c>
      <c r="T211" s="1">
        <f>'Asset Prices'!T211/'Asset Prices'!T212-1</f>
        <v>-3.31247699668753E-2</v>
      </c>
      <c r="U211" s="1">
        <f>'Asset Prices'!U211/'Asset Prices'!U212-1</f>
        <v>4.1579371474617322E-2</v>
      </c>
      <c r="V211" s="1">
        <f>'Asset Prices'!V211/'Asset Prices'!V212-1</f>
        <v>4.0439052570768741E-3</v>
      </c>
      <c r="W211" s="1">
        <f>'Asset Prices'!W211/'Asset Prices'!W212-1</f>
        <v>-1.9734660033167484E-2</v>
      </c>
      <c r="X211" s="1">
        <f>'Asset Prices'!X211/'Asset Prices'!X212-1</f>
        <v>-1.8905472636815968E-2</v>
      </c>
      <c r="Y211" s="1">
        <f>'Asset Prices'!Y211/'Asset Prices'!Y212-1</f>
        <v>5.5747922459287835E-2</v>
      </c>
      <c r="Z211" s="1">
        <f>'Asset Prices'!Z211/'Asset Prices'!Z212-1</f>
        <v>-4.3749999999999956E-2</v>
      </c>
      <c r="AA211" s="1">
        <f>'Asset Prices'!AA211/'Asset Prices'!AA212-1</f>
        <v>8.0645161290322509E-2</v>
      </c>
      <c r="AB211" s="1">
        <f>'Asset Prices'!AB211/'Asset Prices'!AB212-1</f>
        <v>0</v>
      </c>
      <c r="AC211" s="1">
        <f>'Asset Prices'!AC211/'Asset Prices'!AC212-1</f>
        <v>9.9005620406398487E-2</v>
      </c>
      <c r="AD211" s="1">
        <f>'Asset Prices'!AD211/'Asset Prices'!AD212-1</f>
        <v>0.10364041604754815</v>
      </c>
      <c r="AE211" s="1">
        <f>'Asset Prices'!AE211/'Asset Prices'!AE212-1</f>
        <v>-1.998497370398189E-2</v>
      </c>
      <c r="AF211" s="1">
        <f>'Asset Prices'!AF211/'Asset Prices'!AF212-1</f>
        <v>-1.0530934620447518E-2</v>
      </c>
      <c r="AG211" s="1">
        <f>'Asset Prices'!AG211/'Asset Prices'!AG212-1</f>
        <v>-1.2600229095074411E-2</v>
      </c>
      <c r="AH211" s="1">
        <f>'Asset Prices'!AH211/'Asset Prices'!AH212-1</f>
        <v>-7.0120481927710809E-2</v>
      </c>
      <c r="AI211" s="1">
        <f>'Asset Prices'!AI211/'Asset Prices'!AI212-1</f>
        <v>6.4333612740989032E-2</v>
      </c>
      <c r="AJ211" s="1">
        <f>'Asset Prices'!AJ211/'Asset Prices'!AJ212-1</f>
        <v>1.7910447761193993E-2</v>
      </c>
      <c r="AK211" s="1">
        <f>'Asset Prices'!AK211/'Asset Prices'!AK212-1</f>
        <v>5.2980132450330952E-3</v>
      </c>
      <c r="AL211" s="1">
        <f>'Asset Prices'!AL211/'Asset Prices'!AL212-1</f>
        <v>-8.8861838101035318E-3</v>
      </c>
      <c r="AM211" s="1">
        <f>'Asset Prices'!AM211/'Asset Prices'!AM212-1</f>
        <v>-3.7335429357436833E-3</v>
      </c>
      <c r="AN211" s="1">
        <f>'Asset Prices'!AN211/'Asset Prices'!AN212-1</f>
        <v>-1.5687629578438056E-2</v>
      </c>
      <c r="AO211" s="1">
        <f>'Asset Prices'!AO211/'Asset Prices'!AO212-1</f>
        <v>-6.8802408084283062E-3</v>
      </c>
      <c r="AP211" s="1">
        <f>'Asset Prices'!AP211/'Asset Prices'!AP212-1</f>
        <v>-4.1106719367589029E-2</v>
      </c>
      <c r="AQ211" s="1">
        <f>'Asset Prices'!AQ211/'Asset Prices'!AQ212-1</f>
        <v>-2.9220779220778814E-3</v>
      </c>
      <c r="AR211" s="1">
        <f>'Asset Prices'!AR211/'Asset Prices'!AR212-1</f>
        <v>2.9394473838918245E-2</v>
      </c>
      <c r="AS211" s="1">
        <f>'Asset Prices'!AS211/'Asset Prices'!AS212-1</f>
        <v>3.7917087967642704E-3</v>
      </c>
      <c r="AT211" s="1">
        <f>'Asset Prices'!AT211/'Asset Prices'!AT212-1</f>
        <v>-7.4007220216605329E-3</v>
      </c>
      <c r="AU211" s="1">
        <f>'Asset Prices'!AU211/'Asset Prices'!AU212-1</f>
        <v>-5.185915054711443E-3</v>
      </c>
      <c r="AV211" s="1">
        <f>'Asset Prices'!AV211/'Asset Prices'!AV212-1</f>
        <v>-7.1002979145978085E-2</v>
      </c>
      <c r="AW211" s="1">
        <f>'Asset Prices'!AW211/'Asset Prices'!AW212-1</f>
        <v>2.831172701534812E-2</v>
      </c>
      <c r="AX211" s="1">
        <f>'Asset Prices'!AX211/'Asset Prices'!AX212-1</f>
        <v>2.9277813923227036E-2</v>
      </c>
      <c r="AY211" s="1">
        <f>'Asset Prices'!AY211/'Asset Prices'!AY212-1</f>
        <v>3.5714285714285809E-2</v>
      </c>
      <c r="AZ211" s="1">
        <f>'Asset Prices'!AZ211/'Asset Prices'!AZ212-1</f>
        <v>1.0711553175211108E-3</v>
      </c>
      <c r="BA211" s="1">
        <f>'Asset Prices'!BA211/'Asset Prices'!BA212-1</f>
        <v>-4.3427230046948262E-2</v>
      </c>
      <c r="BB211" s="1">
        <f>'Asset Prices'!BB211/'Asset Prices'!BB212-1</f>
        <v>-6.9618490671122801E-3</v>
      </c>
      <c r="BC211" s="1">
        <f>'Asset Prices'!BC211/'Asset Prices'!BC212-1</f>
        <v>2.9186428310834511E-3</v>
      </c>
      <c r="BD211" s="1">
        <f>'Asset Prices'!BD211/'Asset Prices'!BD212-1</f>
        <v>-8.5871193210185215E-3</v>
      </c>
    </row>
    <row r="212" spans="3:56" x14ac:dyDescent="0.25">
      <c r="C212" s="38">
        <f>'Asset Prices'!C212</f>
        <v>42887</v>
      </c>
      <c r="D212" s="1">
        <f>'Asset Prices'!D212/'Asset Prices'!D213-1</f>
        <v>3.7878787878786735E-3</v>
      </c>
      <c r="E212" s="1">
        <f>'Asset Prices'!E212/'Asset Prices'!E213-1</f>
        <v>8.7629346508808492E-3</v>
      </c>
      <c r="F212" s="1">
        <f>'Asset Prices'!F212/'Asset Prices'!F213-1</f>
        <v>-9.551098376313627E-4</v>
      </c>
      <c r="G212" s="1">
        <f>'Asset Prices'!G212/'Asset Prices'!G213-1</f>
        <v>1.3053097345132603E-2</v>
      </c>
      <c r="H212" s="1">
        <f>'Asset Prices'!H212/'Asset Prices'!H213-1</f>
        <v>5.9988573605027629E-3</v>
      </c>
      <c r="I212" s="1">
        <f>'Asset Prices'!I212/'Asset Prices'!I213-1</f>
        <v>-2.829692024216901E-3</v>
      </c>
      <c r="J212" s="1">
        <f>'Asset Prices'!J212/'Asset Prices'!J213-1</f>
        <v>-4.484304932735439E-3</v>
      </c>
      <c r="K212" s="1">
        <f>'Asset Prices'!K212/'Asset Prices'!K213-1</f>
        <v>2.5871267792789698E-3</v>
      </c>
      <c r="L212" s="1">
        <f>'Asset Prices'!L212/'Asset Prices'!L213-1</f>
        <v>-3.6798528058878954E-4</v>
      </c>
      <c r="M212" s="1">
        <f>'Asset Prices'!M212/'Asset Prices'!M213-1</f>
        <v>6.8945705257108525E-3</v>
      </c>
      <c r="N212" s="1">
        <f>'Asset Prices'!N212/'Asset Prices'!N213-1</f>
        <v>-3.5992982880649338E-3</v>
      </c>
      <c r="O212" s="1">
        <f>'Asset Prices'!O212/'Asset Prices'!O213-1</f>
        <v>4.4228601162084047E-3</v>
      </c>
      <c r="P212" s="1">
        <f>'Asset Prices'!P212/'Asset Prices'!P213-1</f>
        <v>2.5258132563561686E-2</v>
      </c>
      <c r="Q212" s="1">
        <f>'Asset Prices'!Q212/'Asset Prices'!Q213-1</f>
        <v>3.1968314590848035E-2</v>
      </c>
      <c r="R212" s="1">
        <f>'Asset Prices'!R212/'Asset Prices'!R213-1</f>
        <v>1.8408802369868971E-2</v>
      </c>
      <c r="S212" s="1">
        <f>'Asset Prices'!S212/'Asset Prices'!S213-1</f>
        <v>1.5037593984963404E-3</v>
      </c>
      <c r="T212" s="1">
        <f>'Asset Prices'!T212/'Asset Prices'!T213-1</f>
        <v>2.0182108326293191E-2</v>
      </c>
      <c r="U212" s="1">
        <f>'Asset Prices'!U212/'Asset Prices'!U213-1</f>
        <v>7.0750647109577125E-2</v>
      </c>
      <c r="V212" s="1">
        <f>'Asset Prices'!V212/'Asset Prices'!V213-1</f>
        <v>3.866228494104007E-3</v>
      </c>
      <c r="W212" s="1">
        <f>'Asset Prices'!W212/'Asset Prices'!W213-1</f>
        <v>-1.5510204081632728E-2</v>
      </c>
      <c r="X212" s="1">
        <f>'Asset Prices'!X212/'Asset Prices'!X213-1</f>
        <v>-1.0177281680893047E-2</v>
      </c>
      <c r="Y212" s="1">
        <f>'Asset Prices'!Y212/'Asset Prices'!Y213-1</f>
        <v>-2.8263795432945993E-2</v>
      </c>
      <c r="Z212" s="1">
        <f>'Asset Prices'!Z212/'Asset Prices'!Z213-1</f>
        <v>7.0234113712374535E-2</v>
      </c>
      <c r="AA212" s="1">
        <f>'Asset Prices'!AA212/'Asset Prices'!AA213-1</f>
        <v>4.06360424028267E-2</v>
      </c>
      <c r="AB212" s="1">
        <f>'Asset Prices'!AB212/'Asset Prices'!AB213-1</f>
        <v>2.5787965616045794E-2</v>
      </c>
      <c r="AC212" s="1">
        <f>'Asset Prices'!AC212/'Asset Prices'!AC213-1</f>
        <v>7.8431372549019329E-3</v>
      </c>
      <c r="AD212" s="1">
        <f>'Asset Prices'!AD212/'Asset Prices'!AD213-1</f>
        <v>3.3544539694372322E-3</v>
      </c>
      <c r="AE212" s="1">
        <f>'Asset Prices'!AE212/'Asset Prices'!AE213-1</f>
        <v>5.4508001901441894E-2</v>
      </c>
      <c r="AF212" s="1">
        <f>'Asset Prices'!AF212/'Asset Prices'!AF213-1</f>
        <v>-4.8034934497815929E-3</v>
      </c>
      <c r="AG212" s="1">
        <f>'Asset Prices'!AG212/'Asset Prices'!AG213-1</f>
        <v>4.3010752688172005E-2</v>
      </c>
      <c r="AH212" s="1">
        <f>'Asset Prices'!AH212/'Asset Prices'!AH213-1</f>
        <v>-1.1669445105977672E-2</v>
      </c>
      <c r="AI212" s="1">
        <f>'Asset Prices'!AI212/'Asset Prices'!AI213-1</f>
        <v>3.6039947894051183E-2</v>
      </c>
      <c r="AJ212" s="1">
        <f>'Asset Prices'!AJ212/'Asset Prices'!AJ213-1</f>
        <v>2.4464831804281273E-2</v>
      </c>
      <c r="AK212" s="1">
        <f>'Asset Prices'!AK212/'Asset Prices'!AK213-1</f>
        <v>-7.0144673388864431E-3</v>
      </c>
      <c r="AL212" s="1">
        <f>'Asset Prices'!AL212/'Asset Prices'!AL213-1</f>
        <v>2.7517198248905528E-2</v>
      </c>
      <c r="AM212" s="1">
        <f>'Asset Prices'!AM212/'Asset Prices'!AM213-1</f>
        <v>-3.4595300261096584E-3</v>
      </c>
      <c r="AN212" s="1">
        <f>'Asset Prices'!AN212/'Asset Prices'!AN213-1</f>
        <v>2.7334043308484102E-2</v>
      </c>
      <c r="AO212" s="1">
        <f>'Asset Prices'!AO212/'Asset Prices'!AO213-1</f>
        <v>2.648421981902449E-2</v>
      </c>
      <c r="AP212" s="1">
        <f>'Asset Prices'!AP212/'Asset Prices'!AP213-1</f>
        <v>7.0319755871035561E-3</v>
      </c>
      <c r="AQ212" s="1">
        <f>'Asset Prices'!AQ212/'Asset Prices'!AQ213-1</f>
        <v>-8.183037710538088E-2</v>
      </c>
      <c r="AR212" s="1">
        <f>'Asset Prices'!AR212/'Asset Prices'!AR213-1</f>
        <v>1.7648818426562851E-2</v>
      </c>
      <c r="AS212" s="1">
        <f>'Asset Prices'!AS212/'Asset Prices'!AS213-1</f>
        <v>-6.7788099422544379E-3</v>
      </c>
      <c r="AT212" s="1">
        <f>'Asset Prices'!AT212/'Asset Prices'!AT213-1</f>
        <v>2.0633750921149607E-2</v>
      </c>
      <c r="AU212" s="1">
        <f>'Asset Prices'!AU212/'Asset Prices'!AU213-1</f>
        <v>3.2446324356159906E-2</v>
      </c>
      <c r="AV212" s="1">
        <f>'Asset Prices'!AV212/'Asset Prices'!AV213-1</f>
        <v>2.2335025380710638E-2</v>
      </c>
      <c r="AW212" s="1">
        <f>'Asset Prices'!AW212/'Asset Prices'!AW213-1</f>
        <v>1.8206645425580481E-2</v>
      </c>
      <c r="AX212" s="1">
        <f>'Asset Prices'!AX212/'Asset Prices'!AX213-1</f>
        <v>4.2740841248303907E-2</v>
      </c>
      <c r="AY212" s="1">
        <f>'Asset Prices'!AY212/'Asset Prices'!AY213-1</f>
        <v>-6.6666666666666763E-2</v>
      </c>
      <c r="AZ212" s="1">
        <f>'Asset Prices'!AZ212/'Asset Prices'!AZ213-1</f>
        <v>2.5258864135550674E-2</v>
      </c>
      <c r="BA212" s="1">
        <f>'Asset Prices'!BA212/'Asset Prices'!BA213-1</f>
        <v>2.1582733812949728E-2</v>
      </c>
      <c r="BB212" s="1">
        <f>'Asset Prices'!BB212/'Asset Prices'!BB213-1</f>
        <v>1.8434486670448003E-2</v>
      </c>
      <c r="BC212" s="1">
        <f>'Asset Prices'!BC212/'Asset Prices'!BC213-1</f>
        <v>-6.482429205049467E-2</v>
      </c>
      <c r="BD212" s="1">
        <f>'Asset Prices'!BD212/'Asset Prices'!BD213-1</f>
        <v>-2.9865604778496202E-3</v>
      </c>
    </row>
    <row r="213" spans="3:56" x14ac:dyDescent="0.25">
      <c r="C213" s="38">
        <f>'Asset Prices'!C213</f>
        <v>42880</v>
      </c>
      <c r="D213" s="1">
        <f>'Asset Prices'!D213/'Asset Prices'!D214-1</f>
        <v>3.6310107948969828E-2</v>
      </c>
      <c r="E213" s="1">
        <f>'Asset Prices'!E213/'Asset Prices'!E214-1</f>
        <v>5.5305586801648321E-3</v>
      </c>
      <c r="F213" s="1">
        <f>'Asset Prices'!F213/'Asset Prices'!F214-1</f>
        <v>1.2964396284829816E-2</v>
      </c>
      <c r="G213" s="1">
        <f>'Asset Prices'!G213/'Asset Prices'!G214-1</f>
        <v>2.3318994792845826E-2</v>
      </c>
      <c r="H213" s="1">
        <f>'Asset Prices'!H213/'Asset Prices'!H214-1</f>
        <v>4.7894631810017962E-2</v>
      </c>
      <c r="I213" s="1">
        <f>'Asset Prices'!I213/'Asset Prices'!I214-1</f>
        <v>2.9120953541920791E-2</v>
      </c>
      <c r="J213" s="1">
        <f>'Asset Prices'!J213/'Asset Prices'!J214-1</f>
        <v>8.7190245181592019E-3</v>
      </c>
      <c r="K213" s="1">
        <f>'Asset Prices'!K213/'Asset Prices'!K214-1</f>
        <v>3.6401005748625481E-2</v>
      </c>
      <c r="L213" s="1">
        <f>'Asset Prices'!L213/'Asset Prices'!L214-1</f>
        <v>4.7206165703275627E-2</v>
      </c>
      <c r="M213" s="1">
        <f>'Asset Prices'!M213/'Asset Prices'!M214-1</f>
        <v>2.8208536405257778E-2</v>
      </c>
      <c r="N213" s="1">
        <f>'Asset Prices'!N213/'Asset Prices'!N214-1</f>
        <v>4.3513940031562282E-2</v>
      </c>
      <c r="O213" s="1">
        <f>'Asset Prices'!O213/'Asset Prices'!O214-1</f>
        <v>4.1079812206572752E-2</v>
      </c>
      <c r="P213" s="1">
        <f>'Asset Prices'!P213/'Asset Prices'!P214-1</f>
        <v>-3.870825038708392E-3</v>
      </c>
      <c r="Q213" s="1">
        <f>'Asset Prices'!Q213/'Asset Prices'!Q214-1</f>
        <v>2.6871958747911817E-2</v>
      </c>
      <c r="R213" s="1">
        <f>'Asset Prices'!R213/'Asset Prices'!R214-1</f>
        <v>3.5495179666958698E-2</v>
      </c>
      <c r="S213" s="1">
        <f>'Asset Prices'!S213/'Asset Prices'!S214-1</f>
        <v>2.8350515463917647E-2</v>
      </c>
      <c r="T213" s="1">
        <f>'Asset Prices'!T213/'Asset Prices'!T214-1</f>
        <v>3.9012971813127795E-2</v>
      </c>
      <c r="U213" s="1">
        <f>'Asset Prices'!U213/'Asset Prices'!U214-1</f>
        <v>1.9349164467898028E-2</v>
      </c>
      <c r="V213" s="1">
        <f>'Asset Prices'!V213/'Asset Prices'!V214-1</f>
        <v>1.2328767123287676E-2</v>
      </c>
      <c r="W213" s="1">
        <f>'Asset Prices'!W213/'Asset Prices'!W214-1</f>
        <v>0.20975706103100933</v>
      </c>
      <c r="X213" s="1">
        <f>'Asset Prices'!X213/'Asset Prices'!X214-1</f>
        <v>6.3361843253622041E-2</v>
      </c>
      <c r="Y213" s="1">
        <f>'Asset Prices'!Y213/'Asset Prices'!Y214-1</f>
        <v>-6.7249496117227636E-4</v>
      </c>
      <c r="Z213" s="1">
        <f>'Asset Prices'!Z213/'Asset Prices'!Z214-1</f>
        <v>6.7857142857142838E-2</v>
      </c>
      <c r="AA213" s="1">
        <f>'Asset Prices'!AA213/'Asset Prices'!AA214-1</f>
        <v>1.1617515638963294E-2</v>
      </c>
      <c r="AB213" s="1">
        <f>'Asset Prices'!AB213/'Asset Prices'!AB214-1</f>
        <v>2.6470588235294246E-2</v>
      </c>
      <c r="AC213" s="1">
        <f>'Asset Prices'!AC213/'Asset Prices'!AC214-1</f>
        <v>8.79120879120876E-3</v>
      </c>
      <c r="AD213" s="1">
        <f>'Asset Prices'!AD213/'Asset Prices'!AD214-1</f>
        <v>2.0346073397984332E-2</v>
      </c>
      <c r="AE213" s="1">
        <f>'Asset Prices'!AE213/'Asset Prices'!AE214-1</f>
        <v>-1.0039215686274527E-2</v>
      </c>
      <c r="AF213" s="1">
        <f>'Asset Prices'!AF213/'Asset Prices'!AF214-1</f>
        <v>2.1881838074397919E-3</v>
      </c>
      <c r="AG213" s="1">
        <f>'Asset Prices'!AG213/'Asset Prices'!AG214-1</f>
        <v>5.9493670886076044E-2</v>
      </c>
      <c r="AH213" s="1">
        <f>'Asset Prices'!AH213/'Asset Prices'!AH214-1</f>
        <v>1.4496255134090363E-2</v>
      </c>
      <c r="AI213" s="1">
        <f>'Asset Prices'!AI213/'Asset Prices'!AI214-1</f>
        <v>5.0185468034040781E-3</v>
      </c>
      <c r="AJ213" s="1">
        <f>'Asset Prices'!AJ213/'Asset Prices'!AJ214-1</f>
        <v>4.4728434504792469E-2</v>
      </c>
      <c r="AK213" s="1">
        <f>'Asset Prices'!AK213/'Asset Prices'!AK214-1</f>
        <v>8.5673488814850041E-2</v>
      </c>
      <c r="AL213" s="1">
        <f>'Asset Prices'!AL213/'Asset Prices'!AL214-1</f>
        <v>2.5525910723448009E-2</v>
      </c>
      <c r="AM213" s="1">
        <f>'Asset Prices'!AM213/'Asset Prices'!AM214-1</f>
        <v>1.6049873988592589E-2</v>
      </c>
      <c r="AN213" s="1">
        <f>'Asset Prices'!AN213/'Asset Prices'!AN214-1</f>
        <v>4.4571343814891584E-2</v>
      </c>
      <c r="AO213" s="1">
        <f>'Asset Prices'!AO213/'Asset Prices'!AO214-1</f>
        <v>5.9946714031973158E-3</v>
      </c>
      <c r="AP213" s="1">
        <f>'Asset Prices'!AP213/'Asset Prices'!AP214-1</f>
        <v>1.1949516648764869E-2</v>
      </c>
      <c r="AQ213" s="1">
        <f>'Asset Prices'!AQ213/'Asset Prices'!AQ214-1</f>
        <v>2.7254631756239434E-2</v>
      </c>
      <c r="AR213" s="1">
        <f>'Asset Prices'!AR213/'Asset Prices'!AR214-1</f>
        <v>3.6025217652355668E-3</v>
      </c>
      <c r="AS213" s="1">
        <f>'Asset Prices'!AS213/'Asset Prices'!AS214-1</f>
        <v>4.4036697247706424E-2</v>
      </c>
      <c r="AT213" s="1">
        <f>'Asset Prices'!AT213/'Asset Prices'!AT214-1</f>
        <v>-2.7558331802314262E-3</v>
      </c>
      <c r="AU213" s="1">
        <f>'Asset Prices'!AU213/'Asset Prices'!AU214-1</f>
        <v>2.2780789661026146E-2</v>
      </c>
      <c r="AV213" s="1">
        <f>'Asset Prices'!AV213/'Asset Prices'!AV214-1</f>
        <v>-2.5316455696202667E-3</v>
      </c>
      <c r="AW213" s="1">
        <f>'Asset Prices'!AW213/'Asset Prices'!AW214-1</f>
        <v>2.631578947368407E-2</v>
      </c>
      <c r="AX213" s="1">
        <f>'Asset Prices'!AX213/'Asset Prices'!AX214-1</f>
        <v>-2.7704485488126651E-2</v>
      </c>
      <c r="AY213" s="1">
        <f>'Asset Prices'!AY213/'Asset Prices'!AY214-1</f>
        <v>-2.0979020979021046E-2</v>
      </c>
      <c r="AZ213" s="1">
        <f>'Asset Prices'!AZ213/'Asset Prices'!AZ214-1</f>
        <v>3.2226720647773321E-2</v>
      </c>
      <c r="BA213" s="1">
        <f>'Asset Prices'!BA213/'Asset Prices'!BA214-1</f>
        <v>4.3804755944931273E-2</v>
      </c>
      <c r="BB213" s="1">
        <f>'Asset Prices'!BB213/'Asset Prices'!BB214-1</f>
        <v>3.523194362889015E-2</v>
      </c>
      <c r="BC213" s="1">
        <f>'Asset Prices'!BC213/'Asset Prices'!BC214-1</f>
        <v>4.2689434364994616E-2</v>
      </c>
      <c r="BD213" s="1">
        <f>'Asset Prices'!BD213/'Asset Prices'!BD214-1</f>
        <v>1.178485092667203E-2</v>
      </c>
    </row>
    <row r="214" spans="3:56" x14ac:dyDescent="0.25">
      <c r="C214" s="38">
        <f>'Asset Prices'!C214</f>
        <v>42873</v>
      </c>
      <c r="D214" s="1">
        <f>'Asset Prices'!D214/'Asset Prices'!D215-1</f>
        <v>-4.2345276872963744E-3</v>
      </c>
      <c r="E214" s="1">
        <f>'Asset Prices'!E214/'Asset Prices'!E215-1</f>
        <v>-2.6464683336375194E-2</v>
      </c>
      <c r="F214" s="1">
        <f>'Asset Prices'!F214/'Asset Prices'!F215-1</f>
        <v>-4.71976401179941E-2</v>
      </c>
      <c r="G214" s="1">
        <f>'Asset Prices'!G214/'Asset Prices'!G215-1</f>
        <v>-2.1922054915854639E-2</v>
      </c>
      <c r="H214" s="1">
        <f>'Asset Prices'!H214/'Asset Prices'!H215-1</f>
        <v>-7.6245172789384252E-3</v>
      </c>
      <c r="I214" s="1">
        <f>'Asset Prices'!I214/'Asset Prices'!I215-1</f>
        <v>-1.5862436683551029E-2</v>
      </c>
      <c r="J214" s="1">
        <f>'Asset Prices'!J214/'Asset Prices'!J215-1</f>
        <v>-9.1588177979863294E-3</v>
      </c>
      <c r="K214" s="1">
        <f>'Asset Prices'!K214/'Asset Prices'!K215-1</f>
        <v>1.1470842742871579E-2</v>
      </c>
      <c r="L214" s="1">
        <f>'Asset Prices'!L214/'Asset Prices'!L215-1</f>
        <v>-1.7913460325469921E-2</v>
      </c>
      <c r="M214" s="1">
        <f>'Asset Prices'!M214/'Asset Prices'!M215-1</f>
        <v>-1.0955302366345343E-2</v>
      </c>
      <c r="N214" s="1">
        <f>'Asset Prices'!N214/'Asset Prices'!N215-1</f>
        <v>-5.6387241209762129E-3</v>
      </c>
      <c r="O214" s="1">
        <f>'Asset Prices'!O214/'Asset Prices'!O215-1</f>
        <v>3.9511966213045646E-2</v>
      </c>
      <c r="P214" s="1">
        <f>'Asset Prices'!P214/'Asset Prices'!P215-1</f>
        <v>1.4302540804307595E-2</v>
      </c>
      <c r="Q214" s="1">
        <f>'Asset Prices'!Q214/'Asset Prices'!Q215-1</f>
        <v>1.673214025898373E-3</v>
      </c>
      <c r="R214" s="1">
        <f>'Asset Prices'!R214/'Asset Prices'!R215-1</f>
        <v>1.0852713178294726E-2</v>
      </c>
      <c r="S214" s="1">
        <f>'Asset Prices'!S214/'Asset Prices'!S215-1</f>
        <v>6.7462376751425968E-3</v>
      </c>
      <c r="T214" s="1">
        <f>'Asset Prices'!T214/'Asset Prices'!T215-1</f>
        <v>-2.8204629449523066E-3</v>
      </c>
      <c r="U214" s="1">
        <f>'Asset Prices'!U214/'Asset Prices'!U215-1</f>
        <v>-1.0616080751827295E-2</v>
      </c>
      <c r="V214" s="1">
        <f>'Asset Prices'!V214/'Asset Prices'!V215-1</f>
        <v>2.1572857423022285E-3</v>
      </c>
      <c r="W214" s="1">
        <f>'Asset Prices'!W214/'Asset Prices'!W215-1</f>
        <v>-2.5784106215124059E-2</v>
      </c>
      <c r="X214" s="1">
        <f>'Asset Prices'!X214/'Asset Prices'!X215-1</f>
        <v>-1.3771733516956486E-2</v>
      </c>
      <c r="Y214" s="1">
        <f>'Asset Prices'!Y214/'Asset Prices'!Y215-1</f>
        <v>-4.710028835643032E-2</v>
      </c>
      <c r="Z214" s="1">
        <f>'Asset Prices'!Z214/'Asset Prices'!Z215-1</f>
        <v>3.5842293906811484E-3</v>
      </c>
      <c r="AA214" s="1">
        <f>'Asset Prices'!AA214/'Asset Prices'!AA215-1</f>
        <v>6.5714285714285836E-2</v>
      </c>
      <c r="AB214" s="1">
        <f>'Asset Prices'!AB214/'Asset Prices'!AB215-1</f>
        <v>0</v>
      </c>
      <c r="AC214" s="1">
        <f>'Asset Prices'!AC214/'Asset Prices'!AC215-1</f>
        <v>1.320422535211252E-3</v>
      </c>
      <c r="AD214" s="1">
        <f>'Asset Prices'!AD214/'Asset Prices'!AD215-1</f>
        <v>-3.8398244651672964E-2</v>
      </c>
      <c r="AE214" s="1">
        <f>'Asset Prices'!AE214/'Asset Prices'!AE215-1</f>
        <v>-1.802218114602594E-2</v>
      </c>
      <c r="AF214" s="1">
        <f>'Asset Prices'!AF214/'Asset Prices'!AF215-1</f>
        <v>-3.5864978902953482E-2</v>
      </c>
      <c r="AG214" s="1">
        <f>'Asset Prices'!AG214/'Asset Prices'!AG215-1</f>
        <v>-6.2893081761006275E-3</v>
      </c>
      <c r="AH214" s="1">
        <f>'Asset Prices'!AH214/'Asset Prices'!AH215-1</f>
        <v>-0.1753337318190874</v>
      </c>
      <c r="AI214" s="1">
        <f>'Asset Prices'!AI214/'Asset Prices'!AI215-1</f>
        <v>-7.0008116883116922E-2</v>
      </c>
      <c r="AJ214" s="1">
        <f>'Asset Prices'!AJ214/'Asset Prices'!AJ215-1</f>
        <v>1.9543973941368087E-2</v>
      </c>
      <c r="AK214" s="1">
        <f>'Asset Prices'!AK214/'Asset Prices'!AK215-1</f>
        <v>-2.6413345690453949E-2</v>
      </c>
      <c r="AL214" s="1">
        <f>'Asset Prices'!AL214/'Asset Prices'!AL215-1</f>
        <v>-7.7637775232276551E-3</v>
      </c>
      <c r="AM214" s="1">
        <f>'Asset Prices'!AM214/'Asset Prices'!AM215-1</f>
        <v>8.6292731496850905E-4</v>
      </c>
      <c r="AN214" s="1">
        <f>'Asset Prices'!AN214/'Asset Prices'!AN215-1</f>
        <v>0</v>
      </c>
      <c r="AO214" s="1">
        <f>'Asset Prices'!AO214/'Asset Prices'!AO215-1</f>
        <v>-2.1295089091699304E-2</v>
      </c>
      <c r="AP214" s="1">
        <f>'Asset Prices'!AP214/'Asset Prices'!AP215-1</f>
        <v>-6.2790990310809036E-2</v>
      </c>
      <c r="AQ214" s="1">
        <f>'Asset Prices'!AQ214/'Asset Prices'!AQ215-1</f>
        <v>-2.8558679161088785E-2</v>
      </c>
      <c r="AR214" s="1">
        <f>'Asset Prices'!AR214/'Asset Prices'!AR215-1</f>
        <v>-5.0776583034647382E-3</v>
      </c>
      <c r="AS214" s="1">
        <f>'Asset Prices'!AS214/'Asset Prices'!AS215-1</f>
        <v>-3.2462591935074836E-2</v>
      </c>
      <c r="AT214" s="1">
        <f>'Asset Prices'!AT214/'Asset Prices'!AT215-1</f>
        <v>-1.0543537538629355E-2</v>
      </c>
      <c r="AU214" s="1">
        <f>'Asset Prices'!AU214/'Asset Prices'!AU215-1</f>
        <v>-1.2171372930866564E-2</v>
      </c>
      <c r="AV214" s="1">
        <f>'Asset Prices'!AV214/'Asset Prices'!AV215-1</f>
        <v>-3.0555896429009688E-2</v>
      </c>
      <c r="AW214" s="1">
        <f>'Asset Prices'!AW214/'Asset Prices'!AW215-1</f>
        <v>2.1847690387015728E-3</v>
      </c>
      <c r="AX214" s="1">
        <f>'Asset Prices'!AX214/'Asset Prices'!AX215-1</f>
        <v>4.91349480968859E-2</v>
      </c>
      <c r="AY214" s="1">
        <f>'Asset Prices'!AY214/'Asset Prices'!AY215-1</f>
        <v>-6.5359477124182996E-2</v>
      </c>
      <c r="AZ214" s="1">
        <f>'Asset Prices'!AZ214/'Asset Prices'!AZ215-1</f>
        <v>-3.9657853810264432E-2</v>
      </c>
      <c r="BA214" s="1">
        <f>'Asset Prices'!BA214/'Asset Prices'!BA215-1</f>
        <v>8.7074829931972797E-2</v>
      </c>
      <c r="BB214" s="1">
        <f>'Asset Prices'!BB214/'Asset Prices'!BB215-1</f>
        <v>2.5018395879323752E-3</v>
      </c>
      <c r="BC214" s="1">
        <f>'Asset Prices'!BC214/'Asset Prices'!BC215-1</f>
        <v>-2.7167329987887068E-2</v>
      </c>
      <c r="BD214" s="1">
        <f>'Asset Prices'!BD214/'Asset Prices'!BD215-1</f>
        <v>-3.2830004870920693E-2</v>
      </c>
    </row>
    <row r="215" spans="3:56" x14ac:dyDescent="0.25">
      <c r="C215" s="38">
        <f>'Asset Prices'!C215</f>
        <v>42866</v>
      </c>
      <c r="D215" s="1">
        <f>'Asset Prices'!D215/'Asset Prices'!D216-1</f>
        <v>-5.6143381559059513E-3</v>
      </c>
      <c r="E215" s="1">
        <f>'Asset Prices'!E215/'Asset Prices'!E216-1</f>
        <v>-1.4302419717549752E-2</v>
      </c>
      <c r="F215" s="1">
        <f>'Asset Prices'!F215/'Asset Prices'!F216-1</f>
        <v>-4.2225078024600293E-3</v>
      </c>
      <c r="G215" s="1">
        <f>'Asset Prices'!G215/'Asset Prices'!G216-1</f>
        <v>-6.8176819881240469E-3</v>
      </c>
      <c r="H215" s="1">
        <f>'Asset Prices'!H215/'Asset Prices'!H216-1</f>
        <v>1.6098199013985237E-2</v>
      </c>
      <c r="I215" s="1">
        <f>'Asset Prices'!I215/'Asset Prices'!I216-1</f>
        <v>-5.3695724229366748E-3</v>
      </c>
      <c r="J215" s="1">
        <f>'Asset Prices'!J215/'Asset Prices'!J216-1</f>
        <v>5.0638094588138838E-2</v>
      </c>
      <c r="K215" s="1">
        <f>'Asset Prices'!K215/'Asset Prices'!K216-1</f>
        <v>1.0762322272354075E-2</v>
      </c>
      <c r="L215" s="1">
        <f>'Asset Prices'!L215/'Asset Prices'!L216-1</f>
        <v>8.2034976152622896E-3</v>
      </c>
      <c r="M215" s="1">
        <f>'Asset Prices'!M215/'Asset Prices'!M216-1</f>
        <v>-5.0864699898272026E-3</v>
      </c>
      <c r="N215" s="1">
        <f>'Asset Prices'!N215/'Asset Prices'!N216-1</f>
        <v>1.225490196078427E-3</v>
      </c>
      <c r="O215" s="1">
        <f>'Asset Prices'!O215/'Asset Prices'!O216-1</f>
        <v>-6.8046234153616991E-3</v>
      </c>
      <c r="P215" s="1">
        <f>'Asset Prices'!P215/'Asset Prices'!P216-1</f>
        <v>6.151241534988694E-3</v>
      </c>
      <c r="Q215" s="1">
        <f>'Asset Prices'!Q215/'Asset Prices'!Q216-1</f>
        <v>-3.1221368665867777E-2</v>
      </c>
      <c r="R215" s="1">
        <f>'Asset Prices'!R215/'Asset Prices'!R216-1</f>
        <v>5.1202137132679848E-3</v>
      </c>
      <c r="S215" s="1">
        <f>'Asset Prices'!S215/'Asset Prices'!S216-1</f>
        <v>2.601456815816805E-3</v>
      </c>
      <c r="T215" s="1">
        <f>'Asset Prices'!T215/'Asset Prices'!T216-1</f>
        <v>6.1312964492155286E-2</v>
      </c>
      <c r="U215" s="1">
        <f>'Asset Prices'!U215/'Asset Prices'!U216-1</f>
        <v>-1.7777777777777781E-2</v>
      </c>
      <c r="V215" s="1">
        <f>'Asset Prices'!V215/'Asset Prices'!V216-1</f>
        <v>2.4306950582563269E-2</v>
      </c>
      <c r="W215" s="1">
        <f>'Asset Prices'!W215/'Asset Prices'!W216-1</f>
        <v>2.1623746805582877E-2</v>
      </c>
      <c r="X215" s="1">
        <f>'Asset Prices'!X215/'Asset Prices'!X216-1</f>
        <v>-4.2852245457661864E-3</v>
      </c>
      <c r="Y215" s="1">
        <f>'Asset Prices'!Y215/'Asset Prices'!Y216-1</f>
        <v>7.6206896520208511E-2</v>
      </c>
      <c r="Z215" s="1">
        <f>'Asset Prices'!Z215/'Asset Prices'!Z216-1</f>
        <v>0.15289256198347112</v>
      </c>
      <c r="AA215" s="1">
        <f>'Asset Prices'!AA215/'Asset Prices'!AA216-1</f>
        <v>0.13513513513513509</v>
      </c>
      <c r="AB215" s="1">
        <f>'Asset Prices'!AB215/'Asset Prices'!AB216-1</f>
        <v>0.19718309859154926</v>
      </c>
      <c r="AC215" s="1">
        <f>'Asset Prices'!AC215/'Asset Prices'!AC216-1</f>
        <v>0.26432943795214259</v>
      </c>
      <c r="AD215" s="1">
        <f>'Asset Prices'!AD215/'Asset Prices'!AD216-1</f>
        <v>3.8746438746438683E-2</v>
      </c>
      <c r="AE215" s="1">
        <f>'Asset Prices'!AE215/'Asset Prices'!AE216-1</f>
        <v>-0.13578274760383391</v>
      </c>
      <c r="AF215" s="1">
        <f>'Asset Prices'!AF215/'Asset Prices'!AF216-1</f>
        <v>1.6295025728988E-2</v>
      </c>
      <c r="AG215" s="1">
        <f>'Asset Prices'!AG215/'Asset Prices'!AG216-1</f>
        <v>2.5220680958386588E-3</v>
      </c>
      <c r="AH215" s="1">
        <f>'Asset Prices'!AH215/'Asset Prices'!AH216-1</f>
        <v>-1.1229314420803771E-2</v>
      </c>
      <c r="AI215" s="1">
        <f>'Asset Prices'!AI215/'Asset Prices'!AI216-1</f>
        <v>6.2068965517241503E-2</v>
      </c>
      <c r="AJ215" s="1">
        <f>'Asset Prices'!AJ215/'Asset Prices'!AJ216-1</f>
        <v>2.3333333333333206E-2</v>
      </c>
      <c r="AK215" s="1">
        <f>'Asset Prices'!AK215/'Asset Prices'!AK216-1</f>
        <v>1.8570102135562205E-3</v>
      </c>
      <c r="AL215" s="1">
        <f>'Asset Prices'!AL215/'Asset Prices'!AL216-1</f>
        <v>-1.5166708448232757E-2</v>
      </c>
      <c r="AM215" s="1">
        <f>'Asset Prices'!AM215/'Asset Prices'!AM216-1</f>
        <v>-5.2813580635020507E-2</v>
      </c>
      <c r="AN215" s="1">
        <f>'Asset Prices'!AN215/'Asset Prices'!AN216-1</f>
        <v>-1.0371906949177001E-3</v>
      </c>
      <c r="AO215" s="1">
        <f>'Asset Prices'!AO215/'Asset Prices'!AO216-1</f>
        <v>3.0514385353095363E-3</v>
      </c>
      <c r="AP215" s="1">
        <f>'Asset Prices'!AP215/'Asset Prices'!AP216-1</f>
        <v>6.3315182980878681E-3</v>
      </c>
      <c r="AQ215" s="1">
        <f>'Asset Prices'!AQ215/'Asset Prices'!AQ216-1</f>
        <v>1.9099590723056004E-2</v>
      </c>
      <c r="AR215" s="1">
        <f>'Asset Prices'!AR215/'Asset Prices'!AR216-1</f>
        <v>3.7174721189590976E-2</v>
      </c>
      <c r="AS215" s="1">
        <f>'Asset Prices'!AS215/'Asset Prices'!AS216-1</f>
        <v>3.735858984477769E-2</v>
      </c>
      <c r="AT215" s="1">
        <f>'Asset Prices'!AT215/'Asset Prices'!AT216-1</f>
        <v>7.5091575091574825E-3</v>
      </c>
      <c r="AU215" s="1">
        <f>'Asset Prices'!AU215/'Asset Prices'!AU216-1</f>
        <v>0</v>
      </c>
      <c r="AV215" s="1">
        <f>'Asset Prices'!AV215/'Asset Prices'!AV216-1</f>
        <v>-5.734504636408011E-3</v>
      </c>
      <c r="AW215" s="1">
        <f>'Asset Prices'!AW215/'Asset Prices'!AW216-1</f>
        <v>7.8641082101289506E-3</v>
      </c>
      <c r="AX215" s="1">
        <f>'Asset Prices'!AX215/'Asset Prices'!AX216-1</f>
        <v>1.1904761904761862E-2</v>
      </c>
      <c r="AY215" s="1">
        <f>'Asset Prices'!AY215/'Asset Prices'!AY216-1</f>
        <v>-2.1739130434781373E-3</v>
      </c>
      <c r="AZ215" s="1">
        <f>'Asset Prices'!AZ215/'Asset Prices'!AZ216-1</f>
        <v>6.8900720325713039E-3</v>
      </c>
      <c r="BA215" s="1">
        <f>'Asset Prices'!BA215/'Asset Prices'!BA216-1</f>
        <v>0.16852146263910961</v>
      </c>
      <c r="BB215" s="1">
        <f>'Asset Prices'!BB215/'Asset Prices'!BB216-1</f>
        <v>-1.3071895424836444E-2</v>
      </c>
      <c r="BC215" s="1">
        <f>'Asset Prices'!BC215/'Asset Prices'!BC216-1</f>
        <v>-1.6507828454731199E-2</v>
      </c>
      <c r="BD215" s="1">
        <f>'Asset Prices'!BD215/'Asset Prices'!BD216-1</f>
        <v>-1.7421269263903416E-2</v>
      </c>
    </row>
    <row r="216" spans="3:56" x14ac:dyDescent="0.25">
      <c r="C216" s="38">
        <f>'Asset Prices'!C216</f>
        <v>42859</v>
      </c>
      <c r="D216" s="1">
        <f>'Asset Prices'!D216/'Asset Prices'!D217-1</f>
        <v>1.1135371179039399E-2</v>
      </c>
      <c r="E216" s="1">
        <f>'Asset Prices'!E216/'Asset Prices'!E217-1</f>
        <v>-4.0314226519337026E-2</v>
      </c>
      <c r="F216" s="1">
        <f>'Asset Prices'!F216/'Asset Prices'!F217-1</f>
        <v>-1.8027762754642129E-2</v>
      </c>
      <c r="G216" s="1">
        <f>'Asset Prices'!G216/'Asset Prices'!G217-1</f>
        <v>1.5635470180924704E-2</v>
      </c>
      <c r="H216" s="1">
        <f>'Asset Prices'!H216/'Asset Prices'!H217-1</f>
        <v>-3.2041293338527566E-2</v>
      </c>
      <c r="I216" s="1">
        <f>'Asset Prices'!I216/'Asset Prices'!I217-1</f>
        <v>2.1327014218009532E-2</v>
      </c>
      <c r="J216" s="1">
        <f>'Asset Prices'!J216/'Asset Prices'!J217-1</f>
        <v>1.9055567146533114E-2</v>
      </c>
      <c r="K216" s="1">
        <f>'Asset Prices'!K216/'Asset Prices'!K217-1</f>
        <v>2.0851934928896476E-2</v>
      </c>
      <c r="L216" s="1">
        <f>'Asset Prices'!L216/'Asset Prices'!L217-1</f>
        <v>2.7240658479226409E-2</v>
      </c>
      <c r="M216" s="1">
        <f>'Asset Prices'!M216/'Asset Prices'!M217-1</f>
        <v>7.9097700307602103E-3</v>
      </c>
      <c r="N216" s="1">
        <f>'Asset Prices'!N216/'Asset Prices'!N217-1</f>
        <v>7.0986269406802416E-2</v>
      </c>
      <c r="O216" s="1">
        <f>'Asset Prices'!O216/'Asset Prices'!O217-1</f>
        <v>-9.3127211771271146E-4</v>
      </c>
      <c r="P216" s="1">
        <f>'Asset Prices'!P216/'Asset Prices'!P217-1</f>
        <v>3.5893838419267965E-2</v>
      </c>
      <c r="Q216" s="1">
        <f>'Asset Prices'!Q216/'Asset Prices'!Q217-1</f>
        <v>0.18153051877758331</v>
      </c>
      <c r="R216" s="1">
        <f>'Asset Prices'!R216/'Asset Prices'!R217-1</f>
        <v>-4.6532240194991914E-3</v>
      </c>
      <c r="S216" s="1">
        <f>'Asset Prices'!S216/'Asset Prices'!S217-1</f>
        <v>9.4537815126050084E-3</v>
      </c>
      <c r="T216" s="1">
        <f>'Asset Prices'!T216/'Asset Prices'!T217-1</f>
        <v>1.1907248798830095E-2</v>
      </c>
      <c r="U216" s="1">
        <f>'Asset Prices'!U216/'Asset Prices'!U217-1</f>
        <v>-1.1824324324324342E-2</v>
      </c>
      <c r="V216" s="1">
        <f>'Asset Prices'!V216/'Asset Prices'!V217-1</f>
        <v>-2.6022304832713838E-2</v>
      </c>
      <c r="W216" s="1">
        <f>'Asset Prices'!W216/'Asset Prices'!W217-1</f>
        <v>-2.8271251193887403E-2</v>
      </c>
      <c r="X216" s="1">
        <f>'Asset Prices'!X216/'Asset Prices'!X217-1</f>
        <v>4.6457399103139174E-2</v>
      </c>
      <c r="Y216" s="1">
        <f>'Asset Prices'!Y216/'Asset Prices'!Y217-1</f>
        <v>-1.7282277181165928E-2</v>
      </c>
      <c r="Z216" s="1">
        <f>'Asset Prices'!Z216/'Asset Prices'!Z217-1</f>
        <v>4.1493775933609811E-3</v>
      </c>
      <c r="AA216" s="1">
        <f>'Asset Prices'!AA216/'Asset Prices'!AA217-1</f>
        <v>-2.1574973031284195E-3</v>
      </c>
      <c r="AB216" s="1">
        <f>'Asset Prices'!AB216/'Asset Prices'!AB217-1</f>
        <v>0</v>
      </c>
      <c r="AC216" s="1">
        <f>'Asset Prices'!AC216/'Asset Prices'!AC217-1</f>
        <v>-1.3179571663920919E-2</v>
      </c>
      <c r="AD216" s="1">
        <f>'Asset Prices'!AD216/'Asset Prices'!AD217-1</f>
        <v>4.2780748663101553E-2</v>
      </c>
      <c r="AE216" s="1">
        <f>'Asset Prices'!AE216/'Asset Prices'!AE217-1</f>
        <v>4.4123545928600461E-3</v>
      </c>
      <c r="AF216" s="1">
        <f>'Asset Prices'!AF216/'Asset Prices'!AF217-1</f>
        <v>-0.15045537340619308</v>
      </c>
      <c r="AG216" s="1">
        <f>'Asset Prices'!AG216/'Asset Prices'!AG217-1</f>
        <v>4.6174142480211122E-2</v>
      </c>
      <c r="AH216" s="1">
        <f>'Asset Prices'!AH216/'Asset Prices'!AH217-1</f>
        <v>-4.9009998039599711E-3</v>
      </c>
      <c r="AI216" s="1">
        <f>'Asset Prices'!AI216/'Asset Prices'!AI217-1</f>
        <v>-1.7781541066892559E-2</v>
      </c>
      <c r="AJ216" s="1">
        <f>'Asset Prices'!AJ216/'Asset Prices'!AJ217-1</f>
        <v>-4.4585987261146487E-2</v>
      </c>
      <c r="AK216" s="1">
        <f>'Asset Prices'!AK216/'Asset Prices'!AK217-1</f>
        <v>-2.7100271002710064E-2</v>
      </c>
      <c r="AL216" s="1">
        <f>'Asset Prices'!AL216/'Asset Prices'!AL217-1</f>
        <v>-7.0939639079028449E-3</v>
      </c>
      <c r="AM216" s="1">
        <f>'Asset Prices'!AM216/'Asset Prices'!AM217-1</f>
        <v>-7.9216566866265881E-3</v>
      </c>
      <c r="AN216" s="1">
        <f>'Asset Prices'!AN216/'Asset Prices'!AN217-1</f>
        <v>-2.880992834453866E-3</v>
      </c>
      <c r="AO216" s="1">
        <f>'Asset Prices'!AO216/'Asset Prices'!AO217-1</f>
        <v>-1.6927362331262019E-2</v>
      </c>
      <c r="AP216" s="1">
        <f>'Asset Prices'!AP216/'Asset Prices'!AP217-1</f>
        <v>0</v>
      </c>
      <c r="AQ216" s="1">
        <f>'Asset Prices'!AQ216/'Asset Prices'!AQ217-1</f>
        <v>2.1207430340557387E-2</v>
      </c>
      <c r="AR216" s="1">
        <f>'Asset Prices'!AR216/'Asset Prices'!AR217-1</f>
        <v>-1.9143117593436676E-2</v>
      </c>
      <c r="AS216" s="1">
        <f>'Asset Prices'!AS216/'Asset Prices'!AS217-1</f>
        <v>7.6882290562034772E-3</v>
      </c>
      <c r="AT216" s="1">
        <f>'Asset Prices'!AT216/'Asset Prices'!AT217-1</f>
        <v>2.1897810218978186E-2</v>
      </c>
      <c r="AU216" s="1">
        <f>'Asset Prices'!AU216/'Asset Prices'!AU217-1</f>
        <v>1.265406737880026E-2</v>
      </c>
      <c r="AV216" s="1">
        <f>'Asset Prices'!AV216/'Asset Prices'!AV217-1</f>
        <v>-1.4074341392998901E-2</v>
      </c>
      <c r="AW216" s="1">
        <f>'Asset Prices'!AW216/'Asset Prices'!AW217-1</f>
        <v>5.1778329197683881E-2</v>
      </c>
      <c r="AX216" s="1">
        <f>'Asset Prices'!AX216/'Asset Prices'!AX217-1</f>
        <v>0.14698795180722901</v>
      </c>
      <c r="AY216" s="1">
        <f>'Asset Prices'!AY216/'Asset Prices'!AY217-1</f>
        <v>-8.6206896551723755E-3</v>
      </c>
      <c r="AZ216" s="1">
        <f>'Asset Prices'!AZ216/'Asset Prices'!AZ217-1</f>
        <v>-4.0548970679975538E-3</v>
      </c>
      <c r="BA216" s="1">
        <f>'Asset Prices'!BA216/'Asset Prices'!BA217-1</f>
        <v>0</v>
      </c>
      <c r="BB216" s="1">
        <f>'Asset Prices'!BB216/'Asset Prices'!BB217-1</f>
        <v>-1.1627906976744207E-2</v>
      </c>
      <c r="BC216" s="1">
        <f>'Asset Prices'!BC216/'Asset Prices'!BC217-1</f>
        <v>5.1317139924735855E-3</v>
      </c>
      <c r="BD216" s="1">
        <f>'Asset Prices'!BD216/'Asset Prices'!BD217-1</f>
        <v>7.5679571663920919E-2</v>
      </c>
    </row>
    <row r="217" spans="3:56" x14ac:dyDescent="0.25">
      <c r="C217" s="38">
        <f>'Asset Prices'!C217</f>
        <v>42852</v>
      </c>
      <c r="D217" s="1">
        <f>'Asset Prices'!D217/'Asset Prices'!D218-1</f>
        <v>4.9369171695006209E-3</v>
      </c>
      <c r="E217" s="1">
        <f>'Asset Prices'!E217/'Asset Prices'!E218-1</f>
        <v>9.1471382524610512E-3</v>
      </c>
      <c r="F217" s="1">
        <f>'Asset Prices'!F217/'Asset Prices'!F218-1</f>
        <v>-1.6489361702127669E-2</v>
      </c>
      <c r="G217" s="1">
        <f>'Asset Prices'!G217/'Asset Prices'!G218-1</f>
        <v>5.3896249719291855E-3</v>
      </c>
      <c r="H217" s="1">
        <f>'Asset Prices'!H217/'Asset Prices'!H218-1</f>
        <v>8.4724276357490025E-2</v>
      </c>
      <c r="I217" s="1">
        <f>'Asset Prices'!I217/'Asset Prices'!I218-1</f>
        <v>2.7121001390820521E-2</v>
      </c>
      <c r="J217" s="1">
        <f>'Asset Prices'!J217/'Asset Prices'!J218-1</f>
        <v>9.4776748104463682E-3</v>
      </c>
      <c r="K217" s="1">
        <f>'Asset Prices'!K217/'Asset Prices'!K218-1</f>
        <v>1.8091922931955828E-2</v>
      </c>
      <c r="L217" s="1">
        <f>'Asset Prices'!L217/'Asset Prices'!L218-1</f>
        <v>8.4289559427680905E-2</v>
      </c>
      <c r="M217" s="1">
        <f>'Asset Prices'!M217/'Asset Prices'!M218-1</f>
        <v>4.229007633587778E-2</v>
      </c>
      <c r="N217" s="1">
        <f>'Asset Prices'!N217/'Asset Prices'!N218-1</f>
        <v>3.6461724490745029E-2</v>
      </c>
      <c r="O217" s="1">
        <f>'Asset Prices'!O217/'Asset Prices'!O218-1</f>
        <v>-1.3051470588235303E-2</v>
      </c>
      <c r="P217" s="1">
        <f>'Asset Prices'!P217/'Asset Prices'!P218-1</f>
        <v>-1.0928013876842946E-2</v>
      </c>
      <c r="Q217" s="1">
        <f>'Asset Prices'!Q217/'Asset Prices'!Q218-1</f>
        <v>1.0263312862791363E-2</v>
      </c>
      <c r="R217" s="1">
        <f>'Asset Prices'!R217/'Asset Prices'!R218-1</f>
        <v>1.0750279955207276E-2</v>
      </c>
      <c r="S217" s="1">
        <f>'Asset Prices'!S217/'Asset Prices'!S218-1</f>
        <v>7.4074074074075291E-3</v>
      </c>
      <c r="T217" s="1">
        <f>'Asset Prices'!T217/'Asset Prices'!T218-1</f>
        <v>3.2014659911609344E-2</v>
      </c>
      <c r="U217" s="1">
        <f>'Asset Prices'!U217/'Asset Prices'!U218-1</f>
        <v>2.4753332179331844E-2</v>
      </c>
      <c r="V217" s="1">
        <f>'Asset Prices'!V217/'Asset Prices'!V218-1</f>
        <v>-1.5031798034303323E-2</v>
      </c>
      <c r="W217" s="1">
        <f>'Asset Prices'!W217/'Asset Prices'!W218-1</f>
        <v>3.60182070057391E-2</v>
      </c>
      <c r="X217" s="1">
        <f>'Asset Prices'!X217/'Asset Prices'!X218-1</f>
        <v>-3.5746201966041502E-3</v>
      </c>
      <c r="Y217" s="1">
        <f>'Asset Prices'!Y217/'Asset Prices'!Y218-1</f>
        <v>5.0364833624241045E-2</v>
      </c>
      <c r="Z217" s="1">
        <f>'Asset Prices'!Z217/'Asset Prices'!Z218-1</f>
        <v>4.3290043290043378E-2</v>
      </c>
      <c r="AA217" s="1">
        <f>'Asset Prices'!AA217/'Asset Prices'!AA218-1</f>
        <v>2.2050716648291058E-2</v>
      </c>
      <c r="AB217" s="1">
        <f>'Asset Prices'!AB217/'Asset Prices'!AB218-1</f>
        <v>7.0921985815601829E-3</v>
      </c>
      <c r="AC217" s="1">
        <f>'Asset Prices'!AC217/'Asset Prices'!AC218-1</f>
        <v>4.4151376146788879E-2</v>
      </c>
      <c r="AD217" s="1">
        <f>'Asset Prices'!AD217/'Asset Prices'!AD218-1</f>
        <v>4.4692737430167773E-2</v>
      </c>
      <c r="AE217" s="1">
        <f>'Asset Prices'!AE217/'Asset Prices'!AE218-1</f>
        <v>7.0416487762988478E-2</v>
      </c>
      <c r="AF217" s="1">
        <f>'Asset Prices'!AF217/'Asset Prices'!AF218-1</f>
        <v>1.2915129151291449E-2</v>
      </c>
      <c r="AG217" s="1">
        <f>'Asset Prices'!AG217/'Asset Prices'!AG218-1</f>
        <v>3.2697547683923522E-2</v>
      </c>
      <c r="AH217" s="1">
        <f>'Asset Prices'!AH217/'Asset Prices'!AH218-1</f>
        <v>-1.6010802469135887E-2</v>
      </c>
      <c r="AI217" s="1">
        <f>'Asset Prices'!AI217/'Asset Prices'!AI218-1</f>
        <v>5.2819255627368111E-2</v>
      </c>
      <c r="AJ217" s="1">
        <f>'Asset Prices'!AJ217/'Asset Prices'!AJ218-1</f>
        <v>-4.5592705167173286E-2</v>
      </c>
      <c r="AK217" s="1">
        <f>'Asset Prices'!AK217/'Asset Prices'!AK218-1</f>
        <v>3.5063113604488105E-2</v>
      </c>
      <c r="AL217" s="1">
        <f>'Asset Prices'!AL217/'Asset Prices'!AL218-1</f>
        <v>4.9806997883194981E-4</v>
      </c>
      <c r="AM217" s="1">
        <f>'Asset Prices'!AM217/'Asset Prices'!AM218-1</f>
        <v>-1.219963031423299E-2</v>
      </c>
      <c r="AN217" s="1">
        <f>'Asset Prices'!AN217/'Asset Prices'!AN218-1</f>
        <v>1.9659536004820843E-2</v>
      </c>
      <c r="AO217" s="1">
        <f>'Asset Prices'!AO217/'Asset Prices'!AO218-1</f>
        <v>-3.5942986986159831E-2</v>
      </c>
      <c r="AP217" s="1">
        <f>'Asset Prices'!AP217/'Asset Prices'!AP218-1</f>
        <v>1.023410515543044E-2</v>
      </c>
      <c r="AQ217" s="1">
        <f>'Asset Prices'!AQ217/'Asset Prices'!AQ218-1</f>
        <v>4.1431565371594203E-2</v>
      </c>
      <c r="AR217" s="1">
        <f>'Asset Prices'!AR217/'Asset Prices'!AR218-1</f>
        <v>-2.2572022572022399E-2</v>
      </c>
      <c r="AS217" s="1">
        <f>'Asset Prices'!AS217/'Asset Prices'!AS218-1</f>
        <v>1.7259978425026912E-2</v>
      </c>
      <c r="AT217" s="1">
        <f>'Asset Prices'!AT217/'Asset Prices'!AT218-1</f>
        <v>1.8684461391801577E-2</v>
      </c>
      <c r="AU217" s="1">
        <f>'Asset Prices'!AU217/'Asset Prices'!AU218-1</f>
        <v>-1.8812147272238677E-2</v>
      </c>
      <c r="AV217" s="1">
        <f>'Asset Prices'!AV217/'Asset Prices'!AV218-1</f>
        <v>4.4740480080432299E-2</v>
      </c>
      <c r="AW217" s="1">
        <f>'Asset Prices'!AW217/'Asset Prices'!AW218-1</f>
        <v>1.613716591023695E-2</v>
      </c>
      <c r="AX217" s="1">
        <f>'Asset Prices'!AX217/'Asset Prices'!AX218-1</f>
        <v>2.4691358024691246E-2</v>
      </c>
      <c r="AY217" s="1">
        <f>'Asset Prices'!AY217/'Asset Prices'!AY218-1</f>
        <v>2.428256070640189E-2</v>
      </c>
      <c r="AZ217" s="1">
        <f>'Asset Prices'!AZ217/'Asset Prices'!AZ218-1</f>
        <v>6.7066067565318743E-2</v>
      </c>
      <c r="BA217" s="1">
        <f>'Asset Prices'!BA217/'Asset Prices'!BA218-1</f>
        <v>2.9459901800327204E-2</v>
      </c>
      <c r="BB217" s="1">
        <f>'Asset Prices'!BB217/'Asset Prices'!BB218-1</f>
        <v>9.4189247935081433E-3</v>
      </c>
      <c r="BC217" s="1">
        <f>'Asset Prices'!BC217/'Asset Prices'!BC218-1</f>
        <v>-9.1389493316754722E-2</v>
      </c>
      <c r="BD217" s="1">
        <f>'Asset Prices'!BD217/'Asset Prices'!BD218-1</f>
        <v>2.1133424455893168E-2</v>
      </c>
    </row>
    <row r="218" spans="3:56" x14ac:dyDescent="0.25">
      <c r="C218" s="38">
        <f>'Asset Prices'!C218</f>
        <v>42845</v>
      </c>
      <c r="D218" s="1">
        <f>'Asset Prices'!D218/'Asset Prices'!D219-1</f>
        <v>2.5655451783503924E-2</v>
      </c>
      <c r="E218" s="1">
        <f>'Asset Prices'!E218/'Asset Prices'!E219-1</f>
        <v>1.4045936395759684E-2</v>
      </c>
      <c r="F218" s="1">
        <f>'Asset Prices'!F218/'Asset Prices'!F219-1</f>
        <v>1.9154318756776201E-2</v>
      </c>
      <c r="G218" s="1">
        <f>'Asset Prices'!G218/'Asset Prices'!G219-1</f>
        <v>1.204545454545447E-2</v>
      </c>
      <c r="H218" s="1">
        <f>'Asset Prices'!H218/'Asset Prices'!H219-1</f>
        <v>1.6756176154672398E-2</v>
      </c>
      <c r="I218" s="1">
        <f>'Asset Prices'!I218/'Asset Prices'!I219-1</f>
        <v>3.1637850634909537E-2</v>
      </c>
      <c r="J218" s="1">
        <f>'Asset Prices'!J218/'Asset Prices'!J219-1</f>
        <v>9.8546614675645294E-3</v>
      </c>
      <c r="K218" s="1">
        <f>'Asset Prices'!K218/'Asset Prices'!K219-1</f>
        <v>1.965704726056039E-2</v>
      </c>
      <c r="L218" s="1">
        <f>'Asset Prices'!L218/'Asset Prices'!L219-1</f>
        <v>-1.2174643157010778E-2</v>
      </c>
      <c r="M218" s="1">
        <f>'Asset Prices'!M218/'Asset Prices'!M219-1</f>
        <v>8.4680523479598868E-3</v>
      </c>
      <c r="N218" s="1">
        <f>'Asset Prices'!N218/'Asset Prices'!N219-1</f>
        <v>2.3685400747458951E-2</v>
      </c>
      <c r="O218" s="1">
        <f>'Asset Prices'!O218/'Asset Prices'!O219-1</f>
        <v>5.5452865064693491E-3</v>
      </c>
      <c r="P218" s="1">
        <f>'Asset Prices'!P218/'Asset Prices'!P219-1</f>
        <v>2.3675643681562608E-2</v>
      </c>
      <c r="Q218" s="1">
        <f>'Asset Prices'!Q218/'Asset Prices'!Q219-1</f>
        <v>4.5194759518156991E-2</v>
      </c>
      <c r="R218" s="1">
        <f>'Asset Prices'!R218/'Asset Prices'!R219-1</f>
        <v>-3.7929495760821164E-3</v>
      </c>
      <c r="S218" s="1">
        <f>'Asset Prices'!S218/'Asset Prices'!S219-1</f>
        <v>5.8541777541245565E-3</v>
      </c>
      <c r="T218" s="1">
        <f>'Asset Prices'!T218/'Asset Prices'!T219-1</f>
        <v>1.3326051338066636E-2</v>
      </c>
      <c r="U218" s="1">
        <f>'Asset Prices'!U218/'Asset Prices'!U219-1</f>
        <v>3.3452593917710383E-2</v>
      </c>
      <c r="V218" s="1">
        <f>'Asset Prices'!V218/'Asset Prices'!V219-1</f>
        <v>1.9308746862329862E-3</v>
      </c>
      <c r="W218" s="1">
        <f>'Asset Prices'!W218/'Asset Prices'!W219-1</f>
        <v>4.6819970996478055E-2</v>
      </c>
      <c r="X218" s="1">
        <f>'Asset Prices'!X218/'Asset Prices'!X219-1</f>
        <v>3.0197017123918313E-2</v>
      </c>
      <c r="Y218" s="1">
        <f>'Asset Prices'!Y218/'Asset Prices'!Y219-1</f>
        <v>-8.9947090086118786E-3</v>
      </c>
      <c r="Z218" s="1">
        <f>'Asset Prices'!Z218/'Asset Prices'!Z219-1</f>
        <v>5.0000000000000044E-2</v>
      </c>
      <c r="AA218" s="1">
        <f>'Asset Prices'!AA218/'Asset Prices'!AA219-1</f>
        <v>4.0137614678898981E-2</v>
      </c>
      <c r="AB218" s="1">
        <f>'Asset Prices'!AB218/'Asset Prices'!AB219-1</f>
        <v>1.8050541516245522E-2</v>
      </c>
      <c r="AC218" s="1">
        <f>'Asset Prices'!AC218/'Asset Prices'!AC219-1</f>
        <v>7.6543209876543283E-2</v>
      </c>
      <c r="AD218" s="1">
        <f>'Asset Prices'!AD218/'Asset Prices'!AD219-1</f>
        <v>7.4238719715492341E-2</v>
      </c>
      <c r="AE218" s="1">
        <f>'Asset Prices'!AE218/'Asset Prices'!AE219-1</f>
        <v>4.9887302779864973E-2</v>
      </c>
      <c r="AF218" s="1">
        <f>'Asset Prices'!AF218/'Asset Prices'!AF219-1</f>
        <v>-1.310997815003645E-2</v>
      </c>
      <c r="AG218" s="1">
        <f>'Asset Prices'!AG218/'Asset Prices'!AG219-1</f>
        <v>0.10210210210210224</v>
      </c>
      <c r="AH218" s="1">
        <f>'Asset Prices'!AH218/'Asset Prices'!AH219-1</f>
        <v>4.3898509867096314E-2</v>
      </c>
      <c r="AI218" s="1">
        <f>'Asset Prices'!AI218/'Asset Prices'!AI219-1</f>
        <v>9.1461931403551411E-2</v>
      </c>
      <c r="AJ218" s="1">
        <f>'Asset Prices'!AJ218/'Asset Prices'!AJ219-1</f>
        <v>5.4487179487179516E-2</v>
      </c>
      <c r="AK218" s="1">
        <f>'Asset Prices'!AK218/'Asset Prices'!AK219-1</f>
        <v>3.183791606367592E-2</v>
      </c>
      <c r="AL218" s="1">
        <f>'Asset Prices'!AL218/'Asset Prices'!AL219-1</f>
        <v>0</v>
      </c>
      <c r="AM218" s="1">
        <f>'Asset Prices'!AM218/'Asset Prices'!AM219-1</f>
        <v>-4.2647319058573663E-2</v>
      </c>
      <c r="AN218" s="1">
        <f>'Asset Prices'!AN218/'Asset Prices'!AN219-1</f>
        <v>2.1780958977910991E-2</v>
      </c>
      <c r="AO218" s="1">
        <f>'Asset Prices'!AO218/'Asset Prices'!AO219-1</f>
        <v>-4.3192102015631173E-3</v>
      </c>
      <c r="AP218" s="1">
        <f>'Asset Prices'!AP218/'Asset Prices'!AP219-1</f>
        <v>1.7706027860955542E-2</v>
      </c>
      <c r="AQ218" s="1">
        <f>'Asset Prices'!AQ218/'Asset Prices'!AQ219-1</f>
        <v>4.2696251470835334E-2</v>
      </c>
      <c r="AR218" s="1">
        <f>'Asset Prices'!AR218/'Asset Prices'!AR219-1</f>
        <v>-2.4057971014492807E-2</v>
      </c>
      <c r="AS218" s="1">
        <f>'Asset Prices'!AS218/'Asset Prices'!AS219-1</f>
        <v>-1.5662330767188815E-2</v>
      </c>
      <c r="AT218" s="1">
        <f>'Asset Prices'!AT218/'Asset Prices'!AT219-1</f>
        <v>1.0597302504816941E-2</v>
      </c>
      <c r="AU218" s="1">
        <f>'Asset Prices'!AU218/'Asset Prices'!AU219-1</f>
        <v>1.894955912152918E-2</v>
      </c>
      <c r="AV218" s="1">
        <f>'Asset Prices'!AV218/'Asset Prices'!AV219-1</f>
        <v>4.0674862673293122E-2</v>
      </c>
      <c r="AW218" s="1">
        <f>'Asset Prices'!AW218/'Asset Prices'!AW219-1</f>
        <v>3.0308278489781681E-2</v>
      </c>
      <c r="AX218" s="1">
        <f>'Asset Prices'!AX218/'Asset Prices'!AX219-1</f>
        <v>1.2499999999999956E-2</v>
      </c>
      <c r="AY218" s="1">
        <f>'Asset Prices'!AY218/'Asset Prices'!AY219-1</f>
        <v>4.6189376443418029E-2</v>
      </c>
      <c r="AZ218" s="1">
        <f>'Asset Prices'!AZ218/'Asset Prices'!AZ219-1</f>
        <v>3.5498879889712232E-2</v>
      </c>
      <c r="BA218" s="1">
        <f>'Asset Prices'!BA218/'Asset Prices'!BA219-1</f>
        <v>5.5267702936096619E-2</v>
      </c>
      <c r="BB218" s="1">
        <f>'Asset Prices'!BB218/'Asset Prices'!BB219-1</f>
        <v>1.1580181764878406E-2</v>
      </c>
      <c r="BC218" s="1">
        <f>'Asset Prices'!BC218/'Asset Prices'!BC219-1</f>
        <v>5.7875698783294904E-2</v>
      </c>
      <c r="BD218" s="1">
        <f>'Asset Prices'!BD218/'Asset Prices'!BD219-1</f>
        <v>2.6219249028916591E-2</v>
      </c>
    </row>
    <row r="219" spans="3:56" x14ac:dyDescent="0.25">
      <c r="C219" s="38">
        <f>'Asset Prices'!C219</f>
        <v>42838</v>
      </c>
      <c r="D219" s="1">
        <f>'Asset Prices'!D219/'Asset Prices'!D220-1</f>
        <v>-2.4694129531933617E-3</v>
      </c>
      <c r="E219" s="1">
        <f>'Asset Prices'!E219/'Asset Prices'!E220-1</f>
        <v>1.3268465280849018E-3</v>
      </c>
      <c r="F219" s="1">
        <f>'Asset Prices'!F219/'Asset Prices'!F220-1</f>
        <v>3.6271309394269036E-3</v>
      </c>
      <c r="G219" s="1">
        <f>'Asset Prices'!G219/'Asset Prices'!G220-1</f>
        <v>-4.0742417383431428E-3</v>
      </c>
      <c r="H219" s="1">
        <f>'Asset Prices'!H219/'Asset Prices'!H220-1</f>
        <v>-2.8386558129826711E-2</v>
      </c>
      <c r="I219" s="1">
        <f>'Asset Prices'!I219/'Asset Prices'!I220-1</f>
        <v>-1.2608911241765219E-2</v>
      </c>
      <c r="J219" s="1">
        <f>'Asset Prices'!J219/'Asset Prices'!J220-1</f>
        <v>-1.8167896422107699E-2</v>
      </c>
      <c r="K219" s="1">
        <f>'Asset Prices'!K219/'Asset Prices'!K220-1</f>
        <v>-1.5151177806474569E-2</v>
      </c>
      <c r="L219" s="1">
        <f>'Asset Prices'!L219/'Asset Prices'!L220-1</f>
        <v>-5.7047446778908384E-3</v>
      </c>
      <c r="M219" s="1">
        <f>'Asset Prices'!M219/'Asset Prices'!M220-1</f>
        <v>-1.186672752167961E-2</v>
      </c>
      <c r="N219" s="1">
        <f>'Asset Prices'!N219/'Asset Prices'!N220-1</f>
        <v>-5.8159141871624298E-3</v>
      </c>
      <c r="O219" s="1">
        <f>'Asset Prices'!O219/'Asset Prices'!O220-1</f>
        <v>-6.2454077883907777E-3</v>
      </c>
      <c r="P219" s="1">
        <f>'Asset Prices'!P219/'Asset Prices'!P220-1</f>
        <v>-1.6417302206439E-2</v>
      </c>
      <c r="Q219" s="1">
        <f>'Asset Prices'!Q219/'Asset Prices'!Q220-1</f>
        <v>-1.2674711346471024E-2</v>
      </c>
      <c r="R219" s="1">
        <f>'Asset Prices'!R219/'Asset Prices'!R220-1</f>
        <v>5.1581071989235117E-3</v>
      </c>
      <c r="S219" s="1">
        <f>'Asset Prices'!S219/'Asset Prices'!S220-1</f>
        <v>4.5442395081529696E-3</v>
      </c>
      <c r="T219" s="1">
        <f>'Asset Prices'!T219/'Asset Prices'!T220-1</f>
        <v>-2.397297591805625E-3</v>
      </c>
      <c r="U219" s="1">
        <f>'Asset Prices'!U219/'Asset Prices'!U220-1</f>
        <v>-1.3761467889908285E-2</v>
      </c>
      <c r="V219" s="1">
        <f>'Asset Prices'!V219/'Asset Prices'!V220-1</f>
        <v>1.7285405617756711E-2</v>
      </c>
      <c r="W219" s="1">
        <f>'Asset Prices'!W219/'Asset Prices'!W220-1</f>
        <v>5.8345488643467558E-3</v>
      </c>
      <c r="X219" s="1">
        <f>'Asset Prices'!X219/'Asset Prices'!X220-1</f>
        <v>1.7422255526414299E-2</v>
      </c>
      <c r="Y219" s="1">
        <f>'Asset Prices'!Y219/'Asset Prices'!Y220-1</f>
        <v>2.0151133479246353E-2</v>
      </c>
      <c r="Z219" s="1">
        <f>'Asset Prices'!Z219/'Asset Prices'!Z220-1</f>
        <v>-1.3452914798206317E-2</v>
      </c>
      <c r="AA219" s="1">
        <f>'Asset Prices'!AA219/'Asset Prices'!AA220-1</f>
        <v>6.9284064665127154E-3</v>
      </c>
      <c r="AB219" s="1">
        <f>'Asset Prices'!AB219/'Asset Prices'!AB220-1</f>
        <v>-1.0714285714285676E-2</v>
      </c>
      <c r="AC219" s="1">
        <f>'Asset Prices'!AC219/'Asset Prices'!AC220-1</f>
        <v>-3.7433155080213942E-2</v>
      </c>
      <c r="AD219" s="1">
        <f>'Asset Prices'!AD219/'Asset Prices'!AD220-1</f>
        <v>-5.1244200759173353E-2</v>
      </c>
      <c r="AE219" s="1">
        <f>'Asset Prices'!AE219/'Asset Prices'!AE220-1</f>
        <v>-1.0261748958952932E-2</v>
      </c>
      <c r="AF219" s="1">
        <f>'Asset Prices'!AF219/'Asset Prices'!AF220-1</f>
        <v>-5.9266872216512501E-2</v>
      </c>
      <c r="AG219" s="1">
        <f>'Asset Prices'!AG219/'Asset Prices'!AG220-1</f>
        <v>-1.4992503748126884E-3</v>
      </c>
      <c r="AH219" s="1">
        <f>'Asset Prices'!AH219/'Asset Prices'!AH220-1</f>
        <v>-6.0374320788891822E-4</v>
      </c>
      <c r="AI219" s="1">
        <f>'Asset Prices'!AI219/'Asset Prices'!AI220-1</f>
        <v>-8.236607142857133E-2</v>
      </c>
      <c r="AJ219" s="1">
        <f>'Asset Prices'!AJ219/'Asset Prices'!AJ220-1</f>
        <v>-6.3694267515923553E-3</v>
      </c>
      <c r="AK219" s="1">
        <f>'Asset Prices'!AK219/'Asset Prices'!AK220-1</f>
        <v>-8.6083213773313627E-3</v>
      </c>
      <c r="AL219" s="1">
        <f>'Asset Prices'!AL219/'Asset Prices'!AL220-1</f>
        <v>-1.8642803877702008E-3</v>
      </c>
      <c r="AM219" s="1">
        <f>'Asset Prices'!AM219/'Asset Prices'!AM220-1</f>
        <v>-1.6932444186720685E-2</v>
      </c>
      <c r="AN219" s="1">
        <f>'Asset Prices'!AN219/'Asset Prices'!AN220-1</f>
        <v>-6.9550596147966992E-3</v>
      </c>
      <c r="AO219" s="1">
        <f>'Asset Prices'!AO219/'Asset Prices'!AO220-1</f>
        <v>3.923188106545572E-3</v>
      </c>
      <c r="AP219" s="1">
        <f>'Asset Prices'!AP219/'Asset Prices'!AP220-1</f>
        <v>1.3020833333343695E-4</v>
      </c>
      <c r="AQ219" s="1">
        <f>'Asset Prices'!AQ219/'Asset Prices'!AQ220-1</f>
        <v>-2.3633677991137358E-2</v>
      </c>
      <c r="AR219" s="1">
        <f>'Asset Prices'!AR219/'Asset Prices'!AR220-1</f>
        <v>9.6575943810359721E-3</v>
      </c>
      <c r="AS219" s="1">
        <f>'Asset Prices'!AS219/'Asset Prices'!AS220-1</f>
        <v>-3.3110882956878807E-2</v>
      </c>
      <c r="AT219" s="1">
        <f>'Asset Prices'!AT219/'Asset Prices'!AT220-1</f>
        <v>5.034856700232293E-3</v>
      </c>
      <c r="AU219" s="1">
        <f>'Asset Prices'!AU219/'Asset Prices'!AU220-1</f>
        <v>-4.4165757906216019E-3</v>
      </c>
      <c r="AV219" s="1">
        <f>'Asset Prices'!AV219/'Asset Prices'!AV220-1</f>
        <v>-2.0371556694426696E-2</v>
      </c>
      <c r="AW219" s="1">
        <f>'Asset Prices'!AW219/'Asset Prices'!AW220-1</f>
        <v>-2.7633851468047421E-3</v>
      </c>
      <c r="AX219" s="1">
        <f>'Asset Prices'!AX219/'Asset Prices'!AX220-1</f>
        <v>-2.9126213592232997E-2</v>
      </c>
      <c r="AY219" s="1">
        <f>'Asset Prices'!AY219/'Asset Prices'!AY220-1</f>
        <v>-2.6966292134831371E-2</v>
      </c>
      <c r="AZ219" s="1">
        <f>'Asset Prices'!AZ219/'Asset Prices'!AZ220-1</f>
        <v>-5.4578038449006216E-2</v>
      </c>
      <c r="BA219" s="1">
        <f>'Asset Prices'!BA219/'Asset Prices'!BA220-1</f>
        <v>3.4662045060658286E-3</v>
      </c>
      <c r="BB219" s="1">
        <f>'Asset Prices'!BB219/'Asset Prices'!BB220-1</f>
        <v>-4.2329586921617812E-3</v>
      </c>
      <c r="BC219" s="1">
        <f>'Asset Prices'!BC219/'Asset Prices'!BC220-1</f>
        <v>-3.5215736040609014E-2</v>
      </c>
      <c r="BD219" s="1">
        <f>'Asset Prices'!BD219/'Asset Prices'!BD220-1</f>
        <v>-2.2259732039244584E-2</v>
      </c>
    </row>
    <row r="220" spans="3:56" x14ac:dyDescent="0.25">
      <c r="C220" s="38">
        <f>'Asset Prices'!C220</f>
        <v>42831</v>
      </c>
      <c r="D220" s="1">
        <f>'Asset Prices'!D220/'Asset Prices'!D221-1</f>
        <v>8.9877541849237019E-4</v>
      </c>
      <c r="E220" s="1">
        <f>'Asset Prices'!E220/'Asset Prices'!E221-1</f>
        <v>-1.1486128291218201E-3</v>
      </c>
      <c r="F220" s="1">
        <f>'Asset Prices'!F220/'Asset Prices'!F221-1</f>
        <v>-1.6059957173447548E-2</v>
      </c>
      <c r="G220" s="1">
        <f>'Asset Prices'!G220/'Asset Prices'!G221-1</f>
        <v>-1.1190689346463722E-2</v>
      </c>
      <c r="H220" s="1">
        <f>'Asset Prices'!H220/'Asset Prices'!H221-1</f>
        <v>2.7891010512765435E-2</v>
      </c>
      <c r="I220" s="1">
        <f>'Asset Prices'!I220/'Asset Prices'!I221-1</f>
        <v>-8.7072537040938647E-3</v>
      </c>
      <c r="J220" s="1">
        <f>'Asset Prices'!J220/'Asset Prices'!J221-1</f>
        <v>-1.875911901618954E-3</v>
      </c>
      <c r="K220" s="1">
        <f>'Asset Prices'!K220/'Asset Prices'!K221-1</f>
        <v>2.5035944952872091E-2</v>
      </c>
      <c r="L220" s="1">
        <f>'Asset Prices'!L220/'Asset Prices'!L221-1</f>
        <v>-2.9177360529515028E-2</v>
      </c>
      <c r="M220" s="1">
        <f>'Asset Prices'!M220/'Asset Prices'!M221-1</f>
        <v>3.0436767615293903E-4</v>
      </c>
      <c r="N220" s="1">
        <f>'Asset Prices'!N220/'Asset Prices'!N221-1</f>
        <v>-5.1619814474737069E-3</v>
      </c>
      <c r="O220" s="1">
        <f>'Asset Prices'!O220/'Asset Prices'!O221-1</f>
        <v>-1.8365472910941705E-4</v>
      </c>
      <c r="P220" s="1">
        <f>'Asset Prices'!P220/'Asset Prices'!P221-1</f>
        <v>5.7436591972420681E-2</v>
      </c>
      <c r="Q220" s="1">
        <f>'Asset Prices'!Q220/'Asset Prices'!Q221-1</f>
        <v>1.0793260793260817E-2</v>
      </c>
      <c r="R220" s="1">
        <f>'Asset Prices'!R220/'Asset Prices'!R221-1</f>
        <v>6.3191153238546516E-3</v>
      </c>
      <c r="S220" s="1">
        <f>'Asset Prices'!S220/'Asset Prices'!S221-1</f>
        <v>4.5649838882919624E-3</v>
      </c>
      <c r="T220" s="1">
        <f>'Asset Prices'!T220/'Asset Prices'!T221-1</f>
        <v>-3.032544378698232E-2</v>
      </c>
      <c r="U220" s="1">
        <f>'Asset Prices'!U220/'Asset Prices'!U221-1</f>
        <v>-6.1371208136068445E-3</v>
      </c>
      <c r="V220" s="1">
        <f>'Asset Prices'!V220/'Asset Prices'!V221-1</f>
        <v>-7.6023391812864993E-3</v>
      </c>
      <c r="W220" s="1">
        <f>'Asset Prices'!W220/'Asset Prices'!W221-1</f>
        <v>-1.2348219798312465E-2</v>
      </c>
      <c r="X220" s="1">
        <f>'Asset Prices'!X220/'Asset Prices'!X221-1</f>
        <v>-8.3596507523684416E-3</v>
      </c>
      <c r="Y220" s="1">
        <f>'Asset Prices'!Y220/'Asset Prices'!Y221-1</f>
        <v>-1.4539007094033884E-2</v>
      </c>
      <c r="Z220" s="1">
        <f>'Asset Prices'!Z220/'Asset Prices'!Z221-1</f>
        <v>2.7649769585253559E-2</v>
      </c>
      <c r="AA220" s="1">
        <f>'Asset Prices'!AA220/'Asset Prices'!AA221-1</f>
        <v>-1.4789533560864765E-2</v>
      </c>
      <c r="AB220" s="1">
        <f>'Asset Prices'!AB220/'Asset Prices'!AB221-1</f>
        <v>-2.777777777777779E-2</v>
      </c>
      <c r="AC220" s="1">
        <f>'Asset Prices'!AC220/'Asset Prices'!AC221-1</f>
        <v>-2.9411764705882359E-2</v>
      </c>
      <c r="AD220" s="1">
        <f>'Asset Prices'!AD220/'Asset Prices'!AD221-1</f>
        <v>-2.1083702298119178E-4</v>
      </c>
      <c r="AE220" s="1">
        <f>'Asset Prices'!AE220/'Asset Prices'!AE221-1</f>
        <v>-2.2674418604651247E-2</v>
      </c>
      <c r="AF220" s="1">
        <f>'Asset Prices'!AF220/'Asset Prices'!AF221-1</f>
        <v>-5.4514480408858201E-3</v>
      </c>
      <c r="AG220" s="1">
        <f>'Asset Prices'!AG220/'Asset Prices'!AG221-1</f>
        <v>-1.9117647058823461E-2</v>
      </c>
      <c r="AH220" s="1">
        <f>'Asset Prices'!AH220/'Asset Prices'!AH221-1</f>
        <v>1.1604234527687218E-2</v>
      </c>
      <c r="AI220" s="1">
        <f>'Asset Prices'!AI220/'Asset Prices'!AI221-1</f>
        <v>-3.2188377619356223E-2</v>
      </c>
      <c r="AJ220" s="1">
        <f>'Asset Prices'!AJ220/'Asset Prices'!AJ221-1</f>
        <v>-7.1005917159763232E-2</v>
      </c>
      <c r="AK220" s="1">
        <f>'Asset Prices'!AK220/'Asset Prices'!AK221-1</f>
        <v>8.6830680173661801E-3</v>
      </c>
      <c r="AL220" s="1">
        <f>'Asset Prices'!AL220/'Asset Prices'!AL221-1</f>
        <v>1.2202792804126394E-2</v>
      </c>
      <c r="AM220" s="1">
        <f>'Asset Prices'!AM220/'Asset Prices'!AM221-1</f>
        <v>-8.1099735419304375E-3</v>
      </c>
      <c r="AN220" s="1">
        <f>'Asset Prices'!AN220/'Asset Prices'!AN221-1</f>
        <v>-8.4122773777944859E-3</v>
      </c>
      <c r="AO220" s="1">
        <f>'Asset Prices'!AO220/'Asset Prices'!AO221-1</f>
        <v>-1.2841418671015181E-2</v>
      </c>
      <c r="AP220" s="1">
        <f>'Asset Prices'!AP220/'Asset Prices'!AP221-1</f>
        <v>-3.7232042121098097E-2</v>
      </c>
      <c r="AQ220" s="1">
        <f>'Asset Prices'!AQ220/'Asset Prices'!AQ221-1</f>
        <v>-2.7298850574712707E-2</v>
      </c>
      <c r="AR220" s="1">
        <f>'Asset Prices'!AR220/'Asset Prices'!AR221-1</f>
        <v>3.7655633161251201E-2</v>
      </c>
      <c r="AS220" s="1">
        <f>'Asset Prices'!AS220/'Asset Prices'!AS221-1</f>
        <v>-1.5913109371053391E-2</v>
      </c>
      <c r="AT220" s="1">
        <f>'Asset Prices'!AT220/'Asset Prices'!AT221-1</f>
        <v>-7.3048827374087022E-3</v>
      </c>
      <c r="AU220" s="1">
        <f>'Asset Prices'!AU220/'Asset Prices'!AU221-1</f>
        <v>-1.6874421642806281E-3</v>
      </c>
      <c r="AV220" s="1">
        <f>'Asset Prices'!AV220/'Asset Prices'!AV221-1</f>
        <v>-1.7497482376636508E-2</v>
      </c>
      <c r="AW220" s="1">
        <f>'Asset Prices'!AW220/'Asset Prices'!AW221-1</f>
        <v>1.241475782479462E-2</v>
      </c>
      <c r="AX220" s="1">
        <f>'Asset Prices'!AX220/'Asset Prices'!AX221-1</f>
        <v>-3.5881435257410388E-2</v>
      </c>
      <c r="AY220" s="1">
        <f>'Asset Prices'!AY220/'Asset Prices'!AY221-1</f>
        <v>3.971962616822422E-2</v>
      </c>
      <c r="AZ220" s="1">
        <f>'Asset Prices'!AZ220/'Asset Prices'!AZ221-1</f>
        <v>1.6898608349900535E-2</v>
      </c>
      <c r="BA220" s="1">
        <f>'Asset Prices'!BA220/'Asset Prices'!BA221-1</f>
        <v>-2.0373514431239359E-2</v>
      </c>
      <c r="BB220" s="1">
        <f>'Asset Prices'!BB220/'Asset Prices'!BB221-1</f>
        <v>9.7273397199706402E-3</v>
      </c>
      <c r="BC220" s="1">
        <f>'Asset Prices'!BC220/'Asset Prices'!BC221-1</f>
        <v>-2.3241400681747737E-2</v>
      </c>
      <c r="BD220" s="1">
        <f>'Asset Prices'!BD220/'Asset Prices'!BD221-1</f>
        <v>-6.8105616093879773E-3</v>
      </c>
    </row>
    <row r="221" spans="3:56" x14ac:dyDescent="0.25">
      <c r="C221" s="38">
        <f>'Asset Prices'!C221</f>
        <v>42824</v>
      </c>
      <c r="D221" s="1">
        <f>'Asset Prices'!D221/'Asset Prices'!D222-1</f>
        <v>1.6880486158001862E-3</v>
      </c>
      <c r="E221" s="1">
        <f>'Asset Prices'!E221/'Asset Prices'!E222-1</f>
        <v>8.3749109052031478E-3</v>
      </c>
      <c r="F221" s="1">
        <f>'Asset Prices'!F221/'Asset Prices'!F222-1</f>
        <v>1.2100415387394037E-2</v>
      </c>
      <c r="G221" s="1">
        <f>'Asset Prices'!G221/'Asset Prices'!G222-1</f>
        <v>-6.006674082313701E-3</v>
      </c>
      <c r="H221" s="1">
        <f>'Asset Prices'!H221/'Asset Prices'!H222-1</f>
        <v>1.0734034479019883E-2</v>
      </c>
      <c r="I221" s="1">
        <f>'Asset Prices'!I221/'Asset Prices'!I222-1</f>
        <v>2.0640722425284919E-2</v>
      </c>
      <c r="J221" s="1">
        <f>'Asset Prices'!J221/'Asset Prices'!J222-1</f>
        <v>2.1359636673289994E-2</v>
      </c>
      <c r="K221" s="1">
        <f>'Asset Prices'!K221/'Asset Prices'!K222-1</f>
        <v>3.4175930515235153E-2</v>
      </c>
      <c r="L221" s="1">
        <f>'Asset Prices'!L221/'Asset Prices'!L222-1</f>
        <v>4.3852227862380078E-2</v>
      </c>
      <c r="M221" s="1">
        <f>'Asset Prices'!M221/'Asset Prices'!M222-1</f>
        <v>1.2948974872822427E-2</v>
      </c>
      <c r="N221" s="1">
        <f>'Asset Prices'!N221/'Asset Prices'!N222-1</f>
        <v>1.1707258976954682E-2</v>
      </c>
      <c r="O221" s="1">
        <f>'Asset Prices'!O221/'Asset Prices'!O222-1</f>
        <v>7.4005550416282873E-3</v>
      </c>
      <c r="P221" s="1">
        <f>'Asset Prices'!P221/'Asset Prices'!P222-1</f>
        <v>-1.7207472959684944E-3</v>
      </c>
      <c r="Q221" s="1">
        <f>'Asset Prices'!Q221/'Asset Prices'!Q222-1</f>
        <v>1.2527765437583271E-2</v>
      </c>
      <c r="R221" s="1">
        <f>'Asset Prices'!R221/'Asset Prices'!R222-1</f>
        <v>-6.0565275908478489E-3</v>
      </c>
      <c r="S221" s="1">
        <f>'Asset Prices'!S221/'Asset Prices'!S222-1</f>
        <v>-1.062699256110522E-2</v>
      </c>
      <c r="T221" s="1">
        <f>'Asset Prices'!T221/'Asset Prices'!T222-1</f>
        <v>1.6104788490444388E-2</v>
      </c>
      <c r="U221" s="1">
        <f>'Asset Prices'!U221/'Asset Prices'!U222-1</f>
        <v>2.5903939557474276E-2</v>
      </c>
      <c r="V221" s="1">
        <f>'Asset Prices'!V221/'Asset Prices'!V222-1</f>
        <v>8.651199370821816E-3</v>
      </c>
      <c r="W221" s="1">
        <f>'Asset Prices'!W221/'Asset Prices'!W222-1</f>
        <v>8.897355445988353E-2</v>
      </c>
      <c r="X221" s="1">
        <f>'Asset Prices'!X221/'Asset Prices'!X222-1</f>
        <v>2.7878556425434464E-2</v>
      </c>
      <c r="Y221" s="1">
        <f>'Asset Prices'!Y221/'Asset Prices'!Y222-1</f>
        <v>5.6179775295148282E-2</v>
      </c>
      <c r="Z221" s="1">
        <f>'Asset Prices'!Z221/'Asset Prices'!Z222-1</f>
        <v>-4.5871559633028358E-3</v>
      </c>
      <c r="AA221" s="1">
        <f>'Asset Prices'!AA221/'Asset Prices'!AA222-1</f>
        <v>5.2694610778443174E-2</v>
      </c>
      <c r="AB221" s="1">
        <f>'Asset Prices'!AB221/'Asset Prices'!AB222-1</f>
        <v>2.4911032028469782E-2</v>
      </c>
      <c r="AC221" s="1">
        <f>'Asset Prices'!AC221/'Asset Prices'!AC222-1</f>
        <v>4.3321299638989341E-2</v>
      </c>
      <c r="AD221" s="1">
        <f>'Asset Prices'!AD221/'Asset Prices'!AD222-1</f>
        <v>1.4328485885372055E-2</v>
      </c>
      <c r="AE221" s="1">
        <f>'Asset Prices'!AE221/'Asset Prices'!AE222-1</f>
        <v>-1.0071942446043258E-2</v>
      </c>
      <c r="AF221" s="1">
        <f>'Asset Prices'!AF221/'Asset Prices'!AF222-1</f>
        <v>1.2068965517241459E-2</v>
      </c>
      <c r="AG221" s="1">
        <f>'Asset Prices'!AG221/'Asset Prices'!AG222-1</f>
        <v>4.2944785276073594E-2</v>
      </c>
      <c r="AH221" s="1">
        <f>'Asset Prices'!AH221/'Asset Prices'!AH222-1</f>
        <v>3.6505591897024514E-2</v>
      </c>
      <c r="AI221" s="1">
        <f>'Asset Prices'!AI221/'Asset Prices'!AI222-1</f>
        <v>4.2098153984691411E-2</v>
      </c>
      <c r="AJ221" s="1">
        <f>'Asset Prices'!AJ221/'Asset Prices'!AJ222-1</f>
        <v>2.114803625377637E-2</v>
      </c>
      <c r="AK221" s="1">
        <f>'Asset Prices'!AK221/'Asset Prices'!AK222-1</f>
        <v>4.0662650602409478E-2</v>
      </c>
      <c r="AL221" s="1">
        <f>'Asset Prices'!AL221/'Asset Prices'!AL222-1</f>
        <v>-8.7292679885272451E-3</v>
      </c>
      <c r="AM221" s="1">
        <f>'Asset Prices'!AM221/'Asset Prices'!AM222-1</f>
        <v>-5.4913625443312464E-3</v>
      </c>
      <c r="AN221" s="1">
        <f>'Asset Prices'!AN221/'Asset Prices'!AN222-1</f>
        <v>2.7357701953034663E-3</v>
      </c>
      <c r="AO221" s="1">
        <f>'Asset Prices'!AO221/'Asset Prices'!AO222-1</f>
        <v>-1.1684125705076487E-2</v>
      </c>
      <c r="AP221" s="1">
        <f>'Asset Prices'!AP221/'Asset Prices'!AP222-1</f>
        <v>1.7085298992732145E-2</v>
      </c>
      <c r="AQ221" s="1">
        <f>'Asset Prices'!AQ221/'Asset Prices'!AQ222-1</f>
        <v>3.0771762382754586E-2</v>
      </c>
      <c r="AR221" s="1">
        <f>'Asset Prices'!AR221/'Asset Prices'!AR222-1</f>
        <v>-2.0523497917905864E-2</v>
      </c>
      <c r="AS221" s="1">
        <f>'Asset Prices'!AS221/'Asset Prices'!AS222-1</f>
        <v>-4.8431678884749307E-2</v>
      </c>
      <c r="AT221" s="1">
        <f>'Asset Prices'!AT221/'Asset Prices'!AT222-1</f>
        <v>-1.1965811965811923E-2</v>
      </c>
      <c r="AU221" s="1">
        <f>'Asset Prices'!AU221/'Asset Prices'!AU222-1</f>
        <v>0</v>
      </c>
      <c r="AV221" s="1">
        <f>'Asset Prices'!AV221/'Asset Prices'!AV222-1</f>
        <v>6.8029040064533586E-2</v>
      </c>
      <c r="AW221" s="1">
        <f>'Asset Prices'!AW221/'Asset Prices'!AW222-1</f>
        <v>5.7311887594749367E-2</v>
      </c>
      <c r="AX221" s="1">
        <f>'Asset Prices'!AX221/'Asset Prices'!AX222-1</f>
        <v>5.1681706316653031E-2</v>
      </c>
      <c r="AY221" s="1">
        <f>'Asset Prices'!AY221/'Asset Prices'!AY222-1</f>
        <v>-1.6091954022988575E-2</v>
      </c>
      <c r="AZ221" s="1">
        <f>'Asset Prices'!AZ221/'Asset Prices'!AZ222-1</f>
        <v>1.0885948752302754E-2</v>
      </c>
      <c r="BA221" s="1">
        <f>'Asset Prices'!BA221/'Asset Prices'!BA222-1</f>
        <v>-2.3217247097844118E-2</v>
      </c>
      <c r="BB221" s="1">
        <f>'Asset Prices'!BB221/'Asset Prices'!BB222-1</f>
        <v>2.0676414119036313E-3</v>
      </c>
      <c r="BC221" s="1">
        <f>'Asset Prices'!BC221/'Asset Prices'!BC222-1</f>
        <v>1.8627755355478115E-3</v>
      </c>
      <c r="BD221" s="1">
        <f>'Asset Prices'!BD221/'Asset Prices'!BD222-1</f>
        <v>1.0488777008599293E-3</v>
      </c>
    </row>
    <row r="222" spans="3:56" x14ac:dyDescent="0.25">
      <c r="C222" s="38">
        <f>'Asset Prices'!C222</f>
        <v>42817</v>
      </c>
      <c r="D222" s="1">
        <f>'Asset Prices'!D222/'Asset Prices'!D223-1</f>
        <v>-1.3105286539315975E-2</v>
      </c>
      <c r="E222" s="1">
        <f>'Asset Prices'!E222/'Asset Prices'!E223-1</f>
        <v>4.7444275355832399E-3</v>
      </c>
      <c r="F222" s="1">
        <f>'Asset Prices'!F222/'Asset Prices'!F223-1</f>
        <v>-3.8715277777777835E-2</v>
      </c>
      <c r="G222" s="1">
        <f>'Asset Prices'!G222/'Asset Prices'!G223-1</f>
        <v>-1.705663678110636E-2</v>
      </c>
      <c r="H222" s="1">
        <f>'Asset Prices'!H222/'Asset Prices'!H223-1</f>
        <v>-6.6774367259019307E-3</v>
      </c>
      <c r="I222" s="1">
        <f>'Asset Prices'!I222/'Asset Prices'!I223-1</f>
        <v>-3.2859489963569244E-3</v>
      </c>
      <c r="J222" s="1">
        <f>'Asset Prices'!J222/'Asset Prices'!J223-1</f>
        <v>1.6347999147059422E-3</v>
      </c>
      <c r="K222" s="1">
        <f>'Asset Prices'!K222/'Asset Prices'!K223-1</f>
        <v>-7.0774062009326677E-3</v>
      </c>
      <c r="L222" s="1">
        <f>'Asset Prices'!L222/'Asset Prices'!L223-1</f>
        <v>-1.7660502804903278E-2</v>
      </c>
      <c r="M222" s="1">
        <f>'Asset Prices'!M222/'Asset Prices'!M223-1</f>
        <v>3.5581683168317557E-3</v>
      </c>
      <c r="N222" s="1">
        <f>'Asset Prices'!N222/'Asset Prices'!N223-1</f>
        <v>-3.4885057471264358E-2</v>
      </c>
      <c r="O222" s="1">
        <f>'Asset Prices'!O222/'Asset Prices'!O223-1</f>
        <v>-1.251484424956617E-2</v>
      </c>
      <c r="P222" s="1">
        <f>'Asset Prices'!P222/'Asset Prices'!P223-1</f>
        <v>4.1964946926684732E-3</v>
      </c>
      <c r="Q222" s="1">
        <f>'Asset Prices'!Q222/'Asset Prices'!Q223-1</f>
        <v>1.8828641260070667E-2</v>
      </c>
      <c r="R222" s="1">
        <f>'Asset Prices'!R222/'Asset Prices'!R223-1</f>
        <v>2.2946305644791165E-2</v>
      </c>
      <c r="S222" s="1">
        <f>'Asset Prices'!S222/'Asset Prices'!S223-1</f>
        <v>2.4496461622210086E-2</v>
      </c>
      <c r="T222" s="1">
        <f>'Asset Prices'!T222/'Asset Prices'!T223-1</f>
        <v>5.768794004088118E-2</v>
      </c>
      <c r="U222" s="1">
        <f>'Asset Prices'!U222/'Asset Prices'!U223-1</f>
        <v>-1.6454352441613529E-2</v>
      </c>
      <c r="V222" s="1">
        <f>'Asset Prices'!V222/'Asset Prices'!V223-1</f>
        <v>-3.9833868227298397E-2</v>
      </c>
      <c r="W222" s="1">
        <f>'Asset Prices'!W222/'Asset Prices'!W223-1</f>
        <v>2.696629213483126E-3</v>
      </c>
      <c r="X222" s="1">
        <f>'Asset Prices'!X222/'Asset Prices'!X223-1</f>
        <v>-3.2871652816251151E-2</v>
      </c>
      <c r="Y222" s="1">
        <f>'Asset Prices'!Y222/'Asset Prices'!Y223-1</f>
        <v>1.5209125497229969E-2</v>
      </c>
      <c r="Z222" s="1">
        <f>'Asset Prices'!Z222/'Asset Prices'!Z223-1</f>
        <v>-3.1111111111111089E-2</v>
      </c>
      <c r="AA222" s="1">
        <f>'Asset Prices'!AA222/'Asset Prices'!AA223-1</f>
        <v>-4.3528064146620804E-2</v>
      </c>
      <c r="AB222" s="1">
        <f>'Asset Prices'!AB222/'Asset Prices'!AB223-1</f>
        <v>-1.0563380281690127E-2</v>
      </c>
      <c r="AC222" s="1">
        <f>'Asset Prices'!AC222/'Asset Prices'!AC223-1</f>
        <v>-1.5402843601895921E-2</v>
      </c>
      <c r="AD222" s="1">
        <f>'Asset Prices'!AD222/'Asset Prices'!AD223-1</f>
        <v>-6.7597208374875373E-2</v>
      </c>
      <c r="AE222" s="1">
        <f>'Asset Prices'!AE222/'Asset Prices'!AE223-1</f>
        <v>-4.650843737138155E-2</v>
      </c>
      <c r="AF222" s="1">
        <f>'Asset Prices'!AF222/'Asset Prices'!AF223-1</f>
        <v>3.4494653328742686E-4</v>
      </c>
      <c r="AG222" s="1">
        <f>'Asset Prices'!AG222/'Asset Prices'!AG223-1</f>
        <v>1.0852713178294726E-2</v>
      </c>
      <c r="AH222" s="1">
        <f>'Asset Prices'!AH222/'Asset Prices'!AH223-1</f>
        <v>-1.6804979253112085E-2</v>
      </c>
      <c r="AI222" s="1">
        <f>'Asset Prices'!AI222/'Asset Prices'!AI223-1</f>
        <v>-2.8008752735229736E-2</v>
      </c>
      <c r="AJ222" s="1">
        <f>'Asset Prices'!AJ222/'Asset Prices'!AJ223-1</f>
        <v>-6.0060060060058706E-3</v>
      </c>
      <c r="AK222" s="1">
        <f>'Asset Prices'!AK222/'Asset Prices'!AK223-1</f>
        <v>-4.9950049950049369E-3</v>
      </c>
      <c r="AL222" s="1">
        <f>'Asset Prices'!AL222/'Asset Prices'!AL223-1</f>
        <v>1.2755746400606061E-2</v>
      </c>
      <c r="AM222" s="1">
        <f>'Asset Prices'!AM222/'Asset Prices'!AM223-1</f>
        <v>-1.3653802753328947E-2</v>
      </c>
      <c r="AN222" s="1">
        <f>'Asset Prices'!AN222/'Asset Prices'!AN223-1</f>
        <v>6.8441064638791183E-4</v>
      </c>
      <c r="AO222" s="1">
        <f>'Asset Prices'!AO222/'Asset Prices'!AO223-1</f>
        <v>-7.9936051159072985E-3</v>
      </c>
      <c r="AP222" s="1">
        <f>'Asset Prices'!AP222/'Asset Prices'!AP223-1</f>
        <v>-9.9722292350415964E-3</v>
      </c>
      <c r="AQ222" s="1">
        <f>'Asset Prices'!AQ222/'Asset Prices'!AQ223-1</f>
        <v>-2.3775100401606353E-2</v>
      </c>
      <c r="AR222" s="1">
        <f>'Asset Prices'!AR222/'Asset Prices'!AR223-1</f>
        <v>2.4687595245351801E-2</v>
      </c>
      <c r="AS222" s="1">
        <f>'Asset Prices'!AS222/'Asset Prices'!AS223-1</f>
        <v>-2.0828430218875149E-2</v>
      </c>
      <c r="AT222" s="1">
        <f>'Asset Prices'!AT222/'Asset Prices'!AT223-1</f>
        <v>6.4997132479449604E-3</v>
      </c>
      <c r="AU222" s="1">
        <f>'Asset Prices'!AU222/'Asset Prices'!AU223-1</f>
        <v>1.2901802944257579E-2</v>
      </c>
      <c r="AV222" s="1">
        <f>'Asset Prices'!AV222/'Asset Prices'!AV223-1</f>
        <v>-1.5225738117304433E-2</v>
      </c>
      <c r="AW222" s="1">
        <f>'Asset Prices'!AW222/'Asset Prices'!AW223-1</f>
        <v>-4.4177416504682765E-2</v>
      </c>
      <c r="AX222" s="1">
        <f>'Asset Prices'!AX222/'Asset Prices'!AX223-1</f>
        <v>0.12870370370370354</v>
      </c>
      <c r="AY222" s="1">
        <f>'Asset Prices'!AY222/'Asset Prices'!AY223-1</f>
        <v>-2.6845637583892579E-2</v>
      </c>
      <c r="AZ222" s="1">
        <f>'Asset Prices'!AZ222/'Asset Prices'!AZ223-1</f>
        <v>-1.5985497692814654E-2</v>
      </c>
      <c r="BA222" s="1">
        <f>'Asset Prices'!BA222/'Asset Prices'!BA223-1</f>
        <v>-6.5897858319604596E-3</v>
      </c>
      <c r="BB222" s="1">
        <f>'Asset Prices'!BB222/'Asset Prices'!BB223-1</f>
        <v>2.9183766529867539E-2</v>
      </c>
      <c r="BC222" s="1">
        <f>'Asset Prices'!BC222/'Asset Prices'!BC223-1</f>
        <v>2.6122969098439031E-2</v>
      </c>
      <c r="BD222" s="1">
        <f>'Asset Prices'!BD222/'Asset Prices'!BD223-1</f>
        <v>-3.296480373263011E-2</v>
      </c>
    </row>
    <row r="223" spans="3:56" x14ac:dyDescent="0.25">
      <c r="C223" s="38">
        <f>'Asset Prices'!C223</f>
        <v>42810</v>
      </c>
      <c r="D223" s="1">
        <f>'Asset Prices'!D223/'Asset Prices'!D224-1</f>
        <v>1.0436539108966469E-2</v>
      </c>
      <c r="E223" s="1">
        <f>'Asset Prices'!E223/'Asset Prices'!E224-1</f>
        <v>6.124470863730469E-3</v>
      </c>
      <c r="F223" s="1">
        <f>'Asset Prices'!F223/'Asset Prices'!F224-1</f>
        <v>2.2001419446415982E-2</v>
      </c>
      <c r="G223" s="1">
        <f>'Asset Prices'!G223/'Asset Prices'!G224-1</f>
        <v>7.7521206409048027E-2</v>
      </c>
      <c r="H223" s="1">
        <f>'Asset Prices'!H223/'Asset Prices'!H224-1</f>
        <v>1.5975489659700193E-2</v>
      </c>
      <c r="I223" s="1">
        <f>'Asset Prices'!I223/'Asset Prices'!I224-1</f>
        <v>1.2659143518518601E-2</v>
      </c>
      <c r="J223" s="1">
        <f>'Asset Prices'!J223/'Asset Prices'!J224-1</f>
        <v>1.4493798673204328E-2</v>
      </c>
      <c r="K223" s="1">
        <f>'Asset Prices'!K223/'Asset Prices'!K224-1</f>
        <v>4.9237983587335776E-4</v>
      </c>
      <c r="L223" s="1">
        <f>'Asset Prices'!L223/'Asset Prices'!L224-1</f>
        <v>2.7467444673735075E-2</v>
      </c>
      <c r="M223" s="1">
        <f>'Asset Prices'!M223/'Asset Prices'!M224-1</f>
        <v>-1.3903908543180243E-3</v>
      </c>
      <c r="N223" s="1">
        <f>'Asset Prices'!N223/'Asset Prices'!N224-1</f>
        <v>1.4175137554788719E-2</v>
      </c>
      <c r="O223" s="1">
        <f>'Asset Prices'!O223/'Asset Prices'!O224-1</f>
        <v>1.0058522311631179E-3</v>
      </c>
      <c r="P223" s="1">
        <f>'Asset Prices'!P223/'Asset Prices'!P224-1</f>
        <v>4.0118107709095518E-2</v>
      </c>
      <c r="Q223" s="1">
        <f>'Asset Prices'!Q223/'Asset Prices'!Q224-1</f>
        <v>4.8500379650721293E-2</v>
      </c>
      <c r="R223" s="1">
        <f>'Asset Prices'!R223/'Asset Prices'!R224-1</f>
        <v>1.1841188762479637E-2</v>
      </c>
      <c r="S223" s="1">
        <f>'Asset Prices'!S223/'Asset Prices'!S224-1</f>
        <v>1.970580072162087E-2</v>
      </c>
      <c r="T223" s="1">
        <f>'Asset Prices'!T223/'Asset Prices'!T224-1</f>
        <v>2.0275750202757514E-2</v>
      </c>
      <c r="U223" s="1">
        <f>'Asset Prices'!U223/'Asset Prices'!U224-1</f>
        <v>5.153488372093018E-2</v>
      </c>
      <c r="V223" s="1">
        <f>'Asset Prices'!V223/'Asset Prices'!V224-1</f>
        <v>2.0026959368380615E-2</v>
      </c>
      <c r="W223" s="1">
        <f>'Asset Prices'!W223/'Asset Prices'!W224-1</f>
        <v>-7.5825156110616021E-3</v>
      </c>
      <c r="X223" s="1">
        <f>'Asset Prices'!X223/'Asset Prices'!X224-1</f>
        <v>-3.9212207239176733E-2</v>
      </c>
      <c r="Y223" s="1">
        <f>'Asset Prices'!Y223/'Asset Prices'!Y224-1</f>
        <v>3.9525691662939622E-2</v>
      </c>
      <c r="Z223" s="1">
        <f>'Asset Prices'!Z223/'Asset Prices'!Z224-1</f>
        <v>0.14213197969543145</v>
      </c>
      <c r="AA223" s="1">
        <f>'Asset Prices'!AA223/'Asset Prices'!AA224-1</f>
        <v>4.602991944764101E-3</v>
      </c>
      <c r="AB223" s="1">
        <f>'Asset Prices'!AB223/'Asset Prices'!AB224-1</f>
        <v>3.2727272727272716E-2</v>
      </c>
      <c r="AC223" s="1">
        <f>'Asset Prices'!AC223/'Asset Prices'!AC224-1</f>
        <v>1.564380264741283E-2</v>
      </c>
      <c r="AD223" s="1">
        <f>'Asset Prices'!AD223/'Asset Prices'!AD224-1</f>
        <v>1.6210739614994862E-2</v>
      </c>
      <c r="AE223" s="1">
        <f>'Asset Prices'!AE223/'Asset Prices'!AE224-1</f>
        <v>5.8370843618411383E-2</v>
      </c>
      <c r="AF223" s="1">
        <f>'Asset Prices'!AF223/'Asset Prices'!AF224-1</f>
        <v>-3.4482758620690834E-4</v>
      </c>
      <c r="AG223" s="1">
        <f>'Asset Prices'!AG223/'Asset Prices'!AG224-1</f>
        <v>1.4150943396226356E-2</v>
      </c>
      <c r="AH223" s="1">
        <f>'Asset Prices'!AH223/'Asset Prices'!AH224-1</f>
        <v>-3.1023784901758056E-3</v>
      </c>
      <c r="AI223" s="1">
        <f>'Asset Prices'!AI223/'Asset Prices'!AI224-1</f>
        <v>1.8044107819113364E-2</v>
      </c>
      <c r="AJ223" s="1">
        <f>'Asset Prices'!AJ223/'Asset Prices'!AJ224-1</f>
        <v>-1.4792899408283988E-2</v>
      </c>
      <c r="AK223" s="1">
        <f>'Asset Prices'!AK223/'Asset Prices'!AK224-1</f>
        <v>4.9541284403669783E-2</v>
      </c>
      <c r="AL223" s="1">
        <f>'Asset Prices'!AL223/'Asset Prices'!AL224-1</f>
        <v>1.5128205128205119E-2</v>
      </c>
      <c r="AM223" s="1">
        <f>'Asset Prices'!AM223/'Asset Prices'!AM224-1</f>
        <v>3.3863867253636215E-4</v>
      </c>
      <c r="AN223" s="1">
        <f>'Asset Prices'!AN223/'Asset Prices'!AN224-1</f>
        <v>1.3019027809875849E-2</v>
      </c>
      <c r="AO223" s="1">
        <f>'Asset Prices'!AO223/'Asset Prices'!AO224-1</f>
        <v>1.5422077922077948E-2</v>
      </c>
      <c r="AP223" s="1">
        <f>'Asset Prices'!AP223/'Asset Prices'!AP224-1</f>
        <v>1.6422889402104124E-2</v>
      </c>
      <c r="AQ223" s="1">
        <f>'Asset Prices'!AQ223/'Asset Prices'!AQ224-1</f>
        <v>3.4224954311347533E-2</v>
      </c>
      <c r="AR223" s="1">
        <f>'Asset Prices'!AR223/'Asset Prices'!AR224-1</f>
        <v>6.4417177914111168E-3</v>
      </c>
      <c r="AS223" s="1">
        <f>'Asset Prices'!AS223/'Asset Prices'!AS224-1</f>
        <v>-1.7117742308581874E-2</v>
      </c>
      <c r="AT223" s="1">
        <f>'Asset Prices'!AT223/'Asset Prices'!AT224-1</f>
        <v>-2.0984357115604313E-3</v>
      </c>
      <c r="AU223" s="1">
        <f>'Asset Prices'!AU223/'Asset Prices'!AU224-1</f>
        <v>-1.9992435294753252E-2</v>
      </c>
      <c r="AV223" s="1">
        <f>'Asset Prices'!AV223/'Asset Prices'!AV224-1</f>
        <v>0</v>
      </c>
      <c r="AW223" s="1">
        <f>'Asset Prices'!AW223/'Asset Prices'!AW224-1</f>
        <v>1.3249776186213147E-2</v>
      </c>
      <c r="AX223" s="1">
        <f>'Asset Prices'!AX223/'Asset Prices'!AX224-1</f>
        <v>3.4482758620689724E-2</v>
      </c>
      <c r="AY223" s="1">
        <f>'Asset Prices'!AY223/'Asset Prices'!AY224-1</f>
        <v>4.6838407494145029E-2</v>
      </c>
      <c r="AZ223" s="1">
        <f>'Asset Prices'!AZ223/'Asset Prices'!AZ224-1</f>
        <v>2.5173171143774153E-2</v>
      </c>
      <c r="BA223" s="1">
        <f>'Asset Prices'!BA223/'Asset Prices'!BA224-1</f>
        <v>3.056027164685915E-2</v>
      </c>
      <c r="BB223" s="1">
        <f>'Asset Prices'!BB223/'Asset Prices'!BB224-1</f>
        <v>3.329668603738023E-2</v>
      </c>
      <c r="BC223" s="1">
        <f>'Asset Prices'!BC223/'Asset Prices'!BC224-1</f>
        <v>-1.2582573136206365E-2</v>
      </c>
      <c r="BD223" s="1">
        <f>'Asset Prices'!BD223/'Asset Prices'!BD224-1</f>
        <v>-1.3804141242372614E-2</v>
      </c>
    </row>
    <row r="224" spans="3:56" x14ac:dyDescent="0.25">
      <c r="C224" s="38">
        <f>'Asset Prices'!C224</f>
        <v>42803</v>
      </c>
      <c r="D224" s="1">
        <f>'Asset Prices'!D224/'Asset Prices'!D225-1</f>
        <v>6.5514514853721728E-3</v>
      </c>
      <c r="E224" s="1">
        <f>'Asset Prices'!E224/'Asset Prices'!E225-1</f>
        <v>3.978659915001348E-3</v>
      </c>
      <c r="F224" s="1">
        <f>'Asset Prices'!F224/'Asset Prices'!F225-1</f>
        <v>-2.4913494809688519E-2</v>
      </c>
      <c r="G224" s="1">
        <f>'Asset Prices'!G224/'Asset Prices'!G225-1</f>
        <v>-1.0491956166938765E-2</v>
      </c>
      <c r="H224" s="1">
        <f>'Asset Prices'!H224/'Asset Prices'!H225-1</f>
        <v>-3.1475201356506943E-2</v>
      </c>
      <c r="I224" s="1">
        <f>'Asset Prices'!I224/'Asset Prices'!I225-1</f>
        <v>1.0821877742029917E-2</v>
      </c>
      <c r="J224" s="1">
        <f>'Asset Prices'!J224/'Asset Prices'!J225-1</f>
        <v>-2.014968336211842E-3</v>
      </c>
      <c r="K224" s="1">
        <f>'Asset Prices'!K224/'Asset Prices'!K225-1</f>
        <v>4.817943009270742E-3</v>
      </c>
      <c r="L224" s="1">
        <f>'Asset Prices'!L224/'Asset Prices'!L225-1</f>
        <v>7.1669175087794024E-3</v>
      </c>
      <c r="M224" s="1">
        <f>'Asset Prices'!M224/'Asset Prices'!M225-1</f>
        <v>1.1248242462115199E-2</v>
      </c>
      <c r="N224" s="1">
        <f>'Asset Prices'!N224/'Asset Prices'!N225-1</f>
        <v>9.4016591163146312E-3</v>
      </c>
      <c r="O224" s="1">
        <f>'Asset Prices'!O224/'Asset Prices'!O225-1</f>
        <v>2.1075781178412356E-3</v>
      </c>
      <c r="P224" s="1">
        <f>'Asset Prices'!P224/'Asset Prices'!P225-1</f>
        <v>-1.6663510698731399E-2</v>
      </c>
      <c r="Q224" s="1">
        <f>'Asset Prices'!Q224/'Asset Prices'!Q225-1</f>
        <v>1.1909335382251252E-2</v>
      </c>
      <c r="R224" s="1">
        <f>'Asset Prices'!R224/'Asset Prices'!R225-1</f>
        <v>-1.7787913340934991E-2</v>
      </c>
      <c r="S224" s="1">
        <f>'Asset Prices'!S224/'Asset Prices'!S225-1</f>
        <v>-2.1986970684039098E-2</v>
      </c>
      <c r="T224" s="1">
        <f>'Asset Prices'!T224/'Asset Prices'!T225-1</f>
        <v>-1.3825411334552062E-2</v>
      </c>
      <c r="U224" s="1">
        <f>'Asset Prices'!U224/'Asset Prices'!U225-1</f>
        <v>1.6772269847187271E-3</v>
      </c>
      <c r="V224" s="1">
        <f>'Asset Prices'!V224/'Asset Prices'!V225-1</f>
        <v>4.4028950542822631E-2</v>
      </c>
      <c r="W224" s="1">
        <f>'Asset Prices'!W224/'Asset Prices'!W225-1</f>
        <v>-2.2296544035671495E-4</v>
      </c>
      <c r="X224" s="1">
        <f>'Asset Prices'!X224/'Asset Prices'!X225-1</f>
        <v>-2.1017891262810506E-2</v>
      </c>
      <c r="Y224" s="1">
        <f>'Asset Prices'!Y224/'Asset Prices'!Y225-1</f>
        <v>-5.0656660407661591E-2</v>
      </c>
      <c r="Z224" s="1">
        <f>'Asset Prices'!Z224/'Asset Prices'!Z225-1</f>
        <v>1.025641025641022E-2</v>
      </c>
      <c r="AA224" s="1">
        <f>'Asset Prices'!AA224/'Asset Prices'!AA225-1</f>
        <v>-1.9187358916478381E-2</v>
      </c>
      <c r="AB224" s="1">
        <f>'Asset Prices'!AB224/'Asset Prices'!AB225-1</f>
        <v>3.6496350364962904E-3</v>
      </c>
      <c r="AC224" s="1">
        <f>'Asset Prices'!AC224/'Asset Prices'!AC225-1</f>
        <v>-1.598579040852588E-2</v>
      </c>
      <c r="AD224" s="1">
        <f>'Asset Prices'!AD224/'Asset Prices'!AD225-1</f>
        <v>-3.5944520414143311E-2</v>
      </c>
      <c r="AE224" s="1">
        <f>'Asset Prices'!AE224/'Asset Prices'!AE225-1</f>
        <v>-1.3747672919948384E-2</v>
      </c>
      <c r="AF224" s="1">
        <f>'Asset Prices'!AF224/'Asset Prices'!AF225-1</f>
        <v>-4.6679815910585232E-2</v>
      </c>
      <c r="AG224" s="1">
        <f>'Asset Prices'!AG224/'Asset Prices'!AG225-1</f>
        <v>-7.800312012480437E-3</v>
      </c>
      <c r="AH224" s="1">
        <f>'Asset Prices'!AH224/'Asset Prices'!AH225-1</f>
        <v>-5.2703761755485856E-2</v>
      </c>
      <c r="AI224" s="1">
        <f>'Asset Prices'!AI224/'Asset Prices'!AI225-1</f>
        <v>-2.0082951320672393E-2</v>
      </c>
      <c r="AJ224" s="1">
        <f>'Asset Prices'!AJ224/'Asset Prices'!AJ225-1</f>
        <v>-2.8735632183908066E-2</v>
      </c>
      <c r="AK224" s="1">
        <f>'Asset Prices'!AK224/'Asset Prices'!AK225-1</f>
        <v>-4.0975364504776346E-2</v>
      </c>
      <c r="AL224" s="1">
        <f>'Asset Prices'!AL224/'Asset Prices'!AL225-1</f>
        <v>-2.4024024024024038E-2</v>
      </c>
      <c r="AM224" s="1">
        <f>'Asset Prices'!AM224/'Asset Prices'!AM225-1</f>
        <v>-1.8556472608430741E-2</v>
      </c>
      <c r="AN224" s="1">
        <f>'Asset Prices'!AN224/'Asset Prices'!AN225-1</f>
        <v>-7.4929275938526718E-3</v>
      </c>
      <c r="AO224" s="1">
        <f>'Asset Prices'!AO224/'Asset Prices'!AO225-1</f>
        <v>-1.4005602240896309E-2</v>
      </c>
      <c r="AP224" s="1">
        <f>'Asset Prices'!AP224/'Asset Prices'!AP225-1</f>
        <v>-1.8264265020783488E-2</v>
      </c>
      <c r="AQ224" s="1">
        <f>'Asset Prices'!AQ224/'Asset Prices'!AQ225-1</f>
        <v>-4.0031897926634863E-2</v>
      </c>
      <c r="AR224" s="1">
        <f>'Asset Prices'!AR224/'Asset Prices'!AR225-1</f>
        <v>-2.9761904761904656E-2</v>
      </c>
      <c r="AS224" s="1">
        <f>'Asset Prices'!AS224/'Asset Prices'!AS225-1</f>
        <v>-4.5273851590106107E-2</v>
      </c>
      <c r="AT224" s="1">
        <f>'Asset Prices'!AT224/'Asset Prices'!AT225-1</f>
        <v>-6.8207654414550456E-3</v>
      </c>
      <c r="AU224" s="1">
        <f>'Asset Prices'!AU224/'Asset Prices'!AU225-1</f>
        <v>1.8405240080117125E-3</v>
      </c>
      <c r="AV224" s="1">
        <f>'Asset Prices'!AV224/'Asset Prices'!AV225-1</f>
        <v>-2.842809364548482E-2</v>
      </c>
      <c r="AW224" s="1">
        <f>'Asset Prices'!AW224/'Asset Prices'!AW225-1</f>
        <v>1.1775362318840576E-2</v>
      </c>
      <c r="AX224" s="1">
        <f>'Asset Prices'!AX224/'Asset Prices'!AX225-1</f>
        <v>-5.0909090909090904E-2</v>
      </c>
      <c r="AY224" s="1">
        <f>'Asset Prices'!AY224/'Asset Prices'!AY225-1</f>
        <v>-4.0449438202247112E-2</v>
      </c>
      <c r="AZ224" s="1">
        <f>'Asset Prices'!AZ224/'Asset Prices'!AZ225-1</f>
        <v>-2.9513034923757897E-2</v>
      </c>
      <c r="BA224" s="1">
        <f>'Asset Prices'!BA224/'Asset Prices'!BA225-1</f>
        <v>-5.4574638844301804E-2</v>
      </c>
      <c r="BB224" s="1">
        <f>'Asset Prices'!BB224/'Asset Prices'!BB225-1</f>
        <v>-3.5449174367520153E-2</v>
      </c>
      <c r="BC224" s="1">
        <f>'Asset Prices'!BC224/'Asset Prices'!BC225-1</f>
        <v>-6.7194835680751241E-2</v>
      </c>
      <c r="BD224" s="1">
        <f>'Asset Prices'!BD224/'Asset Prices'!BD225-1</f>
        <v>2.2055137844612105E-3</v>
      </c>
    </row>
    <row r="225" spans="3:56" x14ac:dyDescent="0.25">
      <c r="C225" s="38">
        <f>'Asset Prices'!C225</f>
        <v>42796</v>
      </c>
      <c r="D225" s="1">
        <f>'Asset Prices'!D225/'Asset Prices'!D226-1</f>
        <v>3.9691540031752126E-3</v>
      </c>
      <c r="E225" s="1">
        <f>'Asset Prices'!E225/'Asset Prices'!E226-1</f>
        <v>7.8374191196572962E-3</v>
      </c>
      <c r="F225" s="1">
        <f>'Asset Prices'!F225/'Asset Prices'!F226-1</f>
        <v>7.1441017598883327E-3</v>
      </c>
      <c r="G225" s="1">
        <f>'Asset Prices'!G225/'Asset Prices'!G226-1</f>
        <v>-1.6294227188081711E-3</v>
      </c>
      <c r="H225" s="1">
        <f>'Asset Prices'!H225/'Asset Prices'!H226-1</f>
        <v>-1.245421245421241E-2</v>
      </c>
      <c r="I225" s="1">
        <f>'Asset Prices'!I225/'Asset Prices'!I226-1</f>
        <v>1.0342789598108526E-2</v>
      </c>
      <c r="J225" s="1">
        <f>'Asset Prices'!J225/'Asset Prices'!J226-1</f>
        <v>1.7798286090969118E-2</v>
      </c>
      <c r="K225" s="1">
        <f>'Asset Prices'!K225/'Asset Prices'!K226-1</f>
        <v>-3.8489069338998316E-3</v>
      </c>
      <c r="L225" s="1">
        <f>'Asset Prices'!L225/'Asset Prices'!L226-1</f>
        <v>-2.2762291637484222E-2</v>
      </c>
      <c r="M225" s="1">
        <f>'Asset Prices'!M225/'Asset Prices'!M226-1</f>
        <v>-9.4398019189105842E-3</v>
      </c>
      <c r="N225" s="1">
        <f>'Asset Prices'!N225/'Asset Prices'!N226-1</f>
        <v>-1.3513513513513375E-3</v>
      </c>
      <c r="O225" s="1">
        <f>'Asset Prices'!O225/'Asset Prices'!O226-1</f>
        <v>4.4178554993095087E-3</v>
      </c>
      <c r="P225" s="1">
        <f>'Asset Prices'!P225/'Asset Prices'!P226-1</f>
        <v>3.1445312500000044E-2</v>
      </c>
      <c r="Q225" s="1">
        <f>'Asset Prices'!Q225/'Asset Prices'!Q226-1</f>
        <v>2.9260577303281909E-2</v>
      </c>
      <c r="R225" s="1">
        <f>'Asset Prices'!R225/'Asset Prices'!R226-1</f>
        <v>2.0954598370197974E-2</v>
      </c>
      <c r="S225" s="1">
        <f>'Asset Prices'!S225/'Asset Prices'!S226-1</f>
        <v>8.7623220153341119E-3</v>
      </c>
      <c r="T225" s="1">
        <f>'Asset Prices'!T225/'Asset Prices'!T226-1</f>
        <v>5.9770114942527819E-3</v>
      </c>
      <c r="U225" s="1">
        <f>'Asset Prices'!U225/'Asset Prices'!U226-1</f>
        <v>3.650762990148726E-2</v>
      </c>
      <c r="V225" s="1">
        <f>'Asset Prices'!V225/'Asset Prices'!V226-1</f>
        <v>5.4931071049840963E-2</v>
      </c>
      <c r="W225" s="1">
        <f>'Asset Prices'!W225/'Asset Prices'!W226-1</f>
        <v>1.2186865267433955E-2</v>
      </c>
      <c r="X225" s="1">
        <f>'Asset Prices'!X225/'Asset Prices'!X226-1</f>
        <v>5.4139015019210035E-3</v>
      </c>
      <c r="Y225" s="1">
        <f>'Asset Prices'!Y225/'Asset Prices'!Y226-1</f>
        <v>-4.8543689019843184E-3</v>
      </c>
      <c r="Z225" s="1">
        <f>'Asset Prices'!Z225/'Asset Prices'!Z226-1</f>
        <v>-0.13716814159292046</v>
      </c>
      <c r="AA225" s="1">
        <f>'Asset Prices'!AA225/'Asset Prices'!AA226-1</f>
        <v>0.11027568922305764</v>
      </c>
      <c r="AB225" s="1">
        <f>'Asset Prices'!AB225/'Asset Prices'!AB226-1</f>
        <v>1.1070110701107083E-2</v>
      </c>
      <c r="AC225" s="1">
        <f>'Asset Prices'!AC225/'Asset Prices'!AC226-1</f>
        <v>0.25203854707190509</v>
      </c>
      <c r="AD225" s="1">
        <f>'Asset Prices'!AD225/'Asset Prices'!AD226-1</f>
        <v>2.5851703406813531E-2</v>
      </c>
      <c r="AE225" s="1">
        <f>'Asset Prices'!AE225/'Asset Prices'!AE226-1</f>
        <v>4.9917305668320422E-2</v>
      </c>
      <c r="AF225" s="1">
        <f>'Asset Prices'!AF225/'Asset Prices'!AF226-1</f>
        <v>-4.4297832233741619E-2</v>
      </c>
      <c r="AG225" s="1">
        <f>'Asset Prices'!AG225/'Asset Prices'!AG226-1</f>
        <v>3.5541195476574972E-2</v>
      </c>
      <c r="AH225" s="1">
        <f>'Asset Prices'!AH225/'Asset Prices'!AH226-1</f>
        <v>5.6291390728476776E-2</v>
      </c>
      <c r="AI225" s="1">
        <f>'Asset Prices'!AI225/'Asset Prices'!AI226-1</f>
        <v>-1.8637532133676027E-2</v>
      </c>
      <c r="AJ225" s="1">
        <f>'Asset Prices'!AJ225/'Asset Prices'!AJ226-1</f>
        <v>-3.6011080332410073E-2</v>
      </c>
      <c r="AK225" s="1">
        <f>'Asset Prices'!AK225/'Asset Prices'!AK226-1</f>
        <v>1.427842937276913E-2</v>
      </c>
      <c r="AL225" s="1">
        <f>'Asset Prices'!AL225/'Asset Prices'!AL226-1</f>
        <v>2.5930680359435021E-2</v>
      </c>
      <c r="AM225" s="1">
        <f>'Asset Prices'!AM225/'Asset Prices'!AM226-1</f>
        <v>-6.1657032755298991E-3</v>
      </c>
      <c r="AN225" s="1">
        <f>'Asset Prices'!AN225/'Asset Prices'!AN226-1</f>
        <v>1.6476257091785129E-2</v>
      </c>
      <c r="AO225" s="1">
        <f>'Asset Prices'!AO225/'Asset Prices'!AO226-1</f>
        <v>-6.5593321407275695E-3</v>
      </c>
      <c r="AP225" s="1">
        <f>'Asset Prices'!AP225/'Asset Prices'!AP226-1</f>
        <v>2.0305873281069253E-2</v>
      </c>
      <c r="AQ225" s="1">
        <f>'Asset Prices'!AQ225/'Asset Prices'!AQ226-1</f>
        <v>-3.3898305084745783E-2</v>
      </c>
      <c r="AR225" s="1">
        <f>'Asset Prices'!AR225/'Asset Prices'!AR226-1</f>
        <v>-6.3022866703848379E-2</v>
      </c>
      <c r="AS225" s="1">
        <f>'Asset Prices'!AS225/'Asset Prices'!AS226-1</f>
        <v>6.9690526813134923E-2</v>
      </c>
      <c r="AT225" s="1">
        <f>'Asset Prices'!AT225/'Asset Prices'!AT226-1</f>
        <v>-2.0797882397428635E-3</v>
      </c>
      <c r="AU225" s="1">
        <f>'Asset Prices'!AU225/'Asset Prices'!AU226-1</f>
        <v>1.3329676357652032E-2</v>
      </c>
      <c r="AV225" s="1">
        <f>'Asset Prices'!AV225/'Asset Prices'!AV226-1</f>
        <v>2.1915689055047594E-3</v>
      </c>
      <c r="AW225" s="1">
        <f>'Asset Prices'!AW225/'Asset Prices'!AW226-1</f>
        <v>2.1087680355160954E-2</v>
      </c>
      <c r="AX225" s="1">
        <f>'Asset Prices'!AX225/'Asset Prices'!AX226-1</f>
        <v>-2.7409372236958496E-2</v>
      </c>
      <c r="AY225" s="1">
        <f>'Asset Prices'!AY225/'Asset Prices'!AY226-1</f>
        <v>-2.1978021978022122E-2</v>
      </c>
      <c r="AZ225" s="1">
        <f>'Asset Prices'!AZ225/'Asset Prices'!AZ226-1</f>
        <v>-4.4074436826639918E-3</v>
      </c>
      <c r="BA225" s="1">
        <f>'Asset Prices'!BA225/'Asset Prices'!BA226-1</f>
        <v>2.6359143327841839E-2</v>
      </c>
      <c r="BB225" s="1">
        <f>'Asset Prices'!BB225/'Asset Prices'!BB226-1</f>
        <v>-3.6226415094339215E-3</v>
      </c>
      <c r="BC225" s="1">
        <f>'Asset Prices'!BC225/'Asset Prices'!BC226-1</f>
        <v>-9.8779779198140405E-3</v>
      </c>
      <c r="BD225" s="1">
        <f>'Asset Prices'!BD225/'Asset Prices'!BD226-1</f>
        <v>9.2067988668553813E-3</v>
      </c>
    </row>
    <row r="226" spans="3:56" x14ac:dyDescent="0.25">
      <c r="C226" s="38">
        <f>'Asset Prices'!C226</f>
        <v>42789</v>
      </c>
      <c r="D226" s="1">
        <f>'Asset Prices'!D226/'Asset Prices'!D227-1</f>
        <v>8.8090607481983163E-3</v>
      </c>
      <c r="E226" s="1">
        <f>'Asset Prices'!E226/'Asset Prices'!E227-1</f>
        <v>-8.8519555595699684E-3</v>
      </c>
      <c r="F226" s="1">
        <f>'Asset Prices'!F226/'Asset Prices'!F227-1</f>
        <v>1.9541659264523004E-2</v>
      </c>
      <c r="G226" s="1">
        <f>'Asset Prices'!G226/'Asset Prices'!G227-1</f>
        <v>3.2940610723731556E-2</v>
      </c>
      <c r="H226" s="1">
        <f>'Asset Prices'!H226/'Asset Prices'!H227-1</f>
        <v>-2.7579890087522929E-2</v>
      </c>
      <c r="I226" s="1">
        <f>'Asset Prices'!I226/'Asset Prices'!I227-1</f>
        <v>1.1356843992827326E-2</v>
      </c>
      <c r="J226" s="1">
        <f>'Asset Prices'!J226/'Asset Prices'!J227-1</f>
        <v>8.7554028593594957E-3</v>
      </c>
      <c r="K226" s="1">
        <f>'Asset Prices'!K226/'Asset Prices'!K227-1</f>
        <v>9.5363328357855881E-3</v>
      </c>
      <c r="L226" s="1">
        <f>'Asset Prices'!L226/'Asset Prices'!L227-1</f>
        <v>5.422153369481153E-3</v>
      </c>
      <c r="M226" s="1">
        <f>'Asset Prices'!M226/'Asset Prices'!M227-1</f>
        <v>1.5499070055797759E-3</v>
      </c>
      <c r="N226" s="1">
        <f>'Asset Prices'!N226/'Asset Prices'!N227-1</f>
        <v>1.0484818979541011E-2</v>
      </c>
      <c r="O226" s="1">
        <f>'Asset Prices'!O226/'Asset Prices'!O227-1</f>
        <v>9.289363678588014E-3</v>
      </c>
      <c r="P226" s="1">
        <f>'Asset Prices'!P226/'Asset Prices'!P227-1</f>
        <v>-3.0975963661598604E-2</v>
      </c>
      <c r="Q226" s="1">
        <f>'Asset Prices'!Q226/'Asset Prices'!Q227-1</f>
        <v>7.3690499900418427E-3</v>
      </c>
      <c r="R226" s="1">
        <f>'Asset Prices'!R226/'Asset Prices'!R227-1</f>
        <v>2.5304368584387671E-2</v>
      </c>
      <c r="S226" s="1">
        <f>'Asset Prices'!S226/'Asset Prices'!S227-1</f>
        <v>2.2396416573348343E-2</v>
      </c>
      <c r="T226" s="1">
        <f>'Asset Prices'!T226/'Asset Prices'!T227-1</f>
        <v>-2.7280858676207442E-2</v>
      </c>
      <c r="U226" s="1">
        <f>'Asset Prices'!U226/'Asset Prices'!U227-1</f>
        <v>-1.4092553799276208E-2</v>
      </c>
      <c r="V226" s="1">
        <f>'Asset Prices'!V226/'Asset Prices'!V227-1</f>
        <v>2.1004763967085172E-2</v>
      </c>
      <c r="W226" s="1">
        <f>'Asset Prices'!W226/'Asset Prices'!W227-1</f>
        <v>-2.3363456028212326E-2</v>
      </c>
      <c r="X226" s="1">
        <f>'Asset Prices'!X226/'Asset Prices'!X227-1</f>
        <v>1.6329428470003515E-2</v>
      </c>
      <c r="Y226" s="1">
        <f>'Asset Prices'!Y226/'Asset Prices'!Y227-1</f>
        <v>-7.1428571460381729E-2</v>
      </c>
      <c r="Z226" s="1">
        <f>'Asset Prices'!Z226/'Asset Prices'!Z227-1</f>
        <v>3.669724770642202E-2</v>
      </c>
      <c r="AA226" s="1">
        <f>'Asset Prices'!AA226/'Asset Prices'!AA227-1</f>
        <v>-1.9656019656019708E-2</v>
      </c>
      <c r="AB226" s="1">
        <f>'Asset Prices'!AB226/'Asset Prices'!AB227-1</f>
        <v>3.041825095057038E-2</v>
      </c>
      <c r="AC226" s="1">
        <f>'Asset Prices'!AC226/'Asset Prices'!AC227-1</f>
        <v>-5.3997194950911598E-2</v>
      </c>
      <c r="AD226" s="1">
        <f>'Asset Prices'!AD226/'Asset Prices'!AD227-1</f>
        <v>6.4542154094393567E-3</v>
      </c>
      <c r="AE226" s="1">
        <f>'Asset Prices'!AE226/'Asset Prices'!AE227-1</f>
        <v>-5.7531528978319257E-2</v>
      </c>
      <c r="AF226" s="1">
        <f>'Asset Prices'!AF226/'Asset Prices'!AF227-1</f>
        <v>-3.9819004524886847E-2</v>
      </c>
      <c r="AG226" s="1">
        <f>'Asset Prices'!AG226/'Asset Prices'!AG227-1</f>
        <v>-4.915514592933945E-2</v>
      </c>
      <c r="AH226" s="1">
        <f>'Asset Prices'!AH226/'Asset Prices'!AH227-1</f>
        <v>-3.711340206185576E-3</v>
      </c>
      <c r="AI226" s="1">
        <f>'Asset Prices'!AI226/'Asset Prices'!AI227-1</f>
        <v>-2.6282853566958697E-2</v>
      </c>
      <c r="AJ226" s="1">
        <f>'Asset Prices'!AJ226/'Asset Prices'!AJ227-1</f>
        <v>-3.7333333333333329E-2</v>
      </c>
      <c r="AK226" s="1">
        <f>'Asset Prices'!AK226/'Asset Prices'!AK227-1</f>
        <v>-1.1592741935483875E-2</v>
      </c>
      <c r="AL226" s="1">
        <f>'Asset Prices'!AL226/'Asset Prices'!AL227-1</f>
        <v>2.7840084443857993E-2</v>
      </c>
      <c r="AM226" s="1">
        <f>'Asset Prices'!AM226/'Asset Prices'!AM227-1</f>
        <v>1.2125888772529514E-3</v>
      </c>
      <c r="AN226" s="1">
        <f>'Asset Prices'!AN226/'Asset Prices'!AN227-1</f>
        <v>2.3220675944333857E-2</v>
      </c>
      <c r="AO226" s="1">
        <f>'Asset Prices'!AO226/'Asset Prices'!AO227-1</f>
        <v>3.8175815105241373E-2</v>
      </c>
      <c r="AP226" s="1">
        <f>'Asset Prices'!AP226/'Asset Prices'!AP227-1</f>
        <v>1.2755434075231165E-2</v>
      </c>
      <c r="AQ226" s="1">
        <f>'Asset Prices'!AQ226/'Asset Prices'!AQ227-1</f>
        <v>3.2453070314985677E-2</v>
      </c>
      <c r="AR226" s="1">
        <f>'Asset Prices'!AR226/'Asset Prices'!AR227-1</f>
        <v>-4.5515038594623469E-2</v>
      </c>
      <c r="AS226" s="1">
        <f>'Asset Prices'!AS226/'Asset Prices'!AS227-1</f>
        <v>7.8571428571427848E-3</v>
      </c>
      <c r="AT226" s="1">
        <f>'Asset Prices'!AT226/'Asset Prices'!AT227-1</f>
        <v>4.9401482044459932E-3</v>
      </c>
      <c r="AU226" s="1">
        <f>'Asset Prices'!AU226/'Asset Prices'!AU227-1</f>
        <v>9.3012955375928463E-3</v>
      </c>
      <c r="AV226" s="1">
        <f>'Asset Prices'!AV226/'Asset Prices'!AV227-1</f>
        <v>-5.5128205128206487E-3</v>
      </c>
      <c r="AW226" s="1">
        <f>'Asset Prices'!AW226/'Asset Prices'!AW227-1</f>
        <v>3.1285768790537904E-2</v>
      </c>
      <c r="AX226" s="1">
        <f>'Asset Prices'!AX226/'Asset Prices'!AX227-1</f>
        <v>-3.5242290748898064E-3</v>
      </c>
      <c r="AY226" s="1">
        <f>'Asset Prices'!AY226/'Asset Prices'!AY227-1</f>
        <v>8.8691796008870671E-3</v>
      </c>
      <c r="AZ226" s="1">
        <f>'Asset Prices'!AZ226/'Asset Prices'!AZ227-1</f>
        <v>-3.9962388340385679E-2</v>
      </c>
      <c r="BA226" s="1">
        <f>'Asset Prices'!BA226/'Asset Prices'!BA227-1</f>
        <v>6.6334991708125735E-3</v>
      </c>
      <c r="BB226" s="1">
        <f>'Asset Prices'!BB226/'Asset Prices'!BB227-1</f>
        <v>3.4994532104358544E-2</v>
      </c>
      <c r="BC226" s="1">
        <f>'Asset Prices'!BC226/'Asset Prices'!BC227-1</f>
        <v>-8.6405529953916815E-3</v>
      </c>
      <c r="BD226" s="1">
        <f>'Asset Prices'!BD226/'Asset Prices'!BD227-1</f>
        <v>2.4036469125569893E-2</v>
      </c>
    </row>
    <row r="227" spans="3:56" x14ac:dyDescent="0.25">
      <c r="C227" s="38">
        <f>'Asset Prices'!C227</f>
        <v>42782</v>
      </c>
      <c r="D227" s="1">
        <f>'Asset Prices'!D227/'Asset Prices'!D228-1</f>
        <v>2.1383500817948153E-2</v>
      </c>
      <c r="E227" s="1">
        <f>'Asset Prices'!E227/'Asset Prices'!E228-1</f>
        <v>1.1142570097725901E-2</v>
      </c>
      <c r="F227" s="1">
        <f>'Asset Prices'!F227/'Asset Prices'!F228-1</f>
        <v>1.7718314952088088E-2</v>
      </c>
      <c r="G227" s="1">
        <f>'Asset Prices'!G227/'Asset Prices'!G228-1</f>
        <v>3.3805617698235313E-2</v>
      </c>
      <c r="H227" s="1">
        <f>'Asset Prices'!H227/'Asset Prices'!H228-1</f>
        <v>4.5764154959557324E-2</v>
      </c>
      <c r="I227" s="1">
        <f>'Asset Prices'!I227/'Asset Prices'!I228-1</f>
        <v>-2.2364693603695862E-3</v>
      </c>
      <c r="J227" s="1">
        <f>'Asset Prices'!J227/'Asset Prices'!J228-1</f>
        <v>2.2088808337109356E-2</v>
      </c>
      <c r="K227" s="1">
        <f>'Asset Prices'!K227/'Asset Prices'!K228-1</f>
        <v>2.7734489139962903E-2</v>
      </c>
      <c r="L227" s="1">
        <f>'Asset Prices'!L227/'Asset Prices'!L228-1</f>
        <v>-1.4777299847370529E-2</v>
      </c>
      <c r="M227" s="1">
        <f>'Asset Prices'!M227/'Asset Prices'!M228-1</f>
        <v>7.1807680299718069E-3</v>
      </c>
      <c r="N227" s="1">
        <f>'Asset Prices'!N227/'Asset Prices'!N228-1</f>
        <v>1.4589306797099022E-2</v>
      </c>
      <c r="O227" s="1">
        <f>'Asset Prices'!O227/'Asset Prices'!O228-1</f>
        <v>-4.2549255388030227E-3</v>
      </c>
      <c r="P227" s="1">
        <f>'Asset Prices'!P227/'Asset Prices'!P228-1</f>
        <v>1.7851409490785342E-2</v>
      </c>
      <c r="Q227" s="1">
        <f>'Asset Prices'!Q227/'Asset Prices'!Q228-1</f>
        <v>4.6259637424463484E-2</v>
      </c>
      <c r="R227" s="1">
        <f>'Asset Prices'!R227/'Asset Prices'!R228-1</f>
        <v>3.1130268199235367E-3</v>
      </c>
      <c r="S227" s="1">
        <f>'Asset Prices'!S227/'Asset Prices'!S228-1</f>
        <v>8.4697910784865549E-3</v>
      </c>
      <c r="T227" s="1">
        <f>'Asset Prices'!T227/'Asset Prices'!T228-1</f>
        <v>3.0533471598110262E-2</v>
      </c>
      <c r="U227" s="1">
        <f>'Asset Prices'!U227/'Asset Prices'!U228-1</f>
        <v>-7.9350085017948491E-3</v>
      </c>
      <c r="V227" s="1">
        <f>'Asset Prices'!V227/'Asset Prices'!V228-1</f>
        <v>2.1907501659659268E-2</v>
      </c>
      <c r="W227" s="1">
        <f>'Asset Prices'!W227/'Asset Prices'!W228-1</f>
        <v>1.4308070646098736E-2</v>
      </c>
      <c r="X227" s="1">
        <f>'Asset Prices'!X227/'Asset Prices'!X228-1</f>
        <v>3.338224504768883E-2</v>
      </c>
      <c r="Y227" s="1">
        <f>'Asset Prices'!Y227/'Asset Prices'!Y228-1</f>
        <v>-1.4017094018854537E-2</v>
      </c>
      <c r="Z227" s="1">
        <f>'Asset Prices'!Z227/'Asset Prices'!Z228-1</f>
        <v>-5.6277056277056259E-2</v>
      </c>
      <c r="AA227" s="1">
        <f>'Asset Prices'!AA227/'Asset Prices'!AA228-1</f>
        <v>1.7500000000000071E-2</v>
      </c>
      <c r="AB227" s="1">
        <f>'Asset Prices'!AB227/'Asset Prices'!AB228-1</f>
        <v>4.3650793650793496E-2</v>
      </c>
      <c r="AC227" s="1">
        <f>'Asset Prices'!AC227/'Asset Prices'!AC228-1</f>
        <v>0.11755485893416928</v>
      </c>
      <c r="AD227" s="1">
        <f>'Asset Prices'!AD227/'Asset Prices'!AD228-1</f>
        <v>9.1349328637464255E-2</v>
      </c>
      <c r="AE227" s="1">
        <f>'Asset Prices'!AE227/'Asset Prices'!AE228-1</f>
        <v>3.6726898780667039E-2</v>
      </c>
      <c r="AF227" s="1">
        <f>'Asset Prices'!AF227/'Asset Prices'!AF228-1</f>
        <v>4.1470311027332674E-2</v>
      </c>
      <c r="AG227" s="1">
        <f>'Asset Prices'!AG227/'Asset Prices'!AG228-1</f>
        <v>1.2441679626749469E-2</v>
      </c>
      <c r="AH227" s="1">
        <f>'Asset Prices'!AH227/'Asset Prices'!AH228-1</f>
        <v>-8.7831483919503461E-2</v>
      </c>
      <c r="AI227" s="1">
        <f>'Asset Prices'!AI227/'Asset Prices'!AI228-1</f>
        <v>4.7868852459016287E-2</v>
      </c>
      <c r="AJ227" s="1">
        <f>'Asset Prices'!AJ227/'Asset Prices'!AJ228-1</f>
        <v>-2.6595744680851796E-3</v>
      </c>
      <c r="AK227" s="1">
        <f>'Asset Prices'!AK227/'Asset Prices'!AK228-1</f>
        <v>-6.5097646469703951E-3</v>
      </c>
      <c r="AL227" s="1">
        <f>'Asset Prices'!AL227/'Asset Prices'!AL228-1</f>
        <v>1.3777421080791941E-2</v>
      </c>
      <c r="AM227" s="1">
        <f>'Asset Prices'!AM227/'Asset Prices'!AM228-1</f>
        <v>2.3813554539811488E-2</v>
      </c>
      <c r="AN227" s="1">
        <f>'Asset Prices'!AN227/'Asset Prices'!AN228-1</f>
        <v>1.9704832954914098E-2</v>
      </c>
      <c r="AO227" s="1">
        <f>'Asset Prices'!AO227/'Asset Prices'!AO228-1</f>
        <v>-7.1706617496415381E-3</v>
      </c>
      <c r="AP227" s="1">
        <f>'Asset Prices'!AP227/'Asset Prices'!AP228-1</f>
        <v>9.4599921166731438E-3</v>
      </c>
      <c r="AQ227" s="1">
        <f>'Asset Prices'!AQ227/'Asset Prices'!AQ228-1</f>
        <v>7.9605158414253196E-4</v>
      </c>
      <c r="AR227" s="1">
        <f>'Asset Prices'!AR227/'Asset Prices'!AR228-1</f>
        <v>9.9462365591398427E-3</v>
      </c>
      <c r="AS227" s="1">
        <f>'Asset Prices'!AS227/'Asset Prices'!AS228-1</f>
        <v>6.8702290076335881E-2</v>
      </c>
      <c r="AT227" s="1">
        <f>'Asset Prices'!AT227/'Asset Prices'!AT228-1</f>
        <v>7.2727272727273196E-3</v>
      </c>
      <c r="AU227" s="1">
        <f>'Asset Prices'!AU227/'Asset Prices'!AU228-1</f>
        <v>1.5803385636353529E-2</v>
      </c>
      <c r="AV227" s="1">
        <f>'Asset Prices'!AV227/'Asset Prices'!AV228-1</f>
        <v>-1.750850233026835E-2</v>
      </c>
      <c r="AW227" s="1">
        <f>'Asset Prices'!AW227/'Asset Prices'!AW228-1</f>
        <v>2.1434138737334463E-2</v>
      </c>
      <c r="AX227" s="1">
        <f>'Asset Prices'!AX227/'Asset Prices'!AX228-1</f>
        <v>7.9928952042629398E-3</v>
      </c>
      <c r="AY227" s="1">
        <f>'Asset Prices'!AY227/'Asset Prices'!AY228-1</f>
        <v>-7.5819672131147597E-2</v>
      </c>
      <c r="AZ227" s="1">
        <f>'Asset Prices'!AZ227/'Asset Prices'!AZ228-1</f>
        <v>-7.9291044776118591E-3</v>
      </c>
      <c r="BA227" s="1">
        <f>'Asset Prices'!BA227/'Asset Prices'!BA228-1</f>
        <v>1.5151515151515138E-2</v>
      </c>
      <c r="BB227" s="1">
        <f>'Asset Prices'!BB227/'Asset Prices'!BB228-1</f>
        <v>6.6048120773707364E-3</v>
      </c>
      <c r="BC227" s="1">
        <f>'Asset Prices'!BC227/'Asset Prices'!BC228-1</f>
        <v>2.6308010641442392E-2</v>
      </c>
      <c r="BD227" s="1">
        <f>'Asset Prices'!BD227/'Asset Prices'!BD228-1</f>
        <v>5.6479859894921214E-2</v>
      </c>
    </row>
    <row r="228" spans="3:56" x14ac:dyDescent="0.25">
      <c r="C228" s="38">
        <f>'Asset Prices'!C228</f>
        <v>42775</v>
      </c>
      <c r="D228" s="1">
        <f>'Asset Prices'!D228/'Asset Prices'!D229-1</f>
        <v>3.985419198055884E-2</v>
      </c>
      <c r="E228" s="1">
        <f>'Asset Prices'!E228/'Asset Prices'!E229-1</f>
        <v>-1.0125666757074492E-2</v>
      </c>
      <c r="F228" s="1">
        <f>'Asset Prices'!F228/'Asset Prices'!F229-1</f>
        <v>4.7537878787878851E-2</v>
      </c>
      <c r="G228" s="1">
        <f>'Asset Prices'!G228/'Asset Prices'!G229-1</f>
        <v>6.2531265632816968E-3</v>
      </c>
      <c r="H228" s="1">
        <f>'Asset Prices'!H228/'Asset Prices'!H229-1</f>
        <v>2.0262344033272761E-3</v>
      </c>
      <c r="I228" s="1">
        <f>'Asset Prices'!I228/'Asset Prices'!I229-1</f>
        <v>2.5221644756954875E-2</v>
      </c>
      <c r="J228" s="1">
        <f>'Asset Prices'!J228/'Asset Prices'!J229-1</f>
        <v>3.0265307710262146E-2</v>
      </c>
      <c r="K228" s="1">
        <f>'Asset Prices'!K228/'Asset Prices'!K229-1</f>
        <v>-2.213226977796301E-2</v>
      </c>
      <c r="L228" s="1">
        <f>'Asset Prices'!L228/'Asset Prices'!L229-1</f>
        <v>3.5488505747126364E-2</v>
      </c>
      <c r="M228" s="1">
        <f>'Asset Prices'!M228/'Asset Prices'!M229-1</f>
        <v>1.4088966281462723E-2</v>
      </c>
      <c r="N228" s="1">
        <f>'Asset Prices'!N228/'Asset Prices'!N229-1</f>
        <v>1.44208442304401E-2</v>
      </c>
      <c r="O228" s="1">
        <f>'Asset Prices'!O228/'Asset Prices'!O229-1</f>
        <v>2.3865896391703778E-2</v>
      </c>
      <c r="P228" s="1">
        <f>'Asset Prices'!P228/'Asset Prices'!P229-1</f>
        <v>4.3277282776177151E-2</v>
      </c>
      <c r="Q228" s="1">
        <f>'Asset Prices'!Q228/'Asset Prices'!Q229-1</f>
        <v>8.9351413854725781E-3</v>
      </c>
      <c r="R228" s="1">
        <f>'Asset Prices'!R228/'Asset Prices'!R229-1</f>
        <v>8.9393573326890241E-3</v>
      </c>
      <c r="S228" s="1">
        <f>'Asset Prices'!S228/'Asset Prices'!S229-1</f>
        <v>3.9682539682539542E-3</v>
      </c>
      <c r="T228" s="1">
        <f>'Asset Prices'!T228/'Asset Prices'!T229-1</f>
        <v>2.7100591715976341E-2</v>
      </c>
      <c r="U228" s="1">
        <f>'Asset Prices'!U228/'Asset Prices'!U229-1</f>
        <v>2.3989166183014055E-2</v>
      </c>
      <c r="V228" s="1">
        <f>'Asset Prices'!V228/'Asset Prices'!V229-1</f>
        <v>8.4802499442089285E-3</v>
      </c>
      <c r="W228" s="1">
        <f>'Asset Prices'!W228/'Asset Prices'!W229-1</f>
        <v>9.4786729857818663E-3</v>
      </c>
      <c r="X228" s="1">
        <f>'Asset Prices'!X228/'Asset Prices'!X229-1</f>
        <v>3.1403707907680767E-2</v>
      </c>
      <c r="Y228" s="1">
        <f>'Asset Prices'!Y228/'Asset Prices'!Y229-1</f>
        <v>2.9929577497577853E-2</v>
      </c>
      <c r="Z228" s="1">
        <f>'Asset Prices'!Z228/'Asset Prices'!Z229-1</f>
        <v>5.0000000000000044E-2</v>
      </c>
      <c r="AA228" s="1">
        <f>'Asset Prices'!AA228/'Asset Prices'!AA229-1</f>
        <v>3.7613488975356768E-2</v>
      </c>
      <c r="AB228" s="1">
        <f>'Asset Prices'!AB228/'Asset Prices'!AB229-1</f>
        <v>-7.8740157480314821E-3</v>
      </c>
      <c r="AC228" s="1">
        <f>'Asset Prices'!AC228/'Asset Prices'!AC229-1</f>
        <v>-3.9032006245121043E-3</v>
      </c>
      <c r="AD228" s="1">
        <f>'Asset Prices'!AD228/'Asset Prices'!AD229-1</f>
        <v>6.8705673758866492E-3</v>
      </c>
      <c r="AE228" s="1">
        <f>'Asset Prices'!AE228/'Asset Prices'!AE229-1</f>
        <v>2.4996235506700826E-2</v>
      </c>
      <c r="AF228" s="1">
        <f>'Asset Prices'!AF228/'Asset Prices'!AF229-1</f>
        <v>1.2082670906200299E-2</v>
      </c>
      <c r="AG228" s="1">
        <f>'Asset Prices'!AG228/'Asset Prices'!AG229-1</f>
        <v>3.0448717948717841E-2</v>
      </c>
      <c r="AH228" s="1">
        <f>'Asset Prices'!AH228/'Asset Prices'!AH229-1</f>
        <v>4.8511141786629963E-2</v>
      </c>
      <c r="AI228" s="1">
        <f>'Asset Prices'!AI228/'Asset Prices'!AI229-1</f>
        <v>4.5236463331048693E-2</v>
      </c>
      <c r="AJ228" s="1">
        <f>'Asset Prices'!AJ228/'Asset Prices'!AJ229-1</f>
        <v>2.1739130434782705E-2</v>
      </c>
      <c r="AK228" s="1">
        <f>'Asset Prices'!AK228/'Asset Prices'!AK229-1</f>
        <v>3.0975735673722138E-2</v>
      </c>
      <c r="AL228" s="1">
        <f>'Asset Prices'!AL228/'Asset Prices'!AL229-1</f>
        <v>2.9610246522517647E-2</v>
      </c>
      <c r="AM228" s="1">
        <f>'Asset Prices'!AM228/'Asset Prices'!AM229-1</f>
        <v>1.5064726772826109E-2</v>
      </c>
      <c r="AN228" s="1">
        <f>'Asset Prices'!AN228/'Asset Prices'!AN229-1</f>
        <v>-5.6730691303996661E-4</v>
      </c>
      <c r="AO228" s="1">
        <f>'Asset Prices'!AO228/'Asset Prices'!AO229-1</f>
        <v>1.0977630488815171E-2</v>
      </c>
      <c r="AP228" s="1">
        <f>'Asset Prices'!AP228/'Asset Prices'!AP229-1</f>
        <v>1.5748031496062964E-2</v>
      </c>
      <c r="AQ228" s="1">
        <f>'Asset Prices'!AQ228/'Asset Prices'!AQ229-1</f>
        <v>7.9766202509884865E-2</v>
      </c>
      <c r="AR228" s="1">
        <f>'Asset Prices'!AR228/'Asset Prices'!AR229-1</f>
        <v>1.4176663031624903E-2</v>
      </c>
      <c r="AS228" s="1">
        <f>'Asset Prices'!AS228/'Asset Prices'!AS229-1</f>
        <v>7.692307692307665E-3</v>
      </c>
      <c r="AT228" s="1">
        <f>'Asset Prices'!AT228/'Asset Prices'!AT229-1</f>
        <v>-2.4818633066056028E-3</v>
      </c>
      <c r="AU228" s="1">
        <f>'Asset Prices'!AU228/'Asset Prices'!AU229-1</f>
        <v>-8.9902792605489612E-4</v>
      </c>
      <c r="AV228" s="1">
        <f>'Asset Prices'!AV228/'Asset Prices'!AV229-1</f>
        <v>2.8367875647668406E-2</v>
      </c>
      <c r="AW228" s="1">
        <f>'Asset Prices'!AW228/'Asset Prices'!AW229-1</f>
        <v>0.15794223826714804</v>
      </c>
      <c r="AX228" s="1">
        <f>'Asset Prices'!AX228/'Asset Prices'!AX229-1</f>
        <v>-0.13184271395528147</v>
      </c>
      <c r="AY228" s="1">
        <f>'Asset Prices'!AY228/'Asset Prices'!AY229-1</f>
        <v>8.2644628099173278E-3</v>
      </c>
      <c r="AZ228" s="1">
        <f>'Asset Prices'!AZ228/'Asset Prices'!AZ229-1</f>
        <v>3.0769230769230882E-2</v>
      </c>
      <c r="BA228" s="1">
        <f>'Asset Prices'!BA228/'Asset Prices'!BA229-1</f>
        <v>1.0204081632652962E-2</v>
      </c>
      <c r="BB228" s="1">
        <f>'Asset Prices'!BB228/'Asset Prices'!BB229-1</f>
        <v>-2.1967676133688441E-3</v>
      </c>
      <c r="BC228" s="1">
        <f>'Asset Prices'!BC228/'Asset Prices'!BC229-1</f>
        <v>3.7730061349693367E-2</v>
      </c>
      <c r="BD228" s="1">
        <f>'Asset Prices'!BD228/'Asset Prices'!BD229-1</f>
        <v>-6.1434148346003692E-2</v>
      </c>
    </row>
    <row r="229" spans="3:56" x14ac:dyDescent="0.25">
      <c r="C229" s="38">
        <f>'Asset Prices'!C229</f>
        <v>42768</v>
      </c>
      <c r="D229" s="1">
        <f>'Asset Prices'!D229/'Asset Prices'!D230-1</f>
        <v>-1.1292647765497321E-2</v>
      </c>
      <c r="E229" s="1">
        <f>'Asset Prices'!E229/'Asset Prices'!E230-1</f>
        <v>2.3598001110494149E-2</v>
      </c>
      <c r="F229" s="1">
        <f>'Asset Prices'!F229/'Asset Prices'!F230-1</f>
        <v>-1.5843429636533068E-2</v>
      </c>
      <c r="G229" s="1">
        <f>'Asset Prices'!G229/'Asset Prices'!G230-1</f>
        <v>-3.7378519810616906E-3</v>
      </c>
      <c r="H229" s="1">
        <f>'Asset Prices'!H229/'Asset Prices'!H230-1</f>
        <v>-3.5486525406295044E-2</v>
      </c>
      <c r="I229" s="1">
        <f>'Asset Prices'!I229/'Asset Prices'!I230-1</f>
        <v>-1.4610634131646316E-2</v>
      </c>
      <c r="J229" s="1">
        <f>'Asset Prices'!J229/'Asset Prices'!J230-1</f>
        <v>5.4042971953419672E-2</v>
      </c>
      <c r="K229" s="1">
        <f>'Asset Prices'!K229/'Asset Prices'!K230-1</f>
        <v>9.5334564738136507E-4</v>
      </c>
      <c r="L229" s="1">
        <f>'Asset Prices'!L229/'Asset Prices'!L230-1</f>
        <v>1.7271157167528806E-3</v>
      </c>
      <c r="M229" s="1">
        <f>'Asset Prices'!M229/'Asset Prices'!M230-1</f>
        <v>-1.7115294849852081E-2</v>
      </c>
      <c r="N229" s="1">
        <f>'Asset Prices'!N229/'Asset Prices'!N230-1</f>
        <v>-4.5181917897733959E-2</v>
      </c>
      <c r="O229" s="1">
        <f>'Asset Prices'!O229/'Asset Prices'!O230-1</f>
        <v>-7.5707390934043328E-4</v>
      </c>
      <c r="P229" s="1">
        <f>'Asset Prices'!P229/'Asset Prices'!P230-1</f>
        <v>-4.6676001867039796E-3</v>
      </c>
      <c r="Q229" s="1">
        <f>'Asset Prices'!Q229/'Asset Prices'!Q230-1</f>
        <v>3.1443131302179239E-2</v>
      </c>
      <c r="R229" s="1">
        <f>'Asset Prices'!R229/'Asset Prices'!R230-1</f>
        <v>1.1733072598386851E-2</v>
      </c>
      <c r="S229" s="1">
        <f>'Asset Prices'!S229/'Asset Prices'!S230-1</f>
        <v>2.5283347863993111E-2</v>
      </c>
      <c r="T229" s="1">
        <f>'Asset Prices'!T229/'Asset Prices'!T230-1</f>
        <v>-1.5610438024231121E-2</v>
      </c>
      <c r="U229" s="1">
        <f>'Asset Prices'!U229/'Asset Prices'!U230-1</f>
        <v>-1.3737836290784178E-2</v>
      </c>
      <c r="V229" s="1">
        <f>'Asset Prices'!V229/'Asset Prices'!V230-1</f>
        <v>-4.0471092077087878E-2</v>
      </c>
      <c r="W229" s="1">
        <f>'Asset Prices'!W229/'Asset Prices'!W230-1</f>
        <v>-2.0340481980985925E-2</v>
      </c>
      <c r="X229" s="1">
        <f>'Asset Prices'!X229/'Asset Prices'!X230-1</f>
        <v>-1.9658753709198895E-2</v>
      </c>
      <c r="Y229" s="1">
        <f>'Asset Prices'!Y229/'Asset Prices'!Y230-1</f>
        <v>1.1035955832307875E-2</v>
      </c>
      <c r="Z229" s="1">
        <f>'Asset Prices'!Z229/'Asset Prices'!Z230-1</f>
        <v>-4.5248868778281492E-3</v>
      </c>
      <c r="AA229" s="1">
        <f>'Asset Prices'!AA229/'Asset Prices'!AA230-1</f>
        <v>-1.7834394904458706E-2</v>
      </c>
      <c r="AB229" s="1">
        <f>'Asset Prices'!AB229/'Asset Prices'!AB230-1</f>
        <v>-1.1673151750972721E-2</v>
      </c>
      <c r="AC229" s="1">
        <f>'Asset Prices'!AC229/'Asset Prices'!AC230-1</f>
        <v>-1.6884113584036964E-2</v>
      </c>
      <c r="AD229" s="1">
        <f>'Asset Prices'!AD229/'Asset Prices'!AD230-1</f>
        <v>-2.0408163265306256E-2</v>
      </c>
      <c r="AE229" s="1">
        <f>'Asset Prices'!AE229/'Asset Prices'!AE230-1</f>
        <v>-2.781437564046263E-2</v>
      </c>
      <c r="AF229" s="1">
        <f>'Asset Prices'!AF229/'Asset Prices'!AF230-1</f>
        <v>-1.2248743718592969E-2</v>
      </c>
      <c r="AG229" s="1">
        <f>'Asset Prices'!AG229/'Asset Prices'!AG230-1</f>
        <v>3.8269550748752046E-2</v>
      </c>
      <c r="AH229" s="1">
        <f>'Asset Prices'!AH229/'Asset Prices'!AH230-1</f>
        <v>-3.1512605042016806E-2</v>
      </c>
      <c r="AI229" s="1">
        <f>'Asset Prices'!AI229/'Asset Prices'!AI230-1</f>
        <v>-0.32733978792070062</v>
      </c>
      <c r="AJ229" s="1">
        <f>'Asset Prices'!AJ229/'Asset Prices'!AJ230-1</f>
        <v>2.7932960893854775E-2</v>
      </c>
      <c r="AK229" s="1">
        <f>'Asset Prices'!AK229/'Asset Prices'!AK230-1</f>
        <v>-8.1990521327014232E-2</v>
      </c>
      <c r="AL229" s="1">
        <f>'Asset Prices'!AL229/'Asset Prices'!AL230-1</f>
        <v>9.0327959977767325E-3</v>
      </c>
      <c r="AM229" s="1">
        <f>'Asset Prices'!AM229/'Asset Prices'!AM230-1</f>
        <v>-2.2836673010186881E-2</v>
      </c>
      <c r="AN229" s="1">
        <f>'Asset Prices'!AN229/'Asset Prices'!AN230-1</f>
        <v>2.1186791359761648E-2</v>
      </c>
      <c r="AO229" s="1">
        <f>'Asset Prices'!AO229/'Asset Prices'!AO230-1</f>
        <v>-1.7100977198696965E-2</v>
      </c>
      <c r="AP229" s="1">
        <f>'Asset Prices'!AP229/'Asset Prices'!AP230-1</f>
        <v>-1.7319477751132073E-3</v>
      </c>
      <c r="AQ229" s="1">
        <f>'Asset Prices'!AQ229/'Asset Prices'!AQ230-1</f>
        <v>7.6216871643859374E-3</v>
      </c>
      <c r="AR229" s="1">
        <f>'Asset Prices'!AR229/'Asset Prices'!AR230-1</f>
        <v>7.2828312372038351E-2</v>
      </c>
      <c r="AS229" s="1">
        <f>'Asset Prices'!AS229/'Asset Prices'!AS230-1</f>
        <v>8.0332409972299068E-2</v>
      </c>
      <c r="AT229" s="1">
        <f>'Asset Prices'!AT229/'Asset Prices'!AT230-1</f>
        <v>-1.2257212898359349E-2</v>
      </c>
      <c r="AU229" s="1">
        <f>'Asset Prices'!AU229/'Asset Prices'!AU230-1</f>
        <v>4.0212753521538414E-2</v>
      </c>
      <c r="AV229" s="1">
        <f>'Asset Prices'!AV229/'Asset Prices'!AV230-1</f>
        <v>1.352238414073792E-2</v>
      </c>
      <c r="AW229" s="1">
        <f>'Asset Prices'!AW229/'Asset Prices'!AW230-1</f>
        <v>-8.8440970793911888E-2</v>
      </c>
      <c r="AX229" s="1">
        <f>'Asset Prices'!AX229/'Asset Prices'!AX230-1</f>
        <v>1.1700468018720711E-2</v>
      </c>
      <c r="AY229" s="1">
        <f>'Asset Prices'!AY229/'Asset Prices'!AY230-1</f>
        <v>-3.1999999999999917E-2</v>
      </c>
      <c r="AZ229" s="1">
        <f>'Asset Prices'!AZ229/'Asset Prices'!AZ230-1</f>
        <v>-1.7322834645669416E-2</v>
      </c>
      <c r="BA229" s="1">
        <f>'Asset Prices'!BA229/'Asset Prices'!BA230-1</f>
        <v>-3.13014827018121E-2</v>
      </c>
      <c r="BB229" s="1">
        <f>'Asset Prices'!BB229/'Asset Prices'!BB230-1</f>
        <v>-9.6348096348095602E-3</v>
      </c>
      <c r="BC229" s="1">
        <f>'Asset Prices'!BC229/'Asset Prices'!BC230-1</f>
        <v>-7.5963718820861725E-2</v>
      </c>
      <c r="BD229" s="1">
        <f>'Asset Prices'!BD229/'Asset Prices'!BD230-1</f>
        <v>-1.5574433656957876E-2</v>
      </c>
    </row>
    <row r="230" spans="3:56" x14ac:dyDescent="0.25">
      <c r="C230" s="38">
        <f>'Asset Prices'!C230</f>
        <v>42761</v>
      </c>
      <c r="D230" s="1">
        <f>'Asset Prices'!D230/'Asset Prices'!D231-1</f>
        <v>1.8475468004404583E-2</v>
      </c>
      <c r="E230" s="1">
        <f>'Asset Prices'!E230/'Asset Prices'!E231-1</f>
        <v>7.2706935123043603E-3</v>
      </c>
      <c r="F230" s="1">
        <f>'Asset Prices'!F230/'Asset Prices'!F231-1</f>
        <v>1.360287171736263E-2</v>
      </c>
      <c r="G230" s="1">
        <f>'Asset Prices'!G230/'Asset Prices'!G231-1</f>
        <v>2.3463402193317995E-2</v>
      </c>
      <c r="H230" s="1">
        <f>'Asset Prices'!H230/'Asset Prices'!H231-1</f>
        <v>4.1122295994859837E-2</v>
      </c>
      <c r="I230" s="1">
        <f>'Asset Prices'!I230/'Asset Prices'!I231-1</f>
        <v>4.1003528028224157E-2</v>
      </c>
      <c r="J230" s="1">
        <f>'Asset Prices'!J230/'Asset Prices'!J231-1</f>
        <v>1.8033060611120311E-2</v>
      </c>
      <c r="K230" s="1">
        <f>'Asset Prices'!K230/'Asset Prices'!K231-1</f>
        <v>3.7216948482151624E-2</v>
      </c>
      <c r="L230" s="1">
        <f>'Asset Prices'!L230/'Asset Prices'!L231-1</f>
        <v>3.9737013221587958E-3</v>
      </c>
      <c r="M230" s="1">
        <f>'Asset Prices'!M230/'Asset Prices'!M231-1</f>
        <v>3.1621187800963124E-2</v>
      </c>
      <c r="N230" s="1">
        <f>'Asset Prices'!N230/'Asset Prices'!N231-1</f>
        <v>3.9557480257651267E-2</v>
      </c>
      <c r="O230" s="1">
        <f>'Asset Prices'!O230/'Asset Prices'!O231-1</f>
        <v>4.2767534689223119E-3</v>
      </c>
      <c r="P230" s="1">
        <f>'Asset Prices'!P230/'Asset Prices'!P231-1</f>
        <v>2.5402767564677298E-3</v>
      </c>
      <c r="Q230" s="1">
        <f>'Asset Prices'!Q230/'Asset Prices'!Q231-1</f>
        <v>1.8553285477636683E-2</v>
      </c>
      <c r="R230" s="1">
        <f>'Asset Prices'!R230/'Asset Prices'!R231-1</f>
        <v>4.8911714355570624E-4</v>
      </c>
      <c r="S230" s="1">
        <f>'Asset Prices'!S230/'Asset Prices'!S231-1</f>
        <v>5.2585451358457824E-3</v>
      </c>
      <c r="T230" s="1">
        <f>'Asset Prices'!T230/'Asset Prices'!T231-1</f>
        <v>1.5497456524310893E-2</v>
      </c>
      <c r="U230" s="1">
        <f>'Asset Prices'!U230/'Asset Prices'!U231-1</f>
        <v>-6.1425501432664897E-2</v>
      </c>
      <c r="V230" s="1">
        <f>'Asset Prices'!V230/'Asset Prices'!V231-1</f>
        <v>6.7916761948319415E-2</v>
      </c>
      <c r="W230" s="1">
        <f>'Asset Prices'!W230/'Asset Prices'!W231-1</f>
        <v>3.6672014668805764E-2</v>
      </c>
      <c r="X230" s="1">
        <f>'Asset Prices'!X230/'Asset Prices'!X231-1</f>
        <v>7.6892350709007351E-2</v>
      </c>
      <c r="Y230" s="1">
        <f>'Asset Prices'!Y230/'Asset Prices'!Y231-1</f>
        <v>-2.465277777424435E-2</v>
      </c>
      <c r="Z230" s="1">
        <f>'Asset Prices'!Z230/'Asset Prices'!Z231-1</f>
        <v>6.7632850241545972E-2</v>
      </c>
      <c r="AA230" s="1">
        <f>'Asset Prices'!AA230/'Asset Prices'!AA231-1</f>
        <v>4.8064085447262928E-2</v>
      </c>
      <c r="AB230" s="1">
        <f>'Asset Prices'!AB230/'Asset Prices'!AB231-1</f>
        <v>-2.281368821292773E-2</v>
      </c>
      <c r="AC230" s="1">
        <f>'Asset Prices'!AC230/'Asset Prices'!AC231-1</f>
        <v>0.14298245614035099</v>
      </c>
      <c r="AD230" s="1">
        <f>'Asset Prices'!AD230/'Asset Prices'!AD231-1</f>
        <v>6.5710319296621966E-2</v>
      </c>
      <c r="AE230" s="1">
        <f>'Asset Prices'!AE230/'Asset Prices'!AE231-1</f>
        <v>8.5634135538166234E-3</v>
      </c>
      <c r="AF230" s="1">
        <f>'Asset Prices'!AF230/'Asset Prices'!AF231-1</f>
        <v>5.2561983471074436E-2</v>
      </c>
      <c r="AG230" s="1">
        <f>'Asset Prices'!AG230/'Asset Prices'!AG231-1</f>
        <v>-4.2993630573248343E-2</v>
      </c>
      <c r="AH230" s="1">
        <f>'Asset Prices'!AH230/'Asset Prices'!AH231-1</f>
        <v>2.9290347945744033E-2</v>
      </c>
      <c r="AI230" s="1">
        <f>'Asset Prices'!AI230/'Asset Prices'!AI231-1</f>
        <v>3.8130185067006828E-2</v>
      </c>
      <c r="AJ230" s="1">
        <f>'Asset Prices'!AJ230/'Asset Prices'!AJ231-1</f>
        <v>0.10493827160493829</v>
      </c>
      <c r="AK230" s="1">
        <f>'Asset Prices'!AK230/'Asset Prices'!AK231-1</f>
        <v>-1.217228464419462E-2</v>
      </c>
      <c r="AL230" s="1">
        <f>'Asset Prices'!AL230/'Asset Prices'!AL231-1</f>
        <v>3.3463469046290939E-3</v>
      </c>
      <c r="AM230" s="1">
        <f>'Asset Prices'!AM230/'Asset Prices'!AM231-1</f>
        <v>7.1038906540375146E-2</v>
      </c>
      <c r="AN230" s="1">
        <f>'Asset Prices'!AN230/'Asset Prices'!AN231-1</f>
        <v>-1.0644395316465993E-2</v>
      </c>
      <c r="AO230" s="1">
        <f>'Asset Prices'!AO230/'Asset Prices'!AO231-1</f>
        <v>-6.1879297173414893E-2</v>
      </c>
      <c r="AP230" s="1">
        <f>'Asset Prices'!AP230/'Asset Prices'!AP231-1</f>
        <v>-2.663825253063079E-4</v>
      </c>
      <c r="AQ230" s="1">
        <f>'Asset Prices'!AQ230/'Asset Prices'!AQ231-1</f>
        <v>7.2649572649572614E-2</v>
      </c>
      <c r="AR230" s="1">
        <f>'Asset Prices'!AR230/'Asset Prices'!AR231-1</f>
        <v>-2.118522759805308E-2</v>
      </c>
      <c r="AS230" s="1">
        <f>'Asset Prices'!AS230/'Asset Prices'!AS231-1</f>
        <v>-2.3004059539918797E-2</v>
      </c>
      <c r="AT230" s="1">
        <f>'Asset Prices'!AT230/'Asset Prices'!AT231-1</f>
        <v>-1.1003356956359456E-2</v>
      </c>
      <c r="AU230" s="1">
        <f>'Asset Prices'!AU230/'Asset Prices'!AU231-1</f>
        <v>-1.4004149377593422E-2</v>
      </c>
      <c r="AV230" s="1">
        <f>'Asset Prices'!AV230/'Asset Prices'!AV231-1</f>
        <v>-1.180173092053538E-3</v>
      </c>
      <c r="AW230" s="1">
        <f>'Asset Prices'!AW230/'Asset Prices'!AW231-1</f>
        <v>1.5455304928988944E-2</v>
      </c>
      <c r="AX230" s="1">
        <f>'Asset Prices'!AX230/'Asset Prices'!AX231-1</f>
        <v>-2.286585365853655E-2</v>
      </c>
      <c r="AY230" s="1">
        <f>'Asset Prices'!AY230/'Asset Prices'!AY231-1</f>
        <v>6.3829787234042534E-2</v>
      </c>
      <c r="AZ230" s="1">
        <f>'Asset Prices'!AZ230/'Asset Prices'!AZ231-1</f>
        <v>2.9507133592736601E-2</v>
      </c>
      <c r="BA230" s="1">
        <f>'Asset Prices'!BA230/'Asset Prices'!BA231-1</f>
        <v>1.675041876046901E-2</v>
      </c>
      <c r="BB230" s="1">
        <f>'Asset Prices'!BB230/'Asset Prices'!BB231-1</f>
        <v>1.9002375296911955E-2</v>
      </c>
      <c r="BC230" s="1">
        <f>'Asset Prices'!BC230/'Asset Prices'!BC231-1</f>
        <v>-8.4961767204760896E-4</v>
      </c>
      <c r="BD230" s="1">
        <f>'Asset Prices'!BD230/'Asset Prices'!BD231-1</f>
        <v>3.3768949294302075E-2</v>
      </c>
    </row>
    <row r="231" spans="3:56" x14ac:dyDescent="0.25">
      <c r="C231" s="38">
        <f>'Asset Prices'!C231</f>
        <v>42754</v>
      </c>
      <c r="D231" s="1">
        <f>'Asset Prices'!D231/'Asset Prices'!D232-1</f>
        <v>4.4242349760352795E-3</v>
      </c>
      <c r="E231" s="1">
        <f>'Asset Prices'!E231/'Asset Prices'!E232-1</f>
        <v>-2.3249325769553186E-3</v>
      </c>
      <c r="F231" s="1">
        <f>'Asset Prices'!F231/'Asset Prices'!F232-1</f>
        <v>1.0114503816794018E-2</v>
      </c>
      <c r="G231" s="1">
        <f>'Asset Prices'!G231/'Asset Prices'!G232-1</f>
        <v>2.5510204081635734E-4</v>
      </c>
      <c r="H231" s="1">
        <f>'Asset Prices'!H231/'Asset Prices'!H232-1</f>
        <v>-6.4900521332056371E-3</v>
      </c>
      <c r="I231" s="1">
        <f>'Asset Prices'!I231/'Asset Prices'!I232-1</f>
        <v>7.3448112462486392E-3</v>
      </c>
      <c r="J231" s="1">
        <f>'Asset Prices'!J231/'Asset Prices'!J232-1</f>
        <v>4.4444444444444731E-3</v>
      </c>
      <c r="K231" s="1">
        <f>'Asset Prices'!K231/'Asset Prices'!K232-1</f>
        <v>-5.6536060174032787E-3</v>
      </c>
      <c r="L231" s="1">
        <f>'Asset Prices'!L231/'Asset Prices'!L232-1</f>
        <v>7.1450688961139486E-2</v>
      </c>
      <c r="M231" s="1">
        <f>'Asset Prices'!M231/'Asset Prices'!M232-1</f>
        <v>-4.9512857371026842E-3</v>
      </c>
      <c r="N231" s="1">
        <f>'Asset Prices'!N231/'Asset Prices'!N232-1</f>
        <v>-6.220389859317943E-3</v>
      </c>
      <c r="O231" s="1">
        <f>'Asset Prices'!O231/'Asset Prices'!O232-1</f>
        <v>5.1585785250285454E-3</v>
      </c>
      <c r="P231" s="1">
        <f>'Asset Prices'!P231/'Asset Prices'!P232-1</f>
        <v>1.3963261709482921E-2</v>
      </c>
      <c r="Q231" s="1">
        <f>'Asset Prices'!Q231/'Asset Prices'!Q232-1</f>
        <v>-5.2328623757195158E-2</v>
      </c>
      <c r="R231" s="1">
        <f>'Asset Prices'!R231/'Asset Prices'!R232-1</f>
        <v>9.7919216646258356E-4</v>
      </c>
      <c r="S231" s="1">
        <f>'Asset Prices'!S231/'Asset Prices'!S232-1</f>
        <v>-7.8260869565218716E-3</v>
      </c>
      <c r="T231" s="1">
        <f>'Asset Prices'!T231/'Asset Prices'!T232-1</f>
        <v>3.223836854316775E-2</v>
      </c>
      <c r="U231" s="1">
        <f>'Asset Prices'!U231/'Asset Prices'!U232-1</f>
        <v>6.8517850703209149E-3</v>
      </c>
      <c r="V231" s="1">
        <f>'Asset Prices'!V231/'Asset Prices'!V232-1</f>
        <v>-1.5755120414134516E-2</v>
      </c>
      <c r="W231" s="1">
        <f>'Asset Prices'!W231/'Asset Prices'!W232-1</f>
        <v>-1.3565453312231357E-2</v>
      </c>
      <c r="X231" s="1">
        <f>'Asset Prices'!X231/'Asset Prices'!X232-1</f>
        <v>-1.8427759262889531E-2</v>
      </c>
      <c r="Y231" s="1">
        <f>'Asset Prices'!Y231/'Asset Prices'!Y232-1</f>
        <v>-4.1493775831419333E-3</v>
      </c>
      <c r="Z231" s="1">
        <f>'Asset Prices'!Z231/'Asset Prices'!Z232-1</f>
        <v>2.4752475247524774E-2</v>
      </c>
      <c r="AA231" s="1">
        <f>'Asset Prices'!AA231/'Asset Prices'!AA232-1</f>
        <v>-1.963350785340312E-2</v>
      </c>
      <c r="AB231" s="1">
        <f>'Asset Prices'!AB231/'Asset Prices'!AB232-1</f>
        <v>-1.4981273408239737E-2</v>
      </c>
      <c r="AC231" s="1">
        <f>'Asset Prices'!AC231/'Asset Prices'!AC232-1</f>
        <v>-1.5544041450777146E-2</v>
      </c>
      <c r="AD231" s="1">
        <f>'Asset Prices'!AD231/'Asset Prices'!AD232-1</f>
        <v>-2.106455266138163E-2</v>
      </c>
      <c r="AE231" s="1">
        <f>'Asset Prices'!AE231/'Asset Prices'!AE232-1</f>
        <v>-1.2394284047827275E-2</v>
      </c>
      <c r="AF231" s="1">
        <f>'Asset Prices'!AF231/'Asset Prices'!AF232-1</f>
        <v>-3.6930913721744618E-2</v>
      </c>
      <c r="AG231" s="1">
        <f>'Asset Prices'!AG231/'Asset Prices'!AG232-1</f>
        <v>1.7828200972447306E-2</v>
      </c>
      <c r="AH231" s="1">
        <f>'Asset Prices'!AH231/'Asset Prices'!AH232-1</f>
        <v>-5.1994036526276544E-2</v>
      </c>
      <c r="AI231" s="1">
        <f>'Asset Prices'!AI231/'Asset Prices'!AI232-1</f>
        <v>-4.2614938139605929E-2</v>
      </c>
      <c r="AJ231" s="1">
        <f>'Asset Prices'!AJ231/'Asset Prices'!AJ232-1</f>
        <v>6.2111801242235032E-3</v>
      </c>
      <c r="AK231" s="1">
        <f>'Asset Prices'!AK231/'Asset Prices'!AK232-1</f>
        <v>-2.1081576535288749E-2</v>
      </c>
      <c r="AL231" s="1">
        <f>'Asset Prices'!AL231/'Asset Prices'!AL232-1</f>
        <v>-9.1185410334345685E-3</v>
      </c>
      <c r="AM231" s="1">
        <f>'Asset Prices'!AM231/'Asset Prices'!AM232-1</f>
        <v>-6.7877344447750954E-3</v>
      </c>
      <c r="AN231" s="1">
        <f>'Asset Prices'!AN231/'Asset Prices'!AN232-1</f>
        <v>-9.1676131754017121E-3</v>
      </c>
      <c r="AO231" s="1">
        <f>'Asset Prices'!AO231/'Asset Prices'!AO232-1</f>
        <v>-6.0744115413818855E-3</v>
      </c>
      <c r="AP231" s="1">
        <f>'Asset Prices'!AP231/'Asset Prices'!AP232-1</f>
        <v>-1.1194521269590529E-2</v>
      </c>
      <c r="AQ231" s="1">
        <f>'Asset Prices'!AQ231/'Asset Prices'!AQ232-1</f>
        <v>-4.455884963607315E-2</v>
      </c>
      <c r="AR231" s="1">
        <f>'Asset Prices'!AR231/'Asset Prices'!AR232-1</f>
        <v>1.3344937626921904E-2</v>
      </c>
      <c r="AS231" s="1">
        <f>'Asset Prices'!AS231/'Asset Prices'!AS232-1</f>
        <v>4.8952950775087434E-3</v>
      </c>
      <c r="AT231" s="1">
        <f>'Asset Prices'!AT231/'Asset Prices'!AT232-1</f>
        <v>-2.3315118397085666E-2</v>
      </c>
      <c r="AU231" s="1">
        <f>'Asset Prices'!AU231/'Asset Prices'!AU232-1</f>
        <v>1.7292062943119468E-4</v>
      </c>
      <c r="AV231" s="1">
        <f>'Asset Prices'!AV231/'Asset Prices'!AV232-1</f>
        <v>-1.6380755836450378E-2</v>
      </c>
      <c r="AW231" s="1">
        <f>'Asset Prices'!AW231/'Asset Prices'!AW232-1</f>
        <v>-4.366812227074246E-3</v>
      </c>
      <c r="AX231" s="1">
        <f>'Asset Prices'!AX231/'Asset Prices'!AX232-1</f>
        <v>1.391035548686248E-2</v>
      </c>
      <c r="AY231" s="1">
        <f>'Asset Prices'!AY231/'Asset Prices'!AY232-1</f>
        <v>8.5836909871244149E-3</v>
      </c>
      <c r="AZ231" s="1">
        <f>'Asset Prices'!AZ231/'Asset Prices'!AZ232-1</f>
        <v>1.69826875515251E-2</v>
      </c>
      <c r="BA231" s="1">
        <f>'Asset Prices'!BA231/'Asset Prices'!BA232-1</f>
        <v>-1.3223140495867813E-2</v>
      </c>
      <c r="BB231" s="1">
        <f>'Asset Prices'!BB231/'Asset Prices'!BB232-1</f>
        <v>1.3643659711075395E-2</v>
      </c>
      <c r="BC231" s="1">
        <f>'Asset Prices'!BC231/'Asset Prices'!BC232-1</f>
        <v>-1.978518937252649E-3</v>
      </c>
      <c r="BD231" s="1">
        <f>'Asset Prices'!BD231/'Asset Prices'!BD232-1</f>
        <v>8.6470526204789344E-3</v>
      </c>
    </row>
    <row r="232" spans="3:56" x14ac:dyDescent="0.25">
      <c r="C232" s="38">
        <f>'Asset Prices'!C232</f>
        <v>42747</v>
      </c>
      <c r="D232" s="1">
        <f>'Asset Prices'!D232/'Asset Prices'!D233-1</f>
        <v>3.4529535084473206E-3</v>
      </c>
      <c r="E232" s="1">
        <f>'Asset Prices'!E232/'Asset Prices'!E233-1</f>
        <v>1.3969081765692337E-3</v>
      </c>
      <c r="F232" s="1">
        <f>'Asset Prices'!F232/'Asset Prices'!F233-1</f>
        <v>-1.2438748586505954E-2</v>
      </c>
      <c r="G232" s="1">
        <f>'Asset Prices'!G232/'Asset Prices'!G233-1</f>
        <v>1.449275362318847E-2</v>
      </c>
      <c r="H232" s="1">
        <f>'Asset Prices'!H232/'Asset Prices'!H233-1</f>
        <v>1.0645161290322447E-2</v>
      </c>
      <c r="I232" s="1">
        <f>'Asset Prices'!I232/'Asset Prices'!I233-1</f>
        <v>4.9308030164912697E-2</v>
      </c>
      <c r="J232" s="1">
        <f>'Asset Prices'!J232/'Asset Prices'!J233-1</f>
        <v>2.2639567790069481E-2</v>
      </c>
      <c r="K232" s="1">
        <f>'Asset Prices'!K232/'Asset Prices'!K233-1</f>
        <v>4.2526747389326491E-2</v>
      </c>
      <c r="L232" s="1">
        <f>'Asset Prices'!L232/'Asset Prices'!L233-1</f>
        <v>-1.9952962597678425E-2</v>
      </c>
      <c r="M232" s="1">
        <f>'Asset Prices'!M232/'Asset Prices'!M233-1</f>
        <v>4.9759229534511729E-3</v>
      </c>
      <c r="N232" s="1">
        <f>'Asset Prices'!N232/'Asset Prices'!N233-1</f>
        <v>2.0307003517748612E-2</v>
      </c>
      <c r="O232" s="1">
        <f>'Asset Prices'!O232/'Asset Prices'!O233-1</f>
        <v>1.1889801836636016E-2</v>
      </c>
      <c r="P232" s="1">
        <f>'Asset Prices'!P232/'Asset Prices'!P233-1</f>
        <v>5.3151618398636913E-3</v>
      </c>
      <c r="Q232" s="1">
        <f>'Asset Prices'!Q232/'Asset Prices'!Q233-1</f>
        <v>7.6987977219995507E-3</v>
      </c>
      <c r="R232" s="1">
        <f>'Asset Prices'!R232/'Asset Prices'!R233-1</f>
        <v>1.225490196078427E-3</v>
      </c>
      <c r="S232" s="1">
        <f>'Asset Prices'!S232/'Asset Prices'!S233-1</f>
        <v>5.8309037900874383E-3</v>
      </c>
      <c r="T232" s="1">
        <f>'Asset Prices'!T232/'Asset Prices'!T233-1</f>
        <v>1.3450721447787473E-3</v>
      </c>
      <c r="U232" s="1">
        <f>'Asset Prices'!U232/'Asset Prices'!U233-1</f>
        <v>6.89905591866391E-3</v>
      </c>
      <c r="V232" s="1">
        <f>'Asset Prices'!V232/'Asset Prices'!V233-1</f>
        <v>2.2512381809991489E-4</v>
      </c>
      <c r="W232" s="1">
        <f>'Asset Prices'!W232/'Asset Prices'!W233-1</f>
        <v>3.7288930581613311E-2</v>
      </c>
      <c r="X232" s="1">
        <f>'Asset Prices'!X232/'Asset Prices'!X233-1</f>
        <v>1.069942540122848E-2</v>
      </c>
      <c r="Y232" s="1">
        <f>'Asset Prices'!Y232/'Asset Prices'!Y233-1</f>
        <v>2.079002094142135E-3</v>
      </c>
      <c r="Z232" s="1">
        <f>'Asset Prices'!Z232/'Asset Prices'!Z233-1</f>
        <v>-2.4154589371980673E-2</v>
      </c>
      <c r="AA232" s="1">
        <f>'Asset Prices'!AA232/'Asset Prices'!AA233-1</f>
        <v>6.5550906555090771E-2</v>
      </c>
      <c r="AB232" s="1">
        <f>'Asset Prices'!AB232/'Asset Prices'!AB233-1</f>
        <v>7.547169811320753E-3</v>
      </c>
      <c r="AC232" s="1">
        <f>'Asset Prices'!AC232/'Asset Prices'!AC233-1</f>
        <v>-2.3608768971332239E-2</v>
      </c>
      <c r="AD232" s="1">
        <f>'Asset Prices'!AD232/'Asset Prices'!AD233-1</f>
        <v>1.0066346373827528E-2</v>
      </c>
      <c r="AE232" s="1">
        <f>'Asset Prices'!AE232/'Asset Prices'!AE233-1</f>
        <v>2.1599880828243823E-2</v>
      </c>
      <c r="AF232" s="1">
        <f>'Asset Prices'!AF232/'Asset Prices'!AF233-1</f>
        <v>1.7492711370262315E-2</v>
      </c>
      <c r="AG232" s="1">
        <f>'Asset Prices'!AG232/'Asset Prices'!AG233-1</f>
        <v>9.0106007067137783E-2</v>
      </c>
      <c r="AH232" s="1">
        <f>'Asset Prices'!AH232/'Asset Prices'!AH233-1</f>
        <v>-1.4327700220426176E-2</v>
      </c>
      <c r="AI232" s="1">
        <f>'Asset Prices'!AI232/'Asset Prices'!AI233-1</f>
        <v>-5.7985611510791402E-2</v>
      </c>
      <c r="AJ232" s="1">
        <f>'Asset Prices'!AJ232/'Asset Prices'!AJ233-1</f>
        <v>-3.0959752321979561E-3</v>
      </c>
      <c r="AK232" s="1">
        <f>'Asset Prices'!AK232/'Asset Prices'!AK233-1</f>
        <v>-2.0206555904804691E-2</v>
      </c>
      <c r="AL232" s="1">
        <f>'Asset Prices'!AL232/'Asset Prices'!AL233-1</f>
        <v>3.8834951456310218E-3</v>
      </c>
      <c r="AM232" s="1">
        <f>'Asset Prices'!AM232/'Asset Prices'!AM233-1</f>
        <v>-4.4457617071724798E-3</v>
      </c>
      <c r="AN232" s="1">
        <f>'Asset Prices'!AN232/'Asset Prices'!AN233-1</f>
        <v>3.771678733793582E-2</v>
      </c>
      <c r="AO232" s="1">
        <f>'Asset Prices'!AO232/'Asset Prices'!AO233-1</f>
        <v>-3.5871156661786308E-2</v>
      </c>
      <c r="AP232" s="1">
        <f>'Asset Prices'!AP232/'Asset Prices'!AP233-1</f>
        <v>-2.8890347997373444E-3</v>
      </c>
      <c r="AQ232" s="1">
        <f>'Asset Prices'!AQ232/'Asset Prices'!AQ233-1</f>
        <v>3.2441348973607065E-2</v>
      </c>
      <c r="AR232" s="1">
        <f>'Asset Prices'!AR232/'Asset Prices'!AR233-1</f>
        <v>-5.7424118129614454E-2</v>
      </c>
      <c r="AS232" s="1">
        <f>'Asset Prices'!AS232/'Asset Prices'!AS233-1</f>
        <v>-6.1031664964249055E-2</v>
      </c>
      <c r="AT232" s="1">
        <f>'Asset Prices'!AT232/'Asset Prices'!AT233-1</f>
        <v>-1.6366612111293755E-3</v>
      </c>
      <c r="AU232" s="1">
        <f>'Asset Prices'!AU232/'Asset Prices'!AU233-1</f>
        <v>5.2730582524271874E-2</v>
      </c>
      <c r="AV232" s="1">
        <f>'Asset Prices'!AV232/'Asset Prices'!AV233-1</f>
        <v>-6.7896489879579747E-3</v>
      </c>
      <c r="AW232" s="1">
        <f>'Asset Prices'!AW232/'Asset Prices'!AW233-1</f>
        <v>2.3191489361702233E-2</v>
      </c>
      <c r="AX232" s="1">
        <f>'Asset Prices'!AX232/'Asset Prices'!AX233-1</f>
        <v>2.779984114376477E-2</v>
      </c>
      <c r="AY232" s="1">
        <f>'Asset Prices'!AY232/'Asset Prices'!AY233-1</f>
        <v>0.12832929782082325</v>
      </c>
      <c r="AZ232" s="1">
        <f>'Asset Prices'!AZ232/'Asset Prices'!AZ233-1</f>
        <v>4.9710024855011969E-3</v>
      </c>
      <c r="BA232" s="1">
        <f>'Asset Prices'!BA232/'Asset Prices'!BA233-1</f>
        <v>-2.1035598705501535E-2</v>
      </c>
      <c r="BB232" s="1">
        <f>'Asset Prices'!BB232/'Asset Prices'!BB233-1</f>
        <v>-3.9469626888683385E-2</v>
      </c>
      <c r="BC232" s="1">
        <f>'Asset Prices'!BC232/'Asset Prices'!BC233-1</f>
        <v>4.7985781990521392E-2</v>
      </c>
      <c r="BD232" s="1">
        <f>'Asset Prices'!BD232/'Asset Prices'!BD233-1</f>
        <v>-3.1535793125196943E-3</v>
      </c>
    </row>
    <row r="233" spans="3:56" x14ac:dyDescent="0.25">
      <c r="C233" s="38">
        <f>'Asset Prices'!C233</f>
        <v>42740</v>
      </c>
      <c r="D233" s="1">
        <f>'Asset Prices'!D233/'Asset Prices'!D234-1</f>
        <v>3.5235541937954862E-2</v>
      </c>
      <c r="E233" s="1">
        <f>'Asset Prices'!E233/'Asset Prices'!E234-1</f>
        <v>2.6970160673297494E-2</v>
      </c>
      <c r="F233" s="1">
        <f>'Asset Prices'!F233/'Asset Prices'!F234-1</f>
        <v>3.9169604386995793E-2</v>
      </c>
      <c r="G233" s="1">
        <f>'Asset Prices'!G233/'Asset Prices'!G234-1</f>
        <v>-1.2923235978288261E-3</v>
      </c>
      <c r="H233" s="1">
        <f>'Asset Prices'!H233/'Asset Prices'!H234-1</f>
        <v>-3.1085861292743378E-3</v>
      </c>
      <c r="I233" s="1">
        <f>'Asset Prices'!I233/'Asset Prices'!I234-1</f>
        <v>3.7129351095831709E-2</v>
      </c>
      <c r="J233" s="1">
        <f>'Asset Prices'!J233/'Asset Prices'!J234-1</f>
        <v>-1.0280133641737965E-3</v>
      </c>
      <c r="K233" s="1">
        <f>'Asset Prices'!K233/'Asset Prices'!K234-1</f>
        <v>1.9996079200157002E-2</v>
      </c>
      <c r="L233" s="1">
        <f>'Asset Prices'!L233/'Asset Prices'!L234-1</f>
        <v>5.1703502752732833E-2</v>
      </c>
      <c r="M233" s="1">
        <f>'Asset Prices'!M233/'Asset Prices'!M234-1</f>
        <v>-9.5389507154213238E-3</v>
      </c>
      <c r="N233" s="1">
        <f>'Asset Prices'!N233/'Asset Prices'!N234-1</f>
        <v>1.2629533678756522E-2</v>
      </c>
      <c r="O233" s="1">
        <f>'Asset Prices'!O233/'Asset Prices'!O234-1</f>
        <v>-5.1928070006730387E-3</v>
      </c>
      <c r="P233" s="1">
        <f>'Asset Prices'!P233/'Asset Prices'!P234-1</f>
        <v>-4.5466371796539673E-2</v>
      </c>
      <c r="Q233" s="1">
        <f>'Asset Prices'!Q233/'Asset Prices'!Q234-1</f>
        <v>-2.2070957095709609E-2</v>
      </c>
      <c r="R233" s="1">
        <f>'Asset Prices'!R233/'Asset Prices'!R234-1</f>
        <v>-3.4196384953590897E-3</v>
      </c>
      <c r="S233" s="1">
        <f>'Asset Prices'!S233/'Asset Prices'!S234-1</f>
        <v>1.1675423234092097E-3</v>
      </c>
      <c r="T233" s="1">
        <f>'Asset Prices'!T233/'Asset Prices'!T234-1</f>
        <v>-1.8482957273163625E-2</v>
      </c>
      <c r="U233" s="1">
        <f>'Asset Prices'!U233/'Asset Prices'!U234-1</f>
        <v>1.8867924528301883E-2</v>
      </c>
      <c r="V233" s="1">
        <f>'Asset Prices'!V233/'Asset Prices'!V234-1</f>
        <v>3.5431235431235386E-2</v>
      </c>
      <c r="W233" s="1">
        <f>'Asset Prices'!W233/'Asset Prices'!W234-1</f>
        <v>-9.9837473879730299E-3</v>
      </c>
      <c r="X233" s="1">
        <f>'Asset Prices'!X233/'Asset Prices'!X234-1</f>
        <v>5.3784860557768432E-3</v>
      </c>
      <c r="Y233" s="1">
        <f>'Asset Prices'!Y233/'Asset Prices'!Y234-1</f>
        <v>-2.7955540611924845E-2</v>
      </c>
      <c r="Z233" s="1">
        <f>'Asset Prices'!Z233/'Asset Prices'!Z234-1</f>
        <v>1.9704433497536922E-2</v>
      </c>
      <c r="AA233" s="1">
        <f>'Asset Prices'!AA233/'Asset Prices'!AA234-1</f>
        <v>-8.2987551867219622E-3</v>
      </c>
      <c r="AB233" s="1">
        <f>'Asset Prices'!AB233/'Asset Prices'!AB234-1</f>
        <v>1.9230769230769162E-2</v>
      </c>
      <c r="AC233" s="1">
        <f>'Asset Prices'!AC233/'Asset Prices'!AC234-1</f>
        <v>4.8629531388152181E-2</v>
      </c>
      <c r="AD233" s="1">
        <f>'Asset Prices'!AD233/'Asset Prices'!AD234-1</f>
        <v>5.2897884084637248E-3</v>
      </c>
      <c r="AE233" s="1">
        <f>'Asset Prices'!AE233/'Asset Prices'!AE234-1</f>
        <v>1.7429524098211413E-2</v>
      </c>
      <c r="AF233" s="1">
        <f>'Asset Prices'!AF233/'Asset Prices'!AF234-1</f>
        <v>5.2505966587112374E-2</v>
      </c>
      <c r="AG233" s="1">
        <f>'Asset Prices'!AG233/'Asset Prices'!AG234-1</f>
        <v>-2.0761245674740358E-2</v>
      </c>
      <c r="AH233" s="1">
        <f>'Asset Prices'!AH233/'Asset Prices'!AH234-1</f>
        <v>3.9327987781595963E-2</v>
      </c>
      <c r="AI233" s="1">
        <f>'Asset Prices'!AI233/'Asset Prices'!AI234-1</f>
        <v>1.9360516280434004E-2</v>
      </c>
      <c r="AJ233" s="1">
        <f>'Asset Prices'!AJ233/'Asset Prices'!AJ234-1</f>
        <v>1.2539184952978122E-2</v>
      </c>
      <c r="AK233" s="1">
        <f>'Asset Prices'!AK233/'Asset Prices'!AK234-1</f>
        <v>5.8717253839204453E-3</v>
      </c>
      <c r="AL233" s="1">
        <f>'Asset Prices'!AL233/'Asset Prices'!AL234-1</f>
        <v>-2.4903154399558147E-3</v>
      </c>
      <c r="AM233" s="1">
        <f>'Asset Prices'!AM233/'Asset Prices'!AM234-1</f>
        <v>1.2605042016806678E-2</v>
      </c>
      <c r="AN233" s="1">
        <f>'Asset Prices'!AN233/'Asset Prices'!AN234-1</f>
        <v>-1.4437437769664774E-2</v>
      </c>
      <c r="AO233" s="1">
        <f>'Asset Prices'!AO233/'Asset Prices'!AO234-1</f>
        <v>1.6747301823595073E-2</v>
      </c>
      <c r="AP233" s="1">
        <f>'Asset Prices'!AP233/'Asset Prices'!AP234-1</f>
        <v>5.8116497160218827E-3</v>
      </c>
      <c r="AQ233" s="1">
        <f>'Asset Prices'!AQ233/'Asset Prices'!AQ234-1</f>
        <v>5.3078556263269627E-2</v>
      </c>
      <c r="AR233" s="1">
        <f>'Asset Prices'!AR233/'Asset Prices'!AR234-1</f>
        <v>3.6858519988659078E-2</v>
      </c>
      <c r="AS233" s="1">
        <f>'Asset Prices'!AS233/'Asset Prices'!AS234-1</f>
        <v>4.761904761904745E-2</v>
      </c>
      <c r="AT233" s="1">
        <f>'Asset Prices'!AT233/'Asset Prices'!AT234-1</f>
        <v>-1.6630901287553623E-2</v>
      </c>
      <c r="AU233" s="1">
        <f>'Asset Prices'!AU233/'Asset Prices'!AU234-1</f>
        <v>-8.1251880830573997E-3</v>
      </c>
      <c r="AV233" s="1">
        <f>'Asset Prices'!AV233/'Asset Prices'!AV234-1</f>
        <v>9.3095422808378014E-3</v>
      </c>
      <c r="AW233" s="1">
        <f>'Asset Prices'!AW233/'Asset Prices'!AW234-1</f>
        <v>1.8859744201170647E-2</v>
      </c>
      <c r="AX233" s="1">
        <f>'Asset Prices'!AX233/'Asset Prices'!AX234-1</f>
        <v>6.514382402707275E-2</v>
      </c>
      <c r="AY233" s="1">
        <f>'Asset Prices'!AY233/'Asset Prices'!AY234-1</f>
        <v>4.8661800486617945E-3</v>
      </c>
      <c r="AZ233" s="1">
        <f>'Asset Prices'!AZ233/'Asset Prices'!AZ234-1</f>
        <v>3.9621016365202433E-2</v>
      </c>
      <c r="BA233" s="1">
        <f>'Asset Prices'!BA233/'Asset Prices'!BA234-1</f>
        <v>4.8780487804878092E-3</v>
      </c>
      <c r="BB233" s="1">
        <f>'Asset Prices'!BB233/'Asset Prices'!BB234-1</f>
        <v>4.8024786986833323E-3</v>
      </c>
      <c r="BC233" s="1">
        <f>'Asset Prices'!BC233/'Asset Prices'!BC234-1</f>
        <v>1.564380264741283E-2</v>
      </c>
      <c r="BD233" s="1">
        <f>'Asset Prices'!BD233/'Asset Prices'!BD234-1</f>
        <v>2.6545807704758673E-2</v>
      </c>
    </row>
    <row r="234" spans="3:56" x14ac:dyDescent="0.25">
      <c r="C234" s="38">
        <f>'Asset Prices'!C234</f>
        <v>42733</v>
      </c>
      <c r="D234" s="1">
        <f>'Asset Prices'!D234/'Asset Prices'!D235-1</f>
        <v>5.5198973042360766E-3</v>
      </c>
      <c r="E234" s="1">
        <f>'Asset Prices'!E234/'Asset Prices'!E235-1</f>
        <v>-8.157844811231274E-3</v>
      </c>
      <c r="F234" s="1">
        <f>'Asset Prices'!F234/'Asset Prices'!F235-1</f>
        <v>-2.0713463751438455E-2</v>
      </c>
      <c r="G234" s="1">
        <f>'Asset Prices'!G234/'Asset Prices'!G235-1</f>
        <v>-6.9301848049282411E-3</v>
      </c>
      <c r="H234" s="1">
        <f>'Asset Prices'!H234/'Asset Prices'!H235-1</f>
        <v>-8.8185295367615435E-3</v>
      </c>
      <c r="I234" s="1">
        <f>'Asset Prices'!I234/'Asset Prices'!I235-1</f>
        <v>-8.9437819420784548E-3</v>
      </c>
      <c r="J234" s="1">
        <f>'Asset Prices'!J234/'Asset Prices'!J235-1</f>
        <v>3.7836443374321682E-3</v>
      </c>
      <c r="K234" s="1">
        <f>'Asset Prices'!K234/'Asset Prices'!K235-1</f>
        <v>-1.5528355560195939E-3</v>
      </c>
      <c r="L234" s="1">
        <f>'Asset Prices'!L234/'Asset Prices'!L235-1</f>
        <v>-1.9907628603280658E-3</v>
      </c>
      <c r="M234" s="1">
        <f>'Asset Prices'!M234/'Asset Prices'!M235-1</f>
        <v>-1.0228166797797034E-2</v>
      </c>
      <c r="N234" s="1">
        <f>'Asset Prices'!N234/'Asset Prices'!N235-1</f>
        <v>-8.3983796067581551E-3</v>
      </c>
      <c r="O234" s="1">
        <f>'Asset Prices'!O234/'Asset Prices'!O235-1</f>
        <v>-4.3086939869781959E-3</v>
      </c>
      <c r="P234" s="1">
        <f>'Asset Prices'!P234/'Asset Prices'!P235-1</f>
        <v>3.3615705257496353E-2</v>
      </c>
      <c r="Q234" s="1">
        <f>'Asset Prices'!Q234/'Asset Prices'!Q235-1</f>
        <v>-1.2727828123409002E-2</v>
      </c>
      <c r="R234" s="1">
        <f>'Asset Prices'!R234/'Asset Prices'!R235-1</f>
        <v>6.6388000983526041E-3</v>
      </c>
      <c r="S234" s="1">
        <f>'Asset Prices'!S234/'Asset Prices'!S235-1</f>
        <v>-5.8038305281487013E-3</v>
      </c>
      <c r="T234" s="1">
        <f>'Asset Prices'!T234/'Asset Prices'!T235-1</f>
        <v>-4.8966917472830218E-3</v>
      </c>
      <c r="U234" s="1">
        <f>'Asset Prices'!U234/'Asset Prices'!U235-1</f>
        <v>-2.950940612320152E-3</v>
      </c>
      <c r="V234" s="1">
        <f>'Asset Prices'!V234/'Asset Prices'!V235-1</f>
        <v>-4.6598322460400521E-4</v>
      </c>
      <c r="W234" s="1">
        <f>'Asset Prices'!W234/'Asset Prices'!W235-1</f>
        <v>-4.5011086474501139E-2</v>
      </c>
      <c r="X234" s="1">
        <f>'Asset Prices'!X234/'Asset Prices'!X235-1</f>
        <v>-9.9502487562186381E-4</v>
      </c>
      <c r="Y234" s="1">
        <f>'Asset Prices'!Y234/'Asset Prices'!Y235-1</f>
        <v>6.4406779932173475E-3</v>
      </c>
      <c r="Z234" s="1">
        <f>'Asset Prices'!Z234/'Asset Prices'!Z235-1</f>
        <v>3.5714285714285587E-2</v>
      </c>
      <c r="AA234" s="1">
        <f>'Asset Prices'!AA234/'Asset Prices'!AA235-1</f>
        <v>0</v>
      </c>
      <c r="AB234" s="1">
        <f>'Asset Prices'!AB234/'Asset Prices'!AB235-1</f>
        <v>1.5625E-2</v>
      </c>
      <c r="AC234" s="1">
        <f>'Asset Prices'!AC234/'Asset Prices'!AC235-1</f>
        <v>-8.76424189307623E-3</v>
      </c>
      <c r="AD234" s="1">
        <f>'Asset Prices'!AD234/'Asset Prices'!AD235-1</f>
        <v>-8.6639306885545331E-3</v>
      </c>
      <c r="AE234" s="1">
        <f>'Asset Prices'!AE234/'Asset Prices'!AE235-1</f>
        <v>1.41407931140487E-2</v>
      </c>
      <c r="AF234" s="1">
        <f>'Asset Prices'!AF234/'Asset Prices'!AF235-1</f>
        <v>-6.8143100511086629E-4</v>
      </c>
      <c r="AG234" s="1">
        <f>'Asset Prices'!AG234/'Asset Prices'!AG235-1</f>
        <v>-2.3648648648648796E-2</v>
      </c>
      <c r="AH234" s="1">
        <f>'Asset Prices'!AH234/'Asset Prices'!AH235-1</f>
        <v>-8.8930936613055289E-3</v>
      </c>
      <c r="AI234" s="1">
        <f>'Asset Prices'!AI234/'Asset Prices'!AI235-1</f>
        <v>1.7460080584987381E-2</v>
      </c>
      <c r="AJ234" s="1">
        <f>'Asset Prices'!AJ234/'Asset Prices'!AJ235-1</f>
        <v>2.9032258064516148E-2</v>
      </c>
      <c r="AK234" s="1">
        <f>'Asset Prices'!AK234/'Asset Prices'!AK235-1</f>
        <v>-2.2532672374944163E-3</v>
      </c>
      <c r="AL234" s="1">
        <f>'Asset Prices'!AL234/'Asset Prices'!AL235-1</f>
        <v>2.0795785387495158E-3</v>
      </c>
      <c r="AM234" s="1">
        <f>'Asset Prices'!AM234/'Asset Prices'!AM235-1</f>
        <v>-2.7535017359032743E-3</v>
      </c>
      <c r="AN234" s="1">
        <f>'Asset Prices'!AN234/'Asset Prices'!AN235-1</f>
        <v>3.3200531208499307E-4</v>
      </c>
      <c r="AO234" s="1">
        <f>'Asset Prices'!AO234/'Asset Prices'!AO235-1</f>
        <v>1.6775396085741967E-3</v>
      </c>
      <c r="AP234" s="1">
        <f>'Asset Prices'!AP234/'Asset Prices'!AP235-1</f>
        <v>-9.5499738356881192E-3</v>
      </c>
      <c r="AQ234" s="1">
        <f>'Asset Prices'!AQ234/'Asset Prices'!AQ235-1</f>
        <v>-1.012609858616742E-2</v>
      </c>
      <c r="AR234" s="1">
        <f>'Asset Prices'!AR234/'Asset Prices'!AR235-1</f>
        <v>0.12181933842239179</v>
      </c>
      <c r="AS234" s="1">
        <f>'Asset Prices'!AS234/'Asset Prices'!AS235-1</f>
        <v>1.8761726078799779E-3</v>
      </c>
      <c r="AT234" s="1">
        <f>'Asset Prices'!AT234/'Asset Prices'!AT235-1</f>
        <v>-5.8666666666666867E-3</v>
      </c>
      <c r="AU234" s="1">
        <f>'Asset Prices'!AU234/'Asset Prices'!AU235-1</f>
        <v>1.4465674160690778E-3</v>
      </c>
      <c r="AV234" s="1">
        <f>'Asset Prices'!AV234/'Asset Prices'!AV235-1</f>
        <v>-2.48392384314714E-2</v>
      </c>
      <c r="AW234" s="1">
        <f>'Asset Prices'!AW234/'Asset Prices'!AW235-1</f>
        <v>3.476895468820107E-2</v>
      </c>
      <c r="AX234" s="1">
        <f>'Asset Prices'!AX234/'Asset Prices'!AX235-1</f>
        <v>-2.7160493827160459E-2</v>
      </c>
      <c r="AY234" s="1">
        <f>'Asset Prices'!AY234/'Asset Prices'!AY235-1</f>
        <v>1.732673267326712E-2</v>
      </c>
      <c r="AZ234" s="1">
        <f>'Asset Prices'!AZ234/'Asset Prices'!AZ235-1</f>
        <v>8.6880973066898459E-3</v>
      </c>
      <c r="BA234" s="1">
        <f>'Asset Prices'!BA234/'Asset Prices'!BA235-1</f>
        <v>0</v>
      </c>
      <c r="BB234" s="1">
        <f>'Asset Prices'!BB234/'Asset Prices'!BB235-1</f>
        <v>1.7070142768467189E-3</v>
      </c>
      <c r="BC234" s="1">
        <f>'Asset Prices'!BC234/'Asset Prices'!BC235-1</f>
        <v>9.0334236675682078E-4</v>
      </c>
      <c r="BD234" s="1">
        <f>'Asset Prices'!BD234/'Asset Prices'!BD235-1</f>
        <v>-5.5799978538468853E-3</v>
      </c>
    </row>
    <row r="235" spans="3:56" x14ac:dyDescent="0.25">
      <c r="C235" s="38">
        <f>'Asset Prices'!C235</f>
        <v>42726</v>
      </c>
      <c r="D235" s="1">
        <f>'Asset Prices'!D235/'Asset Prices'!D236-1</f>
        <v>-2.0125786163521897E-2</v>
      </c>
      <c r="E235" s="1">
        <f>'Asset Prices'!E235/'Asset Prices'!E236-1</f>
        <v>9.8668454832837593E-3</v>
      </c>
      <c r="F235" s="1">
        <f>'Asset Prices'!F235/'Asset Prices'!F236-1</f>
        <v>1.6572431273152777E-2</v>
      </c>
      <c r="G235" s="1">
        <f>'Asset Prices'!G235/'Asset Prices'!G236-1</f>
        <v>-4.6500244738130192E-2</v>
      </c>
      <c r="H235" s="1">
        <f>'Asset Prices'!H235/'Asset Prices'!H236-1</f>
        <v>-4.3372474346767831E-3</v>
      </c>
      <c r="I235" s="1">
        <f>'Asset Prices'!I235/'Asset Prices'!I236-1</f>
        <v>-2.6291780708302182E-2</v>
      </c>
      <c r="J235" s="1">
        <f>'Asset Prices'!J235/'Asset Prices'!J236-1</f>
        <v>4.0580210671732342E-3</v>
      </c>
      <c r="K235" s="1">
        <f>'Asset Prices'!K235/'Asset Prices'!K236-1</f>
        <v>7.0170827858082596E-3</v>
      </c>
      <c r="L235" s="1">
        <f>'Asset Prices'!L235/'Asset Prices'!L236-1</f>
        <v>4.6399999999999775E-3</v>
      </c>
      <c r="M235" s="1">
        <f>'Asset Prices'!M235/'Asset Prices'!M236-1</f>
        <v>1.5500159795461821E-2</v>
      </c>
      <c r="N235" s="1">
        <f>'Asset Prices'!N235/'Asset Prices'!N236-1</f>
        <v>-7.3193158830381355E-3</v>
      </c>
      <c r="O235" s="1">
        <f>'Asset Prices'!O235/'Asset Prices'!O236-1</f>
        <v>3.7037037037036979E-2</v>
      </c>
      <c r="P235" s="1">
        <f>'Asset Prices'!P235/'Asset Prices'!P236-1</f>
        <v>-4.8003072196620589E-2</v>
      </c>
      <c r="Q235" s="1">
        <f>'Asset Prices'!Q235/'Asset Prices'!Q236-1</f>
        <v>-2.0544529769622066E-2</v>
      </c>
      <c r="R235" s="1">
        <f>'Asset Prices'!R235/'Asset Prices'!R236-1</f>
        <v>1.1188463451019537E-2</v>
      </c>
      <c r="S235" s="1">
        <f>'Asset Prices'!S235/'Asset Prices'!S236-1</f>
        <v>9.0775988286970755E-3</v>
      </c>
      <c r="T235" s="1">
        <f>'Asset Prices'!T235/'Asset Prices'!T236-1</f>
        <v>-7.1149057274990657E-3</v>
      </c>
      <c r="U235" s="1">
        <f>'Asset Prices'!U235/'Asset Prices'!U236-1</f>
        <v>-3.5059619149314769E-2</v>
      </c>
      <c r="V235" s="1">
        <f>'Asset Prices'!V235/'Asset Prices'!V236-1</f>
        <v>-9.69081679741568E-3</v>
      </c>
      <c r="W235" s="1">
        <f>'Asset Prices'!W235/'Asset Prices'!W236-1</f>
        <v>-6.353820598006632E-2</v>
      </c>
      <c r="X235" s="1">
        <f>'Asset Prices'!X235/'Asset Prices'!X236-1</f>
        <v>-6.7206957896818187E-3</v>
      </c>
      <c r="Y235" s="1">
        <f>'Asset Prices'!Y235/'Asset Prices'!Y236-1</f>
        <v>-6.2599300948900094E-2</v>
      </c>
      <c r="Z235" s="1">
        <f>'Asset Prices'!Z235/'Asset Prices'!Z236-1</f>
        <v>2.0833333333333481E-2</v>
      </c>
      <c r="AA235" s="1">
        <f>'Asset Prices'!AA235/'Asset Prices'!AA236-1</f>
        <v>-6.8681318681318437E-3</v>
      </c>
      <c r="AB235" s="1">
        <f>'Asset Prices'!AB235/'Asset Prices'!AB236-1</f>
        <v>-9.540636042402828E-2</v>
      </c>
      <c r="AC235" s="1">
        <f>'Asset Prices'!AC235/'Asset Prices'!AC236-1</f>
        <v>-3.5502958579881727E-2</v>
      </c>
      <c r="AD235" s="1">
        <f>'Asset Prices'!AD235/'Asset Prices'!AD236-1</f>
        <v>-7.9538300104931792E-2</v>
      </c>
      <c r="AE235" s="1">
        <f>'Asset Prices'!AE235/'Asset Prices'!AE236-1</f>
        <v>-2.9534606205250613E-2</v>
      </c>
      <c r="AF235" s="1">
        <f>'Asset Prices'!AF235/'Asset Prices'!AF236-1</f>
        <v>-1.3113651647612579E-2</v>
      </c>
      <c r="AG235" s="1">
        <f>'Asset Prices'!AG235/'Asset Prices'!AG236-1</f>
        <v>-2.148760330578503E-2</v>
      </c>
      <c r="AH235" s="1">
        <f>'Asset Prices'!AH235/'Asset Prices'!AH236-1</f>
        <v>-9.1612237882433778E-2</v>
      </c>
      <c r="AI235" s="1">
        <f>'Asset Prices'!AI235/'Asset Prices'!AI236-1</f>
        <v>1.1166440319903659E-2</v>
      </c>
      <c r="AJ235" s="1">
        <f>'Asset Prices'!AJ235/'Asset Prices'!AJ236-1</f>
        <v>-2.8213166144200552E-2</v>
      </c>
      <c r="AK235" s="1">
        <f>'Asset Prices'!AK235/'Asset Prices'!AK236-1</f>
        <v>-1.3339261894175114E-2</v>
      </c>
      <c r="AL235" s="1">
        <f>'Asset Prices'!AL235/'Asset Prices'!AL236-1</f>
        <v>2.7639264852542977E-2</v>
      </c>
      <c r="AM235" s="1">
        <f>'Asset Prices'!AM235/'Asset Prices'!AM236-1</f>
        <v>-5.7136055231520322E-3</v>
      </c>
      <c r="AN235" s="1">
        <f>'Asset Prices'!AN235/'Asset Prices'!AN236-1</f>
        <v>1.3970712001346586E-2</v>
      </c>
      <c r="AO235" s="1">
        <f>'Asset Prices'!AO235/'Asset Prices'!AO236-1</f>
        <v>3.5514379463424062E-2</v>
      </c>
      <c r="AP235" s="1">
        <f>'Asset Prices'!AP235/'Asset Prices'!AP236-1</f>
        <v>-1.2658227848101333E-2</v>
      </c>
      <c r="AQ235" s="1">
        <f>'Asset Prices'!AQ235/'Asset Prices'!AQ236-1</f>
        <v>-5.4210336104083878E-2</v>
      </c>
      <c r="AR235" s="1">
        <f>'Asset Prices'!AR235/'Asset Prices'!AR236-1</f>
        <v>1.7146554513102652E-2</v>
      </c>
      <c r="AS235" s="1">
        <f>'Asset Prices'!AS235/'Asset Prices'!AS236-1</f>
        <v>-1.1917372881355859E-2</v>
      </c>
      <c r="AT235" s="1">
        <f>'Asset Prices'!AT235/'Asset Prices'!AT236-1</f>
        <v>5.3619302949061698E-3</v>
      </c>
      <c r="AU235" s="1">
        <f>'Asset Prices'!AU235/'Asset Prices'!AU236-1</f>
        <v>-1.9386488563153836E-2</v>
      </c>
      <c r="AV235" s="1">
        <f>'Asset Prices'!AV235/'Asset Prices'!AV236-1</f>
        <v>-7.456242707117855E-2</v>
      </c>
      <c r="AW235" s="1">
        <f>'Asset Prices'!AW235/'Asset Prices'!AW236-1</f>
        <v>-2.4614007607965949E-3</v>
      </c>
      <c r="AX235" s="1">
        <f>'Asset Prices'!AX235/'Asset Prices'!AX236-1</f>
        <v>-7.8148710166919488E-2</v>
      </c>
      <c r="AY235" s="1">
        <f>'Asset Prices'!AY235/'Asset Prices'!AY236-1</f>
        <v>-3.5799522673030992E-2</v>
      </c>
      <c r="AZ235" s="1">
        <f>'Asset Prices'!AZ235/'Asset Prices'!AZ236-1</f>
        <v>-3.4740316136883109E-4</v>
      </c>
      <c r="BA235" s="1">
        <f>'Asset Prices'!BA235/'Asset Prices'!BA236-1</f>
        <v>-1.2841091492776902E-2</v>
      </c>
      <c r="BB235" s="1">
        <f>'Asset Prices'!BB235/'Asset Prices'!BB236-1</f>
        <v>3.2196059586737213E-2</v>
      </c>
      <c r="BC235" s="1">
        <f>'Asset Prices'!BC235/'Asset Prices'!BC236-1</f>
        <v>-5.6886227544910017E-3</v>
      </c>
      <c r="BD235" s="1">
        <f>'Asset Prices'!BD235/'Asset Prices'!BD236-1</f>
        <v>7.7863090732128715E-3</v>
      </c>
    </row>
    <row r="236" spans="3:56" x14ac:dyDescent="0.25">
      <c r="C236" s="38">
        <f>'Asset Prices'!C236</f>
        <v>42719</v>
      </c>
      <c r="D236" s="1">
        <f>'Asset Prices'!D236/'Asset Prices'!D237-1</f>
        <v>2.7749747729566288E-3</v>
      </c>
      <c r="E236" s="1">
        <f>'Asset Prices'!E236/'Asset Prices'!E237-1</f>
        <v>9.7697813890500473E-3</v>
      </c>
      <c r="F236" s="1">
        <f>'Asset Prices'!F236/'Asset Prices'!F237-1</f>
        <v>-5.0436469447138199E-3</v>
      </c>
      <c r="G236" s="1">
        <f>'Asset Prices'!G236/'Asset Prices'!G237-1</f>
        <v>1.2639405204460941E-2</v>
      </c>
      <c r="H236" s="1">
        <f>'Asset Prices'!H236/'Asset Prices'!H237-1</f>
        <v>-1.8074166406980341E-2</v>
      </c>
      <c r="I236" s="1">
        <f>'Asset Prices'!I236/'Asset Prices'!I237-1</f>
        <v>1.3960137919434734E-2</v>
      </c>
      <c r="J236" s="1">
        <f>'Asset Prices'!J236/'Asset Prices'!J237-1</f>
        <v>3.3000356760613636E-2</v>
      </c>
      <c r="K236" s="1">
        <f>'Asset Prices'!K236/'Asset Prices'!K237-1</f>
        <v>-8.2493842284284691E-3</v>
      </c>
      <c r="L236" s="1">
        <f>'Asset Prices'!L236/'Asset Prices'!L237-1</f>
        <v>1.428107757221686E-2</v>
      </c>
      <c r="M236" s="1">
        <f>'Asset Prices'!M236/'Asset Prices'!M237-1</f>
        <v>2.5733486313719078E-2</v>
      </c>
      <c r="N236" s="1">
        <f>'Asset Prices'!N236/'Asset Prices'!N237-1</f>
        <v>2.5755498824150846E-2</v>
      </c>
      <c r="O236" s="1">
        <f>'Asset Prices'!O236/'Asset Prices'!O237-1</f>
        <v>2.3059731816334805E-2</v>
      </c>
      <c r="P236" s="1">
        <f>'Asset Prices'!P236/'Asset Prices'!P237-1</f>
        <v>3.4085644317956243E-2</v>
      </c>
      <c r="Q236" s="1">
        <f>'Asset Prices'!Q236/'Asset Prices'!Q237-1</f>
        <v>9.7683786505537995E-3</v>
      </c>
      <c r="R236" s="1">
        <f>'Asset Prices'!R236/'Asset Prices'!R237-1</f>
        <v>2.4713375796178383E-2</v>
      </c>
      <c r="S236" s="1">
        <f>'Asset Prices'!S236/'Asset Prices'!S237-1</f>
        <v>3.1410450015101121E-2</v>
      </c>
      <c r="T236" s="1">
        <f>'Asset Prices'!T236/'Asset Prices'!T237-1</f>
        <v>1.0061085159899452E-2</v>
      </c>
      <c r="U236" s="1">
        <f>'Asset Prices'!U236/'Asset Prices'!U237-1</f>
        <v>2.7803182732760057E-2</v>
      </c>
      <c r="V236" s="1">
        <f>'Asset Prices'!V236/'Asset Prices'!V237-1</f>
        <v>-5.1018173855922999E-2</v>
      </c>
      <c r="W236" s="1">
        <f>'Asset Prices'!W236/'Asset Prices'!W237-1</f>
        <v>-2.3321841411478528E-2</v>
      </c>
      <c r="X236" s="1">
        <f>'Asset Prices'!X236/'Asset Prices'!X237-1</f>
        <v>1.9959677419354893E-2</v>
      </c>
      <c r="Y236" s="1">
        <f>'Asset Prices'!Y236/'Asset Prices'!Y237-1</f>
        <v>-4.751815978116003E-2</v>
      </c>
      <c r="Z236" s="1">
        <f>'Asset Prices'!Z236/'Asset Prices'!Z237-1</f>
        <v>1.0526315789473717E-2</v>
      </c>
      <c r="AA236" s="1">
        <f>'Asset Prices'!AA236/'Asset Prices'!AA237-1</f>
        <v>4.1379310344826781E-3</v>
      </c>
      <c r="AB236" s="1">
        <f>'Asset Prices'!AB236/'Asset Prices'!AB237-1</f>
        <v>-5.980066445182719E-2</v>
      </c>
      <c r="AC236" s="1">
        <f>'Asset Prices'!AC236/'Asset Prices'!AC237-1</f>
        <v>3.392705682782049E-3</v>
      </c>
      <c r="AD236" s="1">
        <f>'Asset Prices'!AD236/'Asset Prices'!AD237-1</f>
        <v>-3.4447821681864332E-2</v>
      </c>
      <c r="AE236" s="1">
        <f>'Asset Prices'!AE236/'Asset Prices'!AE237-1</f>
        <v>-2.4447031431897415E-2</v>
      </c>
      <c r="AF236" s="1">
        <f>'Asset Prices'!AF236/'Asset Prices'!AF237-1</f>
        <v>-1.4579191517561374E-2</v>
      </c>
      <c r="AG236" s="1">
        <f>'Asset Prices'!AG236/'Asset Prices'!AG237-1</f>
        <v>-3.2000000000000028E-2</v>
      </c>
      <c r="AH236" s="1">
        <f>'Asset Prices'!AH236/'Asset Prices'!AH237-1</f>
        <v>-5.290574637799117E-2</v>
      </c>
      <c r="AI236" s="1">
        <f>'Asset Prices'!AI236/'Asset Prices'!AI237-1</f>
        <v>1.0829774252592905E-2</v>
      </c>
      <c r="AJ236" s="1">
        <f>'Asset Prices'!AJ236/'Asset Prices'!AJ237-1</f>
        <v>5.980066445182719E-2</v>
      </c>
      <c r="AK236" s="1">
        <f>'Asset Prices'!AK236/'Asset Prices'!AK237-1</f>
        <v>3.023362345396241E-2</v>
      </c>
      <c r="AL236" s="1">
        <f>'Asset Prices'!AL236/'Asset Prices'!AL237-1</f>
        <v>1.0800691244239546E-2</v>
      </c>
      <c r="AM236" s="1">
        <f>'Asset Prices'!AM236/'Asset Prices'!AM237-1</f>
        <v>1.608611514271896E-2</v>
      </c>
      <c r="AN236" s="1">
        <f>'Asset Prices'!AN236/'Asset Prices'!AN237-1</f>
        <v>2.8655527659942726E-2</v>
      </c>
      <c r="AO236" s="1">
        <f>'Asset Prices'!AO236/'Asset Prices'!AO237-1</f>
        <v>1.3299432818306256E-2</v>
      </c>
      <c r="AP236" s="1">
        <f>'Asset Prices'!AP236/'Asset Prices'!AP237-1</f>
        <v>-7.1813285457810183E-3</v>
      </c>
      <c r="AQ236" s="1">
        <f>'Asset Prices'!AQ236/'Asset Prices'!AQ237-1</f>
        <v>-2.5875726104559016E-2</v>
      </c>
      <c r="AR236" s="1">
        <f>'Asset Prices'!AR236/'Asset Prices'!AR237-1</f>
        <v>-8.7392973132565666E-2</v>
      </c>
      <c r="AS236" s="1">
        <f>'Asset Prices'!AS236/'Asset Prices'!AS237-1</f>
        <v>4.7143649473100346E-2</v>
      </c>
      <c r="AT236" s="1">
        <f>'Asset Prices'!AT236/'Asset Prices'!AT237-1</f>
        <v>2.9817780231916169E-2</v>
      </c>
      <c r="AU236" s="1">
        <f>'Asset Prices'!AU236/'Asset Prices'!AU237-1</f>
        <v>3.3915912979711527E-2</v>
      </c>
      <c r="AV236" s="1">
        <f>'Asset Prices'!AV236/'Asset Prices'!AV237-1</f>
        <v>-1.6299357208448106E-2</v>
      </c>
      <c r="AW236" s="1">
        <f>'Asset Prices'!AW236/'Asset Prices'!AW237-1</f>
        <v>-4.5900939368061611E-2</v>
      </c>
      <c r="AX236" s="1">
        <f>'Asset Prices'!AX236/'Asset Prices'!AX237-1</f>
        <v>-4.7687861271676346E-2</v>
      </c>
      <c r="AY236" s="1">
        <f>'Asset Prices'!AY236/'Asset Prices'!AY237-1</f>
        <v>-1.6431924882629012E-2</v>
      </c>
      <c r="AZ236" s="1">
        <f>'Asset Prices'!AZ236/'Asset Prices'!AZ237-1</f>
        <v>-5.093966369930758E-2</v>
      </c>
      <c r="BA236" s="1">
        <f>'Asset Prices'!BA236/'Asset Prices'!BA237-1</f>
        <v>1.4657980456026065E-2</v>
      </c>
      <c r="BB236" s="1">
        <f>'Asset Prices'!BB236/'Asset Prices'!BB237-1</f>
        <v>-1.5144344533838172E-2</v>
      </c>
      <c r="BC236" s="1">
        <f>'Asset Prices'!BC236/'Asset Prices'!BC237-1</f>
        <v>-2.3677287342882214E-2</v>
      </c>
      <c r="BD236" s="1">
        <f>'Asset Prices'!BD236/'Asset Prices'!BD237-1</f>
        <v>-1.1121805154528985E-2</v>
      </c>
    </row>
    <row r="237" spans="3:56" x14ac:dyDescent="0.25">
      <c r="C237" s="38">
        <f>'Asset Prices'!C237</f>
        <v>42712</v>
      </c>
      <c r="D237" s="1">
        <f>'Asset Prices'!D237/'Asset Prices'!D238-1</f>
        <v>5.1040699986742544E-2</v>
      </c>
      <c r="E237" s="1">
        <f>'Asset Prices'!E237/'Asset Prices'!E238-1</f>
        <v>4.4875682231655611E-2</v>
      </c>
      <c r="F237" s="1">
        <f>'Asset Prices'!F237/'Asset Prices'!F238-1</f>
        <v>1.7769002961500524E-2</v>
      </c>
      <c r="G237" s="1">
        <f>'Asset Prices'!G237/'Asset Prices'!G238-1</f>
        <v>4.2635658914728536E-2</v>
      </c>
      <c r="H237" s="1">
        <f>'Asset Prices'!H237/'Asset Prices'!H238-1</f>
        <v>3.1172069825435855E-4</v>
      </c>
      <c r="I237" s="1">
        <f>'Asset Prices'!I237/'Asset Prices'!I238-1</f>
        <v>3.3101650738488253E-2</v>
      </c>
      <c r="J237" s="1">
        <f>'Asset Prices'!J237/'Asset Prices'!J238-1</f>
        <v>2.4020458489359742E-2</v>
      </c>
      <c r="K237" s="1">
        <f>'Asset Prices'!K237/'Asset Prices'!K238-1</f>
        <v>3.1842936865460914E-2</v>
      </c>
      <c r="L237" s="1">
        <f>'Asset Prices'!L237/'Asset Prices'!L238-1</f>
        <v>5.135642381846095E-2</v>
      </c>
      <c r="M237" s="1">
        <f>'Asset Prices'!M237/'Asset Prices'!M238-1</f>
        <v>3.0574324324324165E-2</v>
      </c>
      <c r="N237" s="1">
        <f>'Asset Prices'!N237/'Asset Prices'!N238-1</f>
        <v>4.0349063886017777E-2</v>
      </c>
      <c r="O237" s="1">
        <f>'Asset Prices'!O237/'Asset Prices'!O238-1</f>
        <v>2.2434565849605237E-2</v>
      </c>
      <c r="P237" s="1">
        <f>'Asset Prices'!P237/'Asset Prices'!P238-1</f>
        <v>3.9562405394248046E-2</v>
      </c>
      <c r="Q237" s="1">
        <f>'Asset Prices'!Q237/'Asset Prices'!Q238-1</f>
        <v>7.3049492111519232E-2</v>
      </c>
      <c r="R237" s="1">
        <f>'Asset Prices'!R237/'Asset Prices'!R238-1</f>
        <v>1.8422418266735852E-2</v>
      </c>
      <c r="S237" s="1">
        <f>'Asset Prices'!S237/'Asset Prices'!S238-1</f>
        <v>3.0211480362529741E-4</v>
      </c>
      <c r="T237" s="1">
        <f>'Asset Prices'!T237/'Asset Prices'!T238-1</f>
        <v>4.5978451515910734E-2</v>
      </c>
      <c r="U237" s="1">
        <f>'Asset Prices'!U237/'Asset Prices'!U238-1</f>
        <v>-0.12077838533290441</v>
      </c>
      <c r="V237" s="1">
        <f>'Asset Prices'!V237/'Asset Prices'!V238-1</f>
        <v>8.6863398381722856E-2</v>
      </c>
      <c r="W237" s="1">
        <f>'Asset Prices'!W237/'Asset Prices'!W238-1</f>
        <v>8.4928492849284831E-2</v>
      </c>
      <c r="X237" s="1">
        <f>'Asset Prices'!X237/'Asset Prices'!X238-1</f>
        <v>5.3749734438071073E-2</v>
      </c>
      <c r="Y237" s="1">
        <f>'Asset Prices'!Y237/'Asset Prices'!Y238-1</f>
        <v>4.9555273178675252E-2</v>
      </c>
      <c r="Z237" s="1">
        <f>'Asset Prices'!Z237/'Asset Prices'!Z238-1</f>
        <v>6.1452513966480549E-2</v>
      </c>
      <c r="AA237" s="1">
        <f>'Asset Prices'!AA237/'Asset Prices'!AA238-1</f>
        <v>4.0172166427546507E-2</v>
      </c>
      <c r="AB237" s="1">
        <f>'Asset Prices'!AB237/'Asset Prices'!AB238-1</f>
        <v>4.878048780487787E-2</v>
      </c>
      <c r="AC237" s="1">
        <f>'Asset Prices'!AC237/'Asset Prices'!AC238-1</f>
        <v>9.1666666666666785E-2</v>
      </c>
      <c r="AD237" s="1">
        <f>'Asset Prices'!AD237/'Asset Prices'!AD238-1</f>
        <v>9.9353976386723053E-2</v>
      </c>
      <c r="AE237" s="1">
        <f>'Asset Prices'!AE237/'Asset Prices'!AE238-1</f>
        <v>1.6267376515823662E-2</v>
      </c>
      <c r="AF237" s="1">
        <f>'Asset Prices'!AF237/'Asset Prices'!AF238-1</f>
        <v>3.7469920935029322E-2</v>
      </c>
      <c r="AG237" s="1">
        <f>'Asset Prices'!AG237/'Asset Prices'!AG238-1</f>
        <v>6.1120543293718299E-2</v>
      </c>
      <c r="AH237" s="1">
        <f>'Asset Prices'!AH237/'Asset Prices'!AH238-1</f>
        <v>3.9073071718538577E-2</v>
      </c>
      <c r="AI237" s="1">
        <f>'Asset Prices'!AI237/'Asset Prices'!AI238-1</f>
        <v>3.2603559615687505E-2</v>
      </c>
      <c r="AJ237" s="1">
        <f>'Asset Prices'!AJ237/'Asset Prices'!AJ238-1</f>
        <v>3.7931034482758585E-2</v>
      </c>
      <c r="AK237" s="1">
        <f>'Asset Prices'!AK237/'Asset Prices'!AK238-1</f>
        <v>7.0098039215686248E-2</v>
      </c>
      <c r="AL237" s="1">
        <f>'Asset Prices'!AL237/'Asset Prices'!AL238-1</f>
        <v>1.2835472578763163E-2</v>
      </c>
      <c r="AM237" s="1">
        <f>'Asset Prices'!AM237/'Asset Prices'!AM238-1</f>
        <v>3.4663996996621371E-2</v>
      </c>
      <c r="AN237" s="1">
        <f>'Asset Prices'!AN237/'Asset Prices'!AN238-1</f>
        <v>3.3646532438478705E-2</v>
      </c>
      <c r="AO237" s="1">
        <f>'Asset Prices'!AO237/'Asset Prices'!AO238-1</f>
        <v>2.5265690796069995E-2</v>
      </c>
      <c r="AP237" s="1">
        <f>'Asset Prices'!AP237/'Asset Prices'!AP238-1</f>
        <v>3.9912450109438335E-3</v>
      </c>
      <c r="AQ237" s="1">
        <f>'Asset Prices'!AQ237/'Asset Prices'!AQ238-1</f>
        <v>6.5254078379898717E-2</v>
      </c>
      <c r="AR237" s="1">
        <f>'Asset Prices'!AR237/'Asset Prices'!AR238-1</f>
        <v>4.958165478772858E-2</v>
      </c>
      <c r="AS237" s="1">
        <f>'Asset Prices'!AS237/'Asset Prices'!AS238-1</f>
        <v>8.3263946711076287E-4</v>
      </c>
      <c r="AT237" s="1">
        <f>'Asset Prices'!AT237/'Asset Prices'!AT238-1</f>
        <v>2.3163841807909646E-2</v>
      </c>
      <c r="AU237" s="1">
        <f>'Asset Prices'!AU237/'Asset Prices'!AU238-1</f>
        <v>-5.9531041185761913E-3</v>
      </c>
      <c r="AV237" s="1">
        <f>'Asset Prices'!AV237/'Asset Prices'!AV238-1</f>
        <v>6.3532401524779569E-3</v>
      </c>
      <c r="AW237" s="1">
        <f>'Asset Prices'!AW237/'Asset Prices'!AW238-1</f>
        <v>9.9272471250880123E-2</v>
      </c>
      <c r="AX237" s="1">
        <f>'Asset Prices'!AX237/'Asset Prices'!AX238-1</f>
        <v>0.11793214862681745</v>
      </c>
      <c r="AY237" s="1">
        <f>'Asset Prices'!AY237/'Asset Prices'!AY238-1</f>
        <v>1.4285714285714235E-2</v>
      </c>
      <c r="AZ237" s="1">
        <f>'Asset Prices'!AZ237/'Asset Prices'!AZ238-1</f>
        <v>6.7581837381203824E-2</v>
      </c>
      <c r="BA237" s="1">
        <f>'Asset Prices'!BA237/'Asset Prices'!BA238-1</f>
        <v>8.6725663716814116E-2</v>
      </c>
      <c r="BB237" s="1">
        <f>'Asset Prices'!BB237/'Asset Prices'!BB238-1</f>
        <v>6.7890835579514919E-2</v>
      </c>
      <c r="BC237" s="1">
        <f>'Asset Prices'!BC237/'Asset Prices'!BC238-1</f>
        <v>6.5068493150685081E-2</v>
      </c>
      <c r="BD237" s="1">
        <f>'Asset Prices'!BD237/'Asset Prices'!BD238-1</f>
        <v>7.7552431435814695E-2</v>
      </c>
    </row>
    <row r="238" spans="3:56" x14ac:dyDescent="0.25">
      <c r="C238" s="38">
        <f>'Asset Prices'!C238</f>
        <v>42705</v>
      </c>
      <c r="D238" s="1">
        <f>'Asset Prices'!D238/'Asset Prices'!D239-1</f>
        <v>-5.2029659419378982E-2</v>
      </c>
      <c r="E238" s="1">
        <f>'Asset Prices'!E238/'Asset Prices'!E239-1</f>
        <v>6.9204152249133788E-3</v>
      </c>
      <c r="F238" s="1">
        <f>'Asset Prices'!F238/'Asset Prices'!F239-1</f>
        <v>-1.3439813011297375E-2</v>
      </c>
      <c r="G238" s="1">
        <f>'Asset Prices'!G238/'Asset Prices'!G239-1</f>
        <v>-3.4912718204488713E-2</v>
      </c>
      <c r="H238" s="1">
        <f>'Asset Prices'!H238/'Asset Prices'!H239-1</f>
        <v>6.2383031815338441E-4</v>
      </c>
      <c r="I238" s="1">
        <f>'Asset Prices'!I238/'Asset Prices'!I239-1</f>
        <v>-4.7500827540549517E-2</v>
      </c>
      <c r="J238" s="1">
        <f>'Asset Prices'!J238/'Asset Prices'!J239-1</f>
        <v>-1.5643261709970435E-2</v>
      </c>
      <c r="K238" s="1">
        <f>'Asset Prices'!K238/'Asset Prices'!K239-1</f>
        <v>-4.6749218069015108E-2</v>
      </c>
      <c r="L238" s="1">
        <f>'Asset Prices'!L238/'Asset Prices'!L239-1</f>
        <v>-3.9935423570396367E-3</v>
      </c>
      <c r="M238" s="1">
        <f>'Asset Prices'!M238/'Asset Prices'!M239-1</f>
        <v>-1.9867549668874052E-2</v>
      </c>
      <c r="N238" s="1">
        <f>'Asset Prices'!N238/'Asset Prices'!N239-1</f>
        <v>-1.883183568677782E-2</v>
      </c>
      <c r="O238" s="1">
        <f>'Asset Prices'!O238/'Asset Prices'!O239-1</f>
        <v>-9.0572251955536309E-3</v>
      </c>
      <c r="P238" s="1">
        <f>'Asset Prices'!P238/'Asset Prices'!P239-1</f>
        <v>-5.9714045416316197E-2</v>
      </c>
      <c r="Q238" s="1">
        <f>'Asset Prices'!Q238/'Asset Prices'!Q239-1</f>
        <v>-3.150183150183139E-2</v>
      </c>
      <c r="R238" s="1">
        <f>'Asset Prices'!R238/'Asset Prices'!R239-1</f>
        <v>-5.9324219757544983E-3</v>
      </c>
      <c r="S238" s="1">
        <f>'Asset Prices'!S238/'Asset Prices'!S239-1</f>
        <v>8.8387686680890809E-3</v>
      </c>
      <c r="T238" s="1">
        <f>'Asset Prices'!T238/'Asset Prices'!T239-1</f>
        <v>2.2284836065573632E-2</v>
      </c>
      <c r="U238" s="1">
        <f>'Asset Prices'!U238/'Asset Prices'!U239-1</f>
        <v>-3.844921499519427E-3</v>
      </c>
      <c r="V238" s="1">
        <f>'Asset Prices'!V238/'Asset Prices'!V239-1</f>
        <v>-4.217004786870282E-2</v>
      </c>
      <c r="W238" s="1">
        <f>'Asset Prices'!W238/'Asset Prices'!W239-1</f>
        <v>-3.2155025553662675E-2</v>
      </c>
      <c r="X238" s="1">
        <f>'Asset Prices'!X238/'Asset Prices'!X239-1</f>
        <v>-6.3331222292589695E-3</v>
      </c>
      <c r="Y238" s="1">
        <f>'Asset Prices'!Y238/'Asset Prices'!Y239-1</f>
        <v>-3.1665611375766289E-3</v>
      </c>
      <c r="Z238" s="1">
        <f>'Asset Prices'!Z238/'Asset Prices'!Z239-1</f>
        <v>-4.7872340425532012E-2</v>
      </c>
      <c r="AA238" s="1">
        <f>'Asset Prices'!AA238/'Asset Prices'!AA239-1</f>
        <v>-4.1265474552957371E-2</v>
      </c>
      <c r="AB238" s="1">
        <f>'Asset Prices'!AB238/'Asset Prices'!AB239-1</f>
        <v>7.0175438596491446E-3</v>
      </c>
      <c r="AC238" s="1">
        <f>'Asset Prices'!AC238/'Asset Prices'!AC239-1</f>
        <v>-5.759162303664922E-2</v>
      </c>
      <c r="AD238" s="1">
        <f>'Asset Prices'!AD238/'Asset Prices'!AD239-1</f>
        <v>-1.448957189901201E-2</v>
      </c>
      <c r="AE238" s="1">
        <f>'Asset Prices'!AE238/'Asset Prices'!AE239-1</f>
        <v>-3.1509596104267956E-2</v>
      </c>
      <c r="AF238" s="1">
        <f>'Asset Prices'!AF238/'Asset Prices'!AF239-1</f>
        <v>5.9744990892531824E-2</v>
      </c>
      <c r="AG238" s="1">
        <f>'Asset Prices'!AG238/'Asset Prices'!AG239-1</f>
        <v>-7.9687500000000022E-2</v>
      </c>
      <c r="AH238" s="1">
        <f>'Asset Prices'!AH238/'Asset Prices'!AH239-1</f>
        <v>-1.3186446336170943E-2</v>
      </c>
      <c r="AI238" s="1">
        <f>'Asset Prices'!AI238/'Asset Prices'!AI239-1</f>
        <v>-6.2962379977959948E-4</v>
      </c>
      <c r="AJ238" s="1">
        <f>'Asset Prices'!AJ238/'Asset Prices'!AJ239-1</f>
        <v>7.8066914498141404E-2</v>
      </c>
      <c r="AK238" s="1">
        <f>'Asset Prices'!AK238/'Asset Prices'!AK239-1</f>
        <v>-2.7645376549094491E-2</v>
      </c>
      <c r="AL238" s="1">
        <f>'Asset Prices'!AL238/'Asset Prices'!AL239-1</f>
        <v>-6.2327873604869355E-3</v>
      </c>
      <c r="AM238" s="1">
        <f>'Asset Prices'!AM238/'Asset Prices'!AM239-1</f>
        <v>-1.3334979627114385E-2</v>
      </c>
      <c r="AN238" s="1">
        <f>'Asset Prices'!AN238/'Asset Prices'!AN239-1</f>
        <v>0</v>
      </c>
      <c r="AO238" s="1">
        <f>'Asset Prices'!AO238/'Asset Prices'!AO239-1</f>
        <v>-7.1670316543898105E-3</v>
      </c>
      <c r="AP238" s="1">
        <f>'Asset Prices'!AP238/'Asset Prices'!AP239-1</f>
        <v>-2.2157874858365956E-2</v>
      </c>
      <c r="AQ238" s="1">
        <f>'Asset Prices'!AQ238/'Asset Prices'!AQ239-1</f>
        <v>-7.493495229835212E-2</v>
      </c>
      <c r="AR238" s="1">
        <f>'Asset Prices'!AR238/'Asset Prices'!AR239-1</f>
        <v>2.4444444444444491E-2</v>
      </c>
      <c r="AS238" s="1">
        <f>'Asset Prices'!AS238/'Asset Prices'!AS239-1</f>
        <v>-2.2252374491180449E-2</v>
      </c>
      <c r="AT238" s="1">
        <f>'Asset Prices'!AT238/'Asset Prices'!AT239-1</f>
        <v>-8.5884988797609862E-3</v>
      </c>
      <c r="AU238" s="1">
        <f>'Asset Prices'!AU238/'Asset Prices'!AU239-1</f>
        <v>-2.2910731244064508E-2</v>
      </c>
      <c r="AV238" s="1">
        <f>'Asset Prices'!AV238/'Asset Prices'!AV239-1</f>
        <v>-2.5770875534548821E-2</v>
      </c>
      <c r="AW238" s="1">
        <f>'Asset Prices'!AW238/'Asset Prices'!AW239-1</f>
        <v>-1.5480591497227358E-2</v>
      </c>
      <c r="AX238" s="1">
        <f>'Asset Prices'!AX238/'Asset Prices'!AX239-1</f>
        <v>-7.2659176029962413E-2</v>
      </c>
      <c r="AY238" s="1">
        <f>'Asset Prices'!AY238/'Asset Prices'!AY239-1</f>
        <v>-1.176470588235301E-2</v>
      </c>
      <c r="AZ238" s="1">
        <f>'Asset Prices'!AZ238/'Asset Prices'!AZ239-1</f>
        <v>1.175213675213671E-2</v>
      </c>
      <c r="BA238" s="1">
        <f>'Asset Prices'!BA238/'Asset Prices'!BA239-1</f>
        <v>-1.2237762237762184E-2</v>
      </c>
      <c r="BB238" s="1">
        <f>'Asset Prices'!BB238/'Asset Prices'!BB239-1</f>
        <v>-2.9272281275551926E-2</v>
      </c>
      <c r="BC238" s="1">
        <f>'Asset Prices'!BC238/'Asset Prices'!BC239-1</f>
        <v>-5.1388068517424834E-2</v>
      </c>
      <c r="BD238" s="1">
        <f>'Asset Prices'!BD238/'Asset Prices'!BD239-1</f>
        <v>6.8453416869707073E-3</v>
      </c>
    </row>
    <row r="239" spans="3:56" x14ac:dyDescent="0.25">
      <c r="C239" s="38">
        <f>'Asset Prices'!C239</f>
        <v>42697</v>
      </c>
      <c r="D239" s="1">
        <f>'Asset Prices'!D239/'Asset Prices'!D240-1</f>
        <v>-1.8502528678919439E-2</v>
      </c>
      <c r="E239" s="1">
        <f>'Asset Prices'!E239/'Asset Prices'!E240-1</f>
        <v>-1.1170373352118346E-2</v>
      </c>
      <c r="F239" s="1">
        <f>'Asset Prices'!F239/'Asset Prices'!F240-1</f>
        <v>-4.8459003682884694E-3</v>
      </c>
      <c r="G239" s="1">
        <f>'Asset Prices'!G239/'Asset Prices'!G240-1</f>
        <v>-3.7267080745341241E-3</v>
      </c>
      <c r="H239" s="1">
        <f>'Asset Prices'!H239/'Asset Prices'!H240-1</f>
        <v>3.6645828842422956E-2</v>
      </c>
      <c r="I239" s="1">
        <f>'Asset Prices'!I239/'Asset Prices'!I240-1</f>
        <v>2.5893539349690187E-2</v>
      </c>
      <c r="J239" s="1">
        <f>'Asset Prices'!J239/'Asset Prices'!J240-1</f>
        <v>1.1641655297862652E-2</v>
      </c>
      <c r="K239" s="1">
        <f>'Asset Prices'!K239/'Asset Prices'!K240-1</f>
        <v>3.1359069275515683E-2</v>
      </c>
      <c r="L239" s="1">
        <f>'Asset Prices'!L239/'Asset Prices'!L240-1</f>
        <v>2.3124402329826932E-2</v>
      </c>
      <c r="M239" s="1">
        <f>'Asset Prices'!M239/'Asset Prices'!M240-1</f>
        <v>-3.9577836411609502E-3</v>
      </c>
      <c r="N239" s="1">
        <f>'Asset Prices'!N239/'Asset Prices'!N240-1</f>
        <v>-9.1075608018723608E-3</v>
      </c>
      <c r="O239" s="1">
        <f>'Asset Prices'!O239/'Asset Prices'!O240-1</f>
        <v>-2.0169423154497768E-2</v>
      </c>
      <c r="P239" s="1">
        <f>'Asset Prices'!P239/'Asset Prices'!P240-1</f>
        <v>-1.4857881136952633E-3</v>
      </c>
      <c r="Q239" s="1">
        <f>'Asset Prices'!Q239/'Asset Prices'!Q240-1</f>
        <v>-1.7379679144384985E-2</v>
      </c>
      <c r="R239" s="1">
        <f>'Asset Prices'!R239/'Asset Prices'!R240-1</f>
        <v>-5.8974358974358543E-3</v>
      </c>
      <c r="S239" s="1">
        <f>'Asset Prices'!S239/'Asset Prices'!S240-1</f>
        <v>-6.0919890344179883E-4</v>
      </c>
      <c r="T239" s="1">
        <f>'Asset Prices'!T239/'Asset Prices'!T240-1</f>
        <v>7.8740157480314821E-3</v>
      </c>
      <c r="U239" s="1">
        <f>'Asset Prices'!U239/'Asset Prices'!U240-1</f>
        <v>4.3812709030100372E-2</v>
      </c>
      <c r="V239" s="1">
        <f>'Asset Prices'!V239/'Asset Prices'!V240-1</f>
        <v>1.5274242073594069E-2</v>
      </c>
      <c r="W239" s="1">
        <f>'Asset Prices'!W239/'Asset Prices'!W240-1</f>
        <v>2.1091541639486788E-2</v>
      </c>
      <c r="X239" s="1">
        <f>'Asset Prices'!X239/'Asset Prices'!X240-1</f>
        <v>1.4564146498179387E-2</v>
      </c>
      <c r="Y239" s="1">
        <f>'Asset Prices'!Y239/'Asset Prices'!Y240-1</f>
        <v>5.4776219112222746E-2</v>
      </c>
      <c r="Z239" s="1">
        <f>'Asset Prices'!Z239/'Asset Prices'!Z240-1</f>
        <v>3.8674033149171283E-2</v>
      </c>
      <c r="AA239" s="1">
        <f>'Asset Prices'!AA239/'Asset Prices'!AA240-1</f>
        <v>4.0057224606580677E-2</v>
      </c>
      <c r="AB239" s="1">
        <f>'Asset Prices'!AB239/'Asset Prices'!AB240-1</f>
        <v>1.7857142857143016E-2</v>
      </c>
      <c r="AC239" s="1">
        <f>'Asset Prices'!AC239/'Asset Prices'!AC240-1</f>
        <v>-9.0791180285344497E-3</v>
      </c>
      <c r="AD239" s="1">
        <f>'Asset Prices'!AD239/'Asset Prices'!AD240-1</f>
        <v>7.556080283352995E-2</v>
      </c>
      <c r="AE239" s="1">
        <f>'Asset Prices'!AE239/'Asset Prices'!AE240-1</f>
        <v>1.2030729091172532E-2</v>
      </c>
      <c r="AF239" s="1">
        <f>'Asset Prices'!AF239/'Asset Prices'!AF240-1</f>
        <v>4.390779363337094E-3</v>
      </c>
      <c r="AG239" s="1">
        <f>'Asset Prices'!AG239/'Asset Prices'!AG240-1</f>
        <v>3.2258064516129004E-2</v>
      </c>
      <c r="AH239" s="1">
        <f>'Asset Prices'!AH239/'Asset Prices'!AH240-1</f>
        <v>1.9224225927185978E-2</v>
      </c>
      <c r="AI239" s="1">
        <f>'Asset Prices'!AI239/'Asset Prices'!AI240-1</f>
        <v>1.7619734102194418E-2</v>
      </c>
      <c r="AJ239" s="1">
        <f>'Asset Prices'!AJ239/'Asset Prices'!AJ240-1</f>
        <v>-2.5362318840579823E-2</v>
      </c>
      <c r="AK239" s="1">
        <f>'Asset Prices'!AK239/'Asset Prices'!AK240-1</f>
        <v>1.1571841851494735E-2</v>
      </c>
      <c r="AL239" s="1">
        <f>'Asset Prices'!AL239/'Asset Prices'!AL240-1</f>
        <v>4.3674479545785516E-3</v>
      </c>
      <c r="AM239" s="1">
        <f>'Asset Prices'!AM239/'Asset Prices'!AM240-1</f>
        <v>1.3642052565707052E-2</v>
      </c>
      <c r="AN239" s="1">
        <f>'Asset Prices'!AN239/'Asset Prices'!AN240-1</f>
        <v>9.9412562132850102E-3</v>
      </c>
      <c r="AO239" s="1">
        <f>'Asset Prices'!AO239/'Asset Prices'!AO240-1</f>
        <v>4.9958193979932952E-2</v>
      </c>
      <c r="AP239" s="1">
        <f>'Asset Prices'!AP239/'Asset Prices'!AP240-1</f>
        <v>3.0220492866407378E-2</v>
      </c>
      <c r="AQ239" s="1">
        <f>'Asset Prices'!AQ239/'Asset Prices'!AQ240-1</f>
        <v>-7.3895582329317255E-2</v>
      </c>
      <c r="AR239" s="1">
        <f>'Asset Prices'!AR239/'Asset Prices'!AR240-1</f>
        <v>-3.669724770642202E-2</v>
      </c>
      <c r="AS239" s="1">
        <f>'Asset Prices'!AS239/'Asset Prices'!AS240-1</f>
        <v>-1.8903088391906353E-2</v>
      </c>
      <c r="AT239" s="1">
        <f>'Asset Prices'!AT239/'Asset Prices'!AT240-1</f>
        <v>3.7481259370315545E-3</v>
      </c>
      <c r="AU239" s="1">
        <f>'Asset Prices'!AU239/'Asset Prices'!AU240-1</f>
        <v>-2.8485757121439303E-2</v>
      </c>
      <c r="AV239" s="1">
        <f>'Asset Prices'!AV239/'Asset Prices'!AV240-1</f>
        <v>8.8303735456215504E-2</v>
      </c>
      <c r="AW239" s="1">
        <f>'Asset Prices'!AW239/'Asset Prices'!AW240-1</f>
        <v>-2.5351463470845159E-3</v>
      </c>
      <c r="AX239" s="1">
        <f>'Asset Prices'!AX239/'Asset Prices'!AX240-1</f>
        <v>-3.1204644412191618E-2</v>
      </c>
      <c r="AY239" s="1">
        <f>'Asset Prices'!AY239/'Asset Prices'!AY240-1</f>
        <v>1.1904761904761862E-2</v>
      </c>
      <c r="AZ239" s="1">
        <f>'Asset Prices'!AZ239/'Asset Prices'!AZ240-1</f>
        <v>5.0505050505050608E-2</v>
      </c>
      <c r="BA239" s="1">
        <f>'Asset Prices'!BA239/'Asset Prices'!BA240-1</f>
        <v>5.9259259259259345E-2</v>
      </c>
      <c r="BB239" s="1">
        <f>'Asset Prices'!BB239/'Asset Prices'!BB240-1</f>
        <v>3.0675880667453193E-2</v>
      </c>
      <c r="BC239" s="1">
        <f>'Asset Prices'!BC239/'Asset Prices'!BC240-1</f>
        <v>5.2860696517412986E-2</v>
      </c>
      <c r="BD239" s="1">
        <f>'Asset Prices'!BD239/'Asset Prices'!BD240-1</f>
        <v>-1.5060240963854499E-3</v>
      </c>
    </row>
    <row r="240" spans="3:56" x14ac:dyDescent="0.25">
      <c r="C240" s="38">
        <f>'Asset Prices'!C240</f>
        <v>42691</v>
      </c>
      <c r="D240" s="1">
        <f>'Asset Prices'!D240/'Asset Prices'!D241-1</f>
        <v>-9.7715891046782355E-3</v>
      </c>
      <c r="E240" s="1">
        <f>'Asset Prices'!E240/'Asset Prices'!E241-1</f>
        <v>4.6440606571187981E-2</v>
      </c>
      <c r="F240" s="1">
        <f>'Asset Prices'!F240/'Asset Prices'!F241-1</f>
        <v>2.38142488589006E-2</v>
      </c>
      <c r="G240" s="1">
        <f>'Asset Prices'!G240/'Asset Prices'!G241-1</f>
        <v>1.6927741283476516E-2</v>
      </c>
      <c r="H240" s="1">
        <f>'Asset Prices'!H240/'Asset Prices'!H241-1</f>
        <v>-7.1696094168004487E-3</v>
      </c>
      <c r="I240" s="1">
        <f>'Asset Prices'!I240/'Asset Prices'!I241-1</f>
        <v>-2.4917218543046293E-2</v>
      </c>
      <c r="J240" s="1">
        <f>'Asset Prices'!J240/'Asset Prices'!J241-1</f>
        <v>2.0038964653492863E-2</v>
      </c>
      <c r="K240" s="1">
        <f>'Asset Prices'!K240/'Asset Prices'!K241-1</f>
        <v>1.88852070368275E-2</v>
      </c>
      <c r="L240" s="1">
        <f>'Asset Prices'!L240/'Asset Prices'!L241-1</f>
        <v>-3.3789637844394704E-3</v>
      </c>
      <c r="M240" s="1">
        <f>'Asset Prices'!M240/'Asset Prices'!M241-1</f>
        <v>3.3049403747870576E-2</v>
      </c>
      <c r="N240" s="1">
        <f>'Asset Prices'!N240/'Asset Prices'!N241-1</f>
        <v>7.5228440707941768E-3</v>
      </c>
      <c r="O240" s="1">
        <f>'Asset Prices'!O240/'Asset Prices'!O241-1</f>
        <v>1.9430451321065023E-2</v>
      </c>
      <c r="P240" s="1">
        <f>'Asset Prices'!P240/'Asset Prices'!P241-1</f>
        <v>1.2625106299470223E-2</v>
      </c>
      <c r="Q240" s="1">
        <f>'Asset Prices'!Q240/'Asset Prices'!Q241-1</f>
        <v>7.3289183222958076E-2</v>
      </c>
      <c r="R240" s="1">
        <f>'Asset Prices'!R240/'Asset Prices'!R241-1</f>
        <v>8.2730093071354815E-3</v>
      </c>
      <c r="S240" s="1">
        <f>'Asset Prices'!S240/'Asset Prices'!S241-1</f>
        <v>-8.4566596194503019E-3</v>
      </c>
      <c r="T240" s="1">
        <f>'Asset Prices'!T240/'Asset Prices'!T241-1</f>
        <v>5.5162081176791E-2</v>
      </c>
      <c r="U240" s="1">
        <f>'Asset Prices'!U240/'Asset Prices'!U241-1</f>
        <v>2.0651988393923792E-2</v>
      </c>
      <c r="V240" s="1">
        <f>'Asset Prices'!V240/'Asset Prices'!V241-1</f>
        <v>3.2743785850860352E-2</v>
      </c>
      <c r="W240" s="1">
        <f>'Asset Prices'!W240/'Asset Prices'!W241-1</f>
        <v>0.15032516258129069</v>
      </c>
      <c r="X240" s="1">
        <f>'Asset Prices'!X240/'Asset Prices'!X241-1</f>
        <v>6.9890009165902711E-2</v>
      </c>
      <c r="Y240" s="1">
        <f>'Asset Prices'!Y240/'Asset Prices'!Y241-1</f>
        <v>0.11466865227754086</v>
      </c>
      <c r="Z240" s="1">
        <f>'Asset Prices'!Z240/'Asset Prices'!Z241-1</f>
        <v>5.8479532163742576E-2</v>
      </c>
      <c r="AA240" s="1">
        <f>'Asset Prices'!AA240/'Asset Prices'!AA241-1</f>
        <v>6.0698027314112224E-2</v>
      </c>
      <c r="AB240" s="1">
        <f>'Asset Prices'!AB240/'Asset Prices'!AB241-1</f>
        <v>0</v>
      </c>
      <c r="AC240" s="1">
        <f>'Asset Prices'!AC240/'Asset Prices'!AC241-1</f>
        <v>2.8000000000000025E-2</v>
      </c>
      <c r="AD240" s="1">
        <f>'Asset Prices'!AD240/'Asset Prices'!AD241-1</f>
        <v>6.7826525466465171E-2</v>
      </c>
      <c r="AE240" s="1">
        <f>'Asset Prices'!AE240/'Asset Prices'!AE241-1</f>
        <v>9.7692919649960075E-2</v>
      </c>
      <c r="AF240" s="1">
        <f>'Asset Prices'!AF240/'Asset Prices'!AF241-1</f>
        <v>-3.1880977683315659E-2</v>
      </c>
      <c r="AG240" s="1">
        <f>'Asset Prices'!AG240/'Asset Prices'!AG241-1</f>
        <v>7.4523396880415982E-2</v>
      </c>
      <c r="AH240" s="1">
        <f>'Asset Prices'!AH240/'Asset Prices'!AH241-1</f>
        <v>-8.7689713322089968E-3</v>
      </c>
      <c r="AI240" s="1">
        <f>'Asset Prices'!AI240/'Asset Prices'!AI241-1</f>
        <v>2.093213409648409E-2</v>
      </c>
      <c r="AJ240" s="1">
        <f>'Asset Prices'!AJ240/'Asset Prices'!AJ241-1</f>
        <v>-3.6101083032490378E-3</v>
      </c>
      <c r="AK240" s="1">
        <f>'Asset Prices'!AK240/'Asset Prices'!AK241-1</f>
        <v>8.0208333333333215E-2</v>
      </c>
      <c r="AL240" s="1">
        <f>'Asset Prices'!AL240/'Asset Prices'!AL241-1</f>
        <v>-1.0180337405469864E-3</v>
      </c>
      <c r="AM240" s="1">
        <f>'Asset Prices'!AM240/'Asset Prices'!AM241-1</f>
        <v>-2.6213955810759915E-3</v>
      </c>
      <c r="AN240" s="1">
        <f>'Asset Prices'!AN240/'Asset Prices'!AN241-1</f>
        <v>-2.9641322459001973E-2</v>
      </c>
      <c r="AO240" s="1">
        <f>'Asset Prices'!AO240/'Asset Prices'!AO241-1</f>
        <v>2.4630541871921263E-2</v>
      </c>
      <c r="AP240" s="1">
        <f>'Asset Prices'!AP240/'Asset Prices'!AP241-1</f>
        <v>2.2682053322721663E-2</v>
      </c>
      <c r="AQ240" s="1">
        <f>'Asset Prices'!AQ240/'Asset Prices'!AQ241-1</f>
        <v>7.7922077922077948E-2</v>
      </c>
      <c r="AR240" s="1">
        <f>'Asset Prices'!AR240/'Asset Prices'!AR241-1</f>
        <v>-5.7093425605536319E-2</v>
      </c>
      <c r="AS240" s="1">
        <f>'Asset Prices'!AS240/'Asset Prices'!AS241-1</f>
        <v>-1.8808777429467072E-2</v>
      </c>
      <c r="AT240" s="1">
        <f>'Asset Prices'!AT240/'Asset Prices'!AT241-1</f>
        <v>2.6305900037579821E-3</v>
      </c>
      <c r="AU240" s="1">
        <f>'Asset Prices'!AU240/'Asset Prices'!AU241-1</f>
        <v>-1.2470816012755681E-2</v>
      </c>
      <c r="AV240" s="1">
        <f>'Asset Prices'!AV240/'Asset Prices'!AV241-1</f>
        <v>5.7642487046632107E-2</v>
      </c>
      <c r="AW240" s="1">
        <f>'Asset Prices'!AW240/'Asset Prices'!AW241-1</f>
        <v>0.10238821138211396</v>
      </c>
      <c r="AX240" s="1">
        <f>'Asset Prices'!AX240/'Asset Prices'!AX241-1</f>
        <v>-2.8893587033121948E-2</v>
      </c>
      <c r="AY240" s="1">
        <f>'Asset Prices'!AY240/'Asset Prices'!AY241-1</f>
        <v>-3.002309468822173E-2</v>
      </c>
      <c r="AZ240" s="1">
        <f>'Asset Prices'!AZ240/'Asset Prices'!AZ241-1</f>
        <v>2.9859371989982453E-2</v>
      </c>
      <c r="BA240" s="1">
        <f>'Asset Prices'!BA240/'Asset Prices'!BA241-1</f>
        <v>6.2992125984252079E-2</v>
      </c>
      <c r="BB240" s="1">
        <f>'Asset Prices'!BB240/'Asset Prices'!BB241-1</f>
        <v>3.9782684893094888E-2</v>
      </c>
      <c r="BC240" s="1">
        <f>'Asset Prices'!BC240/'Asset Prices'!BC241-1</f>
        <v>5.1323962079111052E-2</v>
      </c>
      <c r="BD240" s="1">
        <f>'Asset Prices'!BD240/'Asset Prices'!BD241-1</f>
        <v>3.3896275002994303E-2</v>
      </c>
    </row>
    <row r="241" spans="3:56" x14ac:dyDescent="0.25">
      <c r="C241" s="38">
        <f>'Asset Prices'!C241</f>
        <v>42684</v>
      </c>
      <c r="D241" s="1">
        <f>'Asset Prices'!D241/'Asset Prices'!D242-1</f>
        <v>1.5127092374457529E-2</v>
      </c>
      <c r="E241" s="1">
        <f>'Asset Prices'!E241/'Asset Prices'!E242-1</f>
        <v>1.7029024311877361E-2</v>
      </c>
      <c r="F241" s="1">
        <f>'Asset Prices'!F241/'Asset Prices'!F242-1</f>
        <v>1.3271667001809817E-2</v>
      </c>
      <c r="G241" s="1">
        <f>'Asset Prices'!G241/'Asset Prices'!G242-1</f>
        <v>3.3150613416862429E-2</v>
      </c>
      <c r="H241" s="1">
        <f>'Asset Prices'!H241/'Asset Prices'!H242-1</f>
        <v>0.14987080103359185</v>
      </c>
      <c r="I241" s="1">
        <f>'Asset Prices'!I241/'Asset Prices'!I242-1</f>
        <v>6.6666666666665986E-3</v>
      </c>
      <c r="J241" s="1">
        <f>'Asset Prices'!J241/'Asset Prices'!J242-1</f>
        <v>-1.8574160065555789E-2</v>
      </c>
      <c r="K241" s="1">
        <f>'Asset Prices'!K241/'Asset Prices'!K242-1</f>
        <v>-3.2136943796200912E-2</v>
      </c>
      <c r="L241" s="1">
        <f>'Asset Prices'!L241/'Asset Prices'!L242-1</f>
        <v>-5.501883084984438E-2</v>
      </c>
      <c r="M241" s="1">
        <f>'Asset Prices'!M241/'Asset Prices'!M242-1</f>
        <v>-8.6134098969767869E-3</v>
      </c>
      <c r="N241" s="1">
        <f>'Asset Prices'!N241/'Asset Prices'!N242-1</f>
        <v>-2.4290773341516525E-3</v>
      </c>
      <c r="O241" s="1">
        <f>'Asset Prices'!O241/'Asset Prices'!O242-1</f>
        <v>-3.386968613428698E-2</v>
      </c>
      <c r="P241" s="1">
        <f>'Asset Prices'!P241/'Asset Prices'!P242-1</f>
        <v>-4.4980321109514554E-2</v>
      </c>
      <c r="Q241" s="1">
        <f>'Asset Prices'!Q241/'Asset Prices'!Q242-1</f>
        <v>5.2509293680297331E-2</v>
      </c>
      <c r="R241" s="1">
        <f>'Asset Prices'!R241/'Asset Prices'!R242-1</f>
        <v>-4.7759724273756743E-2</v>
      </c>
      <c r="S241" s="1">
        <f>'Asset Prices'!S241/'Asset Prices'!S242-1</f>
        <v>-2.9032258064516148E-2</v>
      </c>
      <c r="T241" s="1">
        <f>'Asset Prices'!T241/'Asset Prices'!T242-1</f>
        <v>6.0369728480647034E-2</v>
      </c>
      <c r="U241" s="1">
        <f>'Asset Prices'!U241/'Asset Prices'!U242-1</f>
        <v>3.2604864293267477E-2</v>
      </c>
      <c r="V241" s="1">
        <f>'Asset Prices'!V241/'Asset Prices'!V242-1</f>
        <v>2.6748466257668913E-2</v>
      </c>
      <c r="W241" s="1">
        <f>'Asset Prices'!W241/'Asset Prices'!W242-1</f>
        <v>4.9068485961689889E-2</v>
      </c>
      <c r="X241" s="1">
        <f>'Asset Prices'!X241/'Asset Prices'!X242-1</f>
        <v>9.9244332493702681E-2</v>
      </c>
      <c r="Y241" s="1">
        <f>'Asset Prices'!Y241/'Asset Prices'!Y242-1</f>
        <v>1.9354838694811694E-2</v>
      </c>
      <c r="Z241" s="1">
        <f>'Asset Prices'!Z241/'Asset Prices'!Z242-1</f>
        <v>3.0120481927710774E-2</v>
      </c>
      <c r="AA241" s="1">
        <f>'Asset Prices'!AA241/'Asset Prices'!AA242-1</f>
        <v>-9.0225563909773765E-3</v>
      </c>
      <c r="AB241" s="1">
        <f>'Asset Prices'!AB241/'Asset Prices'!AB242-1</f>
        <v>1.449275362318847E-2</v>
      </c>
      <c r="AC241" s="1">
        <f>'Asset Prices'!AC241/'Asset Prices'!AC242-1</f>
        <v>8.2771896053897898E-2</v>
      </c>
      <c r="AD241" s="1">
        <f>'Asset Prices'!AD241/'Asset Prices'!AD242-1</f>
        <v>0.14359861591695489</v>
      </c>
      <c r="AE241" s="1">
        <f>'Asset Prices'!AE241/'Asset Prices'!AE242-1</f>
        <v>0.23453152622274609</v>
      </c>
      <c r="AF241" s="1">
        <f>'Asset Prices'!AF241/'Asset Prices'!AF242-1</f>
        <v>0.168944099378882</v>
      </c>
      <c r="AG241" s="1">
        <f>'Asset Prices'!AG241/'Asset Prices'!AG242-1</f>
        <v>0.11821705426356588</v>
      </c>
      <c r="AH241" s="1">
        <f>'Asset Prices'!AH241/'Asset Prices'!AH242-1</f>
        <v>5.3098916711063593E-2</v>
      </c>
      <c r="AI241" s="1">
        <f>'Asset Prices'!AI241/'Asset Prices'!AI242-1</f>
        <v>0.13177864149546537</v>
      </c>
      <c r="AJ241" s="1">
        <f>'Asset Prices'!AJ241/'Asset Prices'!AJ242-1</f>
        <v>0.10358565737051784</v>
      </c>
      <c r="AK241" s="1">
        <f>'Asset Prices'!AK241/'Asset Prices'!AK242-1</f>
        <v>0.13408151210868269</v>
      </c>
      <c r="AL241" s="1">
        <f>'Asset Prices'!AL241/'Asset Prices'!AL242-1</f>
        <v>-3.2230823363828209E-2</v>
      </c>
      <c r="AM241" s="1">
        <f>'Asset Prices'!AM241/'Asset Prices'!AM242-1</f>
        <v>5.1519327951696559E-2</v>
      </c>
      <c r="AN241" s="1">
        <f>'Asset Prices'!AN241/'Asset Prices'!AN242-1</f>
        <v>-1.4007782101167376E-2</v>
      </c>
      <c r="AO241" s="1">
        <f>'Asset Prices'!AO241/'Asset Prices'!AO242-1</f>
        <v>-3.8404096436953639E-3</v>
      </c>
      <c r="AP241" s="1">
        <f>'Asset Prices'!AP241/'Asset Prices'!AP242-1</f>
        <v>5.0000000000000044E-2</v>
      </c>
      <c r="AQ241" s="1">
        <f>'Asset Prices'!AQ241/'Asset Prices'!AQ242-1</f>
        <v>-3.2792544011045477E-3</v>
      </c>
      <c r="AR241" s="1">
        <f>'Asset Prices'!AR241/'Asset Prices'!AR242-1</f>
        <v>-8.1324503311258178E-2</v>
      </c>
      <c r="AS241" s="1">
        <f>'Asset Prices'!AS241/'Asset Prices'!AS242-1</f>
        <v>0.12126537785588765</v>
      </c>
      <c r="AT241" s="1">
        <f>'Asset Prices'!AT241/'Asset Prices'!AT242-1</f>
        <v>0.11222570532915355</v>
      </c>
      <c r="AU241" s="1">
        <f>'Asset Prices'!AU241/'Asset Prices'!AU242-1</f>
        <v>1.4031643376833491E-2</v>
      </c>
      <c r="AV241" s="1">
        <f>'Asset Prices'!AV241/'Asset Prices'!AV242-1</f>
        <v>4.2257324152828568E-2</v>
      </c>
      <c r="AW241" s="1">
        <f>'Asset Prices'!AW241/'Asset Prices'!AW242-1</f>
        <v>-8.741015534430796E-2</v>
      </c>
      <c r="AX241" s="1">
        <f>'Asset Prices'!AX241/'Asset Prices'!AX242-1</f>
        <v>0.28882833787465945</v>
      </c>
      <c r="AY241" s="1">
        <f>'Asset Prices'!AY241/'Asset Prices'!AY242-1</f>
        <v>0.15775401069518713</v>
      </c>
      <c r="AZ241" s="1">
        <f>'Asset Prices'!AZ241/'Asset Prices'!AZ242-1</f>
        <v>5.3154798133495662E-2</v>
      </c>
      <c r="BA241" s="1">
        <f>'Asset Prices'!BA241/'Asset Prices'!BA242-1</f>
        <v>-5.9259259259259234E-2</v>
      </c>
      <c r="BB241" s="1">
        <f>'Asset Prices'!BB241/'Asset Prices'!BB242-1</f>
        <v>-2.6279863481228682E-2</v>
      </c>
      <c r="BC241" s="1">
        <f>'Asset Prices'!BC241/'Asset Prices'!BC242-1</f>
        <v>0.13170551239363659</v>
      </c>
      <c r="BD241" s="1">
        <f>'Asset Prices'!BD241/'Asset Prices'!BD242-1</f>
        <v>3.8691216720577293E-2</v>
      </c>
    </row>
    <row r="242" spans="3:56" x14ac:dyDescent="0.25">
      <c r="C242" s="38">
        <f>'Asset Prices'!C242</f>
        <v>42677</v>
      </c>
      <c r="D242" s="1">
        <f>'Asset Prices'!D242/'Asset Prices'!D243-1</f>
        <v>-1.55029296875E-2</v>
      </c>
      <c r="E242" s="1">
        <f>'Asset Prices'!E242/'Asset Prices'!E243-1</f>
        <v>-6.9134226760262374E-3</v>
      </c>
      <c r="F242" s="1">
        <f>'Asset Prices'!F242/'Asset Prices'!F243-1</f>
        <v>-4.1626517633455484E-2</v>
      </c>
      <c r="G242" s="1">
        <f>'Asset Prices'!G242/'Asset Prices'!G243-1</f>
        <v>2.3547880690739653E-3</v>
      </c>
      <c r="H242" s="1">
        <f>'Asset Prices'!H242/'Asset Prices'!H243-1</f>
        <v>-2.0961329960245911E-2</v>
      </c>
      <c r="I242" s="1">
        <f>'Asset Prices'!I242/'Asset Prices'!I243-1</f>
        <v>-7.4716631968540392E-2</v>
      </c>
      <c r="J242" s="1">
        <f>'Asset Prices'!J242/'Asset Prices'!J243-1</f>
        <v>-4.0618448637316562E-2</v>
      </c>
      <c r="K242" s="1">
        <f>'Asset Prices'!K242/'Asset Prices'!K243-1</f>
        <v>-6.2723006989588992E-2</v>
      </c>
      <c r="L242" s="1">
        <f>'Asset Prices'!L242/'Asset Prices'!L243-1</f>
        <v>-3.4237368545900204E-2</v>
      </c>
      <c r="M242" s="1">
        <f>'Asset Prices'!M242/'Asset Prices'!M243-1</f>
        <v>-1.4808652246256271E-2</v>
      </c>
      <c r="N242" s="1">
        <f>'Asset Prices'!N242/'Asset Prices'!N243-1</f>
        <v>-4.3017067351807659E-2</v>
      </c>
      <c r="O242" s="1">
        <f>'Asset Prices'!O242/'Asset Prices'!O243-1</f>
        <v>5.4130457543712707E-2</v>
      </c>
      <c r="P242" s="1">
        <f>'Asset Prices'!P242/'Asset Prices'!P243-1</f>
        <v>-3.3568797923081539E-2</v>
      </c>
      <c r="Q242" s="1">
        <f>'Asset Prices'!Q242/'Asset Prices'!Q243-1</f>
        <v>2.3056810078440737E-2</v>
      </c>
      <c r="R242" s="1">
        <f>'Asset Prices'!R242/'Asset Prices'!R243-1</f>
        <v>4.451038575667754E-3</v>
      </c>
      <c r="S242" s="1">
        <f>'Asset Prices'!S242/'Asset Prices'!S243-1</f>
        <v>1.2470308788598672E-2</v>
      </c>
      <c r="T242" s="1">
        <f>'Asset Prices'!T242/'Asset Prices'!T243-1</f>
        <v>3.4668260609683088E-2</v>
      </c>
      <c r="U242" s="1">
        <f>'Asset Prices'!U242/'Asset Prices'!U243-1</f>
        <v>-5.2594670406731492E-3</v>
      </c>
      <c r="V242" s="1">
        <f>'Asset Prices'!V242/'Asset Prices'!V243-1</f>
        <v>1.0163609320773315E-2</v>
      </c>
      <c r="W242" s="1">
        <f>'Asset Prices'!W242/'Asset Prices'!W243-1</f>
        <v>-9.6153846153845812E-3</v>
      </c>
      <c r="X242" s="1">
        <f>'Asset Prices'!X242/'Asset Prices'!X243-1</f>
        <v>1.1722731906218087E-2</v>
      </c>
      <c r="Y242" s="1">
        <f>'Asset Prices'!Y242/'Asset Prices'!Y243-1</f>
        <v>-1.3108614218042325E-2</v>
      </c>
      <c r="Z242" s="1">
        <f>'Asset Prices'!Z242/'Asset Prices'!Z243-1</f>
        <v>-5.9880239520956335E-3</v>
      </c>
      <c r="AA242" s="1">
        <f>'Asset Prices'!AA242/'Asset Prices'!AA243-1</f>
        <v>0.10099337748344372</v>
      </c>
      <c r="AB242" s="1">
        <f>'Asset Prices'!AB242/'Asset Prices'!AB243-1</f>
        <v>-7.194244604316502E-3</v>
      </c>
      <c r="AC242" s="1">
        <f>'Asset Prices'!AC242/'Asset Prices'!AC243-1</f>
        <v>4.4431041415359918E-2</v>
      </c>
      <c r="AD242" s="1">
        <f>'Asset Prices'!AD242/'Asset Prices'!AD243-1</f>
        <v>1.6710642040457246E-2</v>
      </c>
      <c r="AE242" s="1">
        <f>'Asset Prices'!AE242/'Asset Prices'!AE243-1</f>
        <v>-1.9075144508670538E-2</v>
      </c>
      <c r="AF242" s="1">
        <f>'Asset Prices'!AF242/'Asset Prices'!AF243-1</f>
        <v>9.1934809862097566E-3</v>
      </c>
      <c r="AG242" s="1">
        <f>'Asset Prices'!AG242/'Asset Prices'!AG243-1</f>
        <v>-2.934537246049651E-2</v>
      </c>
      <c r="AH242" s="1">
        <f>'Asset Prices'!AH242/'Asset Prices'!AH243-1</f>
        <v>2.8305332359386481E-2</v>
      </c>
      <c r="AI242" s="1">
        <f>'Asset Prices'!AI242/'Asset Prices'!AI243-1</f>
        <v>-1.2970405553525799E-2</v>
      </c>
      <c r="AJ242" s="1">
        <f>'Asset Prices'!AJ242/'Asset Prices'!AJ243-1</f>
        <v>-4.5627376425855459E-2</v>
      </c>
      <c r="AK242" s="1">
        <f>'Asset Prices'!AK242/'Asset Prices'!AK243-1</f>
        <v>-2.4769585253456183E-2</v>
      </c>
      <c r="AL242" s="1">
        <f>'Asset Prices'!AL242/'Asset Prices'!AL243-1</f>
        <v>-5.041310740792615E-3</v>
      </c>
      <c r="AM242" s="1">
        <f>'Asset Prices'!AM242/'Asset Prices'!AM243-1</f>
        <v>-6.3906097163350939E-3</v>
      </c>
      <c r="AN242" s="1">
        <f>'Asset Prices'!AN242/'Asset Prices'!AN243-1</f>
        <v>5.4046664236237829E-2</v>
      </c>
      <c r="AO242" s="1">
        <f>'Asset Prices'!AO242/'Asset Prices'!AO243-1</f>
        <v>-3.4404614750721096E-2</v>
      </c>
      <c r="AP242" s="1">
        <f>'Asset Prices'!AP242/'Asset Prices'!AP243-1</f>
        <v>-1.8857611369226701E-2</v>
      </c>
      <c r="AQ242" s="1">
        <f>'Asset Prices'!AQ242/'Asset Prices'!AQ243-1</f>
        <v>-2.9643275833193816E-2</v>
      </c>
      <c r="AR242" s="1">
        <f>'Asset Prices'!AR242/'Asset Prices'!AR243-1</f>
        <v>8.5081920091980567E-2</v>
      </c>
      <c r="AS242" s="1">
        <f>'Asset Prices'!AS242/'Asset Prices'!AS243-1</f>
        <v>-0.10205155181483438</v>
      </c>
      <c r="AT242" s="1">
        <f>'Asset Prices'!AT242/'Asset Prices'!AT243-1</f>
        <v>8.4299262381453133E-3</v>
      </c>
      <c r="AU242" s="1">
        <f>'Asset Prices'!AU242/'Asset Prices'!AU243-1</f>
        <v>3.5455904334828148E-2</v>
      </c>
      <c r="AV242" s="1">
        <f>'Asset Prices'!AV242/'Asset Prices'!AV243-1</f>
        <v>-5.1040967092009781E-3</v>
      </c>
      <c r="AW242" s="1">
        <f>'Asset Prices'!AW242/'Asset Prices'!AW243-1</f>
        <v>-0.14846989141164846</v>
      </c>
      <c r="AX242" s="1">
        <f>'Asset Prices'!AX242/'Asset Prices'!AX243-1</f>
        <v>-5.086206896551726E-2</v>
      </c>
      <c r="AY242" s="1">
        <f>'Asset Prices'!AY242/'Asset Prices'!AY243-1</f>
        <v>-5.0761421319796884E-2</v>
      </c>
      <c r="AZ242" s="1">
        <f>'Asset Prices'!AZ242/'Asset Prices'!AZ243-1</f>
        <v>-1.4594162335065941E-2</v>
      </c>
      <c r="BA242" s="1">
        <f>'Asset Prices'!BA242/'Asset Prices'!BA243-1</f>
        <v>-2.877697841726623E-2</v>
      </c>
      <c r="BB242" s="1">
        <f>'Asset Prices'!BB242/'Asset Prices'!BB243-1</f>
        <v>-2.3658780406531132E-2</v>
      </c>
      <c r="BC242" s="1">
        <f>'Asset Prices'!BC242/'Asset Prices'!BC243-1</f>
        <v>8.9585666293394706E-3</v>
      </c>
      <c r="BD242" s="1">
        <f>'Asset Prices'!BD242/'Asset Prices'!BD243-1</f>
        <v>2.6194337033802473E-3</v>
      </c>
    </row>
    <row r="243" spans="3:56" x14ac:dyDescent="0.25">
      <c r="C243" s="38">
        <f>'Asset Prices'!C243</f>
        <v>42670</v>
      </c>
      <c r="D243" s="1">
        <f>'Asset Prices'!D243/'Asset Prices'!D244-1</f>
        <v>-7.0303030303030534E-3</v>
      </c>
      <c r="E243" s="1">
        <f>'Asset Prices'!E243/'Asset Prices'!E244-1</f>
        <v>2.1623383679234998E-2</v>
      </c>
      <c r="F243" s="1">
        <f>'Asset Prices'!F243/'Asset Prices'!F244-1</f>
        <v>0</v>
      </c>
      <c r="G243" s="1">
        <f>'Asset Prices'!G243/'Asset Prices'!G244-1</f>
        <v>3.4129692832762792E-3</v>
      </c>
      <c r="H243" s="1">
        <f>'Asset Prices'!H243/'Asset Prices'!H244-1</f>
        <v>-4.1786909846473375E-2</v>
      </c>
      <c r="I243" s="1">
        <f>'Asset Prices'!I243/'Asset Prices'!I244-1</f>
        <v>-2.3846153846154294E-3</v>
      </c>
      <c r="J243" s="1">
        <f>'Asset Prices'!J243/'Asset Prices'!J244-1</f>
        <v>-2.2039979497693429E-2</v>
      </c>
      <c r="K243" s="1">
        <f>'Asset Prices'!K243/'Asset Prices'!K244-1</f>
        <v>9.9220061210385513E-3</v>
      </c>
      <c r="L243" s="1">
        <f>'Asset Prices'!L243/'Asset Prices'!L244-1</f>
        <v>2.5293879205512848E-2</v>
      </c>
      <c r="M243" s="1">
        <f>'Asset Prices'!M243/'Asset Prices'!M244-1</f>
        <v>4.9781659388646204E-2</v>
      </c>
      <c r="N243" s="1">
        <f>'Asset Prices'!N243/'Asset Prices'!N244-1</f>
        <v>-5.2091574066185364E-3</v>
      </c>
      <c r="O243" s="1">
        <f>'Asset Prices'!O243/'Asset Prices'!O244-1</f>
        <v>4.1000841042893033E-3</v>
      </c>
      <c r="P243" s="1">
        <f>'Asset Prices'!P243/'Asset Prices'!P244-1</f>
        <v>-8.0253937833143496E-3</v>
      </c>
      <c r="Q243" s="1">
        <f>'Asset Prices'!Q243/'Asset Prices'!Q244-1</f>
        <v>-8.0738555664809364E-2</v>
      </c>
      <c r="R243" s="1">
        <f>'Asset Prices'!R243/'Asset Prices'!R244-1</f>
        <v>1.2379301807377008E-3</v>
      </c>
      <c r="S243" s="1">
        <f>'Asset Prices'!S243/'Asset Prices'!S244-1</f>
        <v>2.9779630732580387E-3</v>
      </c>
      <c r="T243" s="1">
        <f>'Asset Prices'!T243/'Asset Prices'!T244-1</f>
        <v>-7.1216617210683175E-3</v>
      </c>
      <c r="U243" s="1">
        <f>'Asset Prices'!U243/'Asset Prices'!U244-1</f>
        <v>-1.4853195164076016E-2</v>
      </c>
      <c r="V243" s="1">
        <f>'Asset Prices'!V243/'Asset Prices'!V244-1</f>
        <v>-2.5603864734299431E-2</v>
      </c>
      <c r="W243" s="1">
        <f>'Asset Prices'!W243/'Asset Prices'!W244-1</f>
        <v>-2.5329280648429542E-2</v>
      </c>
      <c r="X243" s="1">
        <f>'Asset Prices'!X243/'Asset Prices'!X244-1</f>
        <v>-7.2121068810593436E-2</v>
      </c>
      <c r="Y243" s="1">
        <f>'Asset Prices'!Y243/'Asset Prices'!Y244-1</f>
        <v>-6.4470917988366017E-2</v>
      </c>
      <c r="Z243" s="1">
        <f>'Asset Prices'!Z243/'Asset Prices'!Z244-1</f>
        <v>-7.7348066298342677E-2</v>
      </c>
      <c r="AA243" s="1">
        <f>'Asset Prices'!AA243/'Asset Prices'!AA244-1</f>
        <v>-2.4232633279482996E-2</v>
      </c>
      <c r="AB243" s="1">
        <f>'Asset Prices'!AB243/'Asset Prices'!AB244-1</f>
        <v>-4.4673539518900407E-2</v>
      </c>
      <c r="AC243" s="1">
        <f>'Asset Prices'!AC243/'Asset Prices'!AC244-1</f>
        <v>-1.3682331945270576E-2</v>
      </c>
      <c r="AD243" s="1">
        <f>'Asset Prices'!AD243/'Asset Prices'!AD244-1</f>
        <v>-1.0443864229764954E-2</v>
      </c>
      <c r="AE243" s="1">
        <f>'Asset Prices'!AE243/'Asset Prices'!AE244-1</f>
        <v>-8.3848190644307152E-2</v>
      </c>
      <c r="AF243" s="1">
        <f>'Asset Prices'!AF243/'Asset Prices'!AF244-1</f>
        <v>-3.0781692993114729E-2</v>
      </c>
      <c r="AG243" s="1">
        <f>'Asset Prices'!AG243/'Asset Prices'!AG244-1</f>
        <v>-3.0634573304157642E-2</v>
      </c>
      <c r="AH243" s="1">
        <f>'Asset Prices'!AH243/'Asset Prices'!AH244-1</f>
        <v>-3.4385469934755775E-2</v>
      </c>
      <c r="AI243" s="1">
        <f>'Asset Prices'!AI243/'Asset Prices'!AI244-1</f>
        <v>4.4656488549618345E-2</v>
      </c>
      <c r="AJ243" s="1">
        <f>'Asset Prices'!AJ243/'Asset Prices'!AJ244-1</f>
        <v>-7.547169811320753E-3</v>
      </c>
      <c r="AK243" s="1">
        <f>'Asset Prices'!AK243/'Asset Prices'!AK244-1</f>
        <v>-6.6666666666666763E-2</v>
      </c>
      <c r="AL243" s="1">
        <f>'Asset Prices'!AL243/'Asset Prices'!AL244-1</f>
        <v>-4.738675958188221E-3</v>
      </c>
      <c r="AM243" s="1">
        <f>'Asset Prices'!AM243/'Asset Prices'!AM244-1</f>
        <v>1.207761351636738E-2</v>
      </c>
      <c r="AN243" s="1">
        <f>'Asset Prices'!AN243/'Asset Prices'!AN244-1</f>
        <v>-4.2164993452640798E-2</v>
      </c>
      <c r="AO243" s="1">
        <f>'Asset Prices'!AO243/'Asset Prices'!AO244-1</f>
        <v>-1.2210012210012278E-2</v>
      </c>
      <c r="AP243" s="1">
        <f>'Asset Prices'!AP243/'Asset Prices'!AP244-1</f>
        <v>-1.5008868877063319E-3</v>
      </c>
      <c r="AQ243" s="1">
        <f>'Asset Prices'!AQ243/'Asset Prices'!AQ244-1</f>
        <v>1.3752122241086573E-2</v>
      </c>
      <c r="AR243" s="1">
        <f>'Asset Prices'!AR243/'Asset Prices'!AR244-1</f>
        <v>-5.9983788165360874E-2</v>
      </c>
      <c r="AS243" s="1">
        <f>'Asset Prices'!AS243/'Asset Prices'!AS244-1</f>
        <v>1.0901356022334552E-2</v>
      </c>
      <c r="AT243" s="1">
        <f>'Asset Prices'!AT243/'Asset Prices'!AT244-1</f>
        <v>-2.9417944946417141E-3</v>
      </c>
      <c r="AU243" s="1">
        <f>'Asset Prices'!AU243/'Asset Prices'!AU244-1</f>
        <v>-3.3404611917008609E-2</v>
      </c>
      <c r="AV243" s="1">
        <f>'Asset Prices'!AV243/'Asset Prices'!AV244-1</f>
        <v>-1.8716225121919061E-2</v>
      </c>
      <c r="AW243" s="1">
        <f>'Asset Prices'!AW243/'Asset Prices'!AW244-1</f>
        <v>3.8974358974358969E-2</v>
      </c>
      <c r="AX243" s="1">
        <f>'Asset Prices'!AX243/'Asset Prices'!AX244-1</f>
        <v>-5.5374592833876246E-2</v>
      </c>
      <c r="AY243" s="1">
        <f>'Asset Prices'!AY243/'Asset Prices'!AY244-1</f>
        <v>-5.2884615384615419E-2</v>
      </c>
      <c r="AZ243" s="1">
        <f>'Asset Prices'!AZ243/'Asset Prices'!AZ244-1</f>
        <v>-1.4772503446917606E-2</v>
      </c>
      <c r="BA243" s="1">
        <f>'Asset Prices'!BA243/'Asset Prices'!BA244-1</f>
        <v>-1.5929203539822967E-2</v>
      </c>
      <c r="BB243" s="1">
        <f>'Asset Prices'!BB243/'Asset Prices'!BB244-1</f>
        <v>-1.6549238079632933E-2</v>
      </c>
      <c r="BC243" s="1">
        <f>'Asset Prices'!BC243/'Asset Prices'!BC244-1</f>
        <v>-0.13996789727126813</v>
      </c>
      <c r="BD243" s="1">
        <f>'Asset Prices'!BD243/'Asset Prices'!BD244-1</f>
        <v>-3.8613742654994621E-2</v>
      </c>
    </row>
    <row r="244" spans="3:56" x14ac:dyDescent="0.25">
      <c r="C244" s="38">
        <f>'Asset Prices'!C244</f>
        <v>42663</v>
      </c>
      <c r="D244" s="1">
        <f>'Asset Prices'!D244/'Asset Prices'!D245-1</f>
        <v>7.6951264199340841E-3</v>
      </c>
      <c r="E244" s="1">
        <f>'Asset Prices'!E244/'Asset Prices'!E245-1</f>
        <v>9.9868305531167767E-3</v>
      </c>
      <c r="F244" s="1">
        <f>'Asset Prices'!F244/'Asset Prices'!F245-1</f>
        <v>-2.6907553334615253E-3</v>
      </c>
      <c r="G244" s="1">
        <f>'Asset Prices'!G244/'Asset Prices'!G245-1</f>
        <v>1.5777018143572352E-3</v>
      </c>
      <c r="H244" s="1">
        <f>'Asset Prices'!H244/'Asset Prices'!H245-1</f>
        <v>-3.9093940439232089E-3</v>
      </c>
      <c r="I244" s="1">
        <f>'Asset Prices'!I244/'Asset Prices'!I245-1</f>
        <v>1.7055233922703916E-2</v>
      </c>
      <c r="J244" s="1">
        <f>'Asset Prices'!J244/'Asset Prices'!J245-1</f>
        <v>6.8387758591215153E-4</v>
      </c>
      <c r="K244" s="1">
        <f>'Asset Prices'!K244/'Asset Prices'!K245-1</f>
        <v>-2.2863206637082634E-2</v>
      </c>
      <c r="L244" s="1">
        <f>'Asset Prices'!L244/'Asset Prices'!L245-1</f>
        <v>0.23066946024144452</v>
      </c>
      <c r="M244" s="1">
        <f>'Asset Prices'!M244/'Asset Prices'!M245-1</f>
        <v>5.797610681658405E-3</v>
      </c>
      <c r="N244" s="1">
        <f>'Asset Prices'!N244/'Asset Prices'!N245-1</f>
        <v>2.1826186449109386E-2</v>
      </c>
      <c r="O244" s="1">
        <f>'Asset Prices'!O244/'Asset Prices'!O245-1</f>
        <v>-5.5410350235233219E-3</v>
      </c>
      <c r="P244" s="1">
        <f>'Asset Prices'!P244/'Asset Prices'!P245-1</f>
        <v>-1.1660944714099619E-2</v>
      </c>
      <c r="Q244" s="1">
        <f>'Asset Prices'!Q244/'Asset Prices'!Q245-1</f>
        <v>6.3771302913688821E-3</v>
      </c>
      <c r="R244" s="1">
        <f>'Asset Prices'!R244/'Asset Prices'!R245-1</f>
        <v>1.2394645513138514E-3</v>
      </c>
      <c r="S244" s="1">
        <f>'Asset Prices'!S244/'Asset Prices'!S245-1</f>
        <v>1.7575757575757578E-2</v>
      </c>
      <c r="T244" s="1">
        <f>'Asset Prices'!T244/'Asset Prices'!T245-1</f>
        <v>1.932510777464147E-3</v>
      </c>
      <c r="U244" s="1">
        <f>'Asset Prices'!U244/'Asset Prices'!U245-1</f>
        <v>-3.2707867102772514E-3</v>
      </c>
      <c r="V244" s="1">
        <f>'Asset Prices'!V244/'Asset Prices'!V245-1</f>
        <v>1.07421875E-2</v>
      </c>
      <c r="W244" s="1">
        <f>'Asset Prices'!W244/'Asset Prices'!W245-1</f>
        <v>-8.7873462214411724E-3</v>
      </c>
      <c r="X244" s="1">
        <f>'Asset Prices'!X244/'Asset Prices'!X245-1</f>
        <v>2.1991300144997394E-2</v>
      </c>
      <c r="Y244" s="1">
        <f>'Asset Prices'!Y244/'Asset Prices'!Y245-1</f>
        <v>1.5297047279619669E-2</v>
      </c>
      <c r="Z244" s="1">
        <f>'Asset Prices'!Z244/'Asset Prices'!Z245-1</f>
        <v>4.503464203233265E-2</v>
      </c>
      <c r="AA244" s="1">
        <f>'Asset Prices'!AA244/'Asset Prices'!AA245-1</f>
        <v>7.6147426981919342E-2</v>
      </c>
      <c r="AB244" s="1">
        <f>'Asset Prices'!AB244/'Asset Prices'!AB245-1</f>
        <v>3.4482758620690834E-3</v>
      </c>
      <c r="AC244" s="1">
        <f>'Asset Prices'!AC244/'Asset Prices'!AC245-1</f>
        <v>1.3464630225080487E-2</v>
      </c>
      <c r="AD244" s="1">
        <f>'Asset Prices'!AD244/'Asset Prices'!AD245-1</f>
        <v>-1.0051694428489411E-2</v>
      </c>
      <c r="AE244" s="1">
        <f>'Asset Prices'!AE244/'Asset Prices'!AE245-1</f>
        <v>-2.4956970740103279E-2</v>
      </c>
      <c r="AF244" s="1">
        <f>'Asset Prices'!AF244/'Asset Prices'!AF245-1</f>
        <v>6.2392426850258254E-2</v>
      </c>
      <c r="AG244" s="1">
        <f>'Asset Prices'!AG244/'Asset Prices'!AG245-1</f>
        <v>3.7065052950075561E-2</v>
      </c>
      <c r="AH244" s="1">
        <f>'Asset Prices'!AH244/'Asset Prices'!AH245-1</f>
        <v>1.4127324749642289E-2</v>
      </c>
      <c r="AI244" s="1">
        <f>'Asset Prices'!AI244/'Asset Prices'!AI245-1</f>
        <v>2.8661170003926095E-2</v>
      </c>
      <c r="AJ244" s="1">
        <f>'Asset Prices'!AJ244/'Asset Prices'!AJ245-1</f>
        <v>-2.7879677182685358E-2</v>
      </c>
      <c r="AK244" s="1">
        <f>'Asset Prices'!AK244/'Asset Prices'!AK245-1</f>
        <v>2.0856201975850919E-2</v>
      </c>
      <c r="AL244" s="1">
        <f>'Asset Prices'!AL244/'Asset Prices'!AL245-1</f>
        <v>1.0421067455287814E-2</v>
      </c>
      <c r="AM244" s="1">
        <f>'Asset Prices'!AM244/'Asset Prices'!AM245-1</f>
        <v>-1.4311735623210975E-2</v>
      </c>
      <c r="AN244" s="1">
        <f>'Asset Prices'!AN244/'Asset Prices'!AN245-1</f>
        <v>8.5402359570345698E-3</v>
      </c>
      <c r="AO244" s="1">
        <f>'Asset Prices'!AO244/'Asset Prices'!AO245-1</f>
        <v>-2.2867369258301795E-2</v>
      </c>
      <c r="AP244" s="1">
        <f>'Asset Prices'!AP244/'Asset Prices'!AP245-1</f>
        <v>-1.5845306834966988E-2</v>
      </c>
      <c r="AQ244" s="1">
        <f>'Asset Prices'!AQ244/'Asset Prices'!AQ245-1</f>
        <v>4.5438409655661927E-2</v>
      </c>
      <c r="AR244" s="1">
        <f>'Asset Prices'!AR244/'Asset Prices'!AR245-1</f>
        <v>6.3200229819017739E-2</v>
      </c>
      <c r="AS244" s="1">
        <f>'Asset Prices'!AS244/'Asset Prices'!AS245-1</f>
        <v>-7.1277719112988747E-3</v>
      </c>
      <c r="AT244" s="1">
        <f>'Asset Prices'!AT244/'Asset Prices'!AT245-1</f>
        <v>-2.5992632009823935E-2</v>
      </c>
      <c r="AU244" s="1">
        <f>'Asset Prices'!AU244/'Asset Prices'!AU245-1</f>
        <v>9.8345481892847531E-4</v>
      </c>
      <c r="AV244" s="1">
        <f>'Asset Prices'!AV244/'Asset Prices'!AV245-1</f>
        <v>-3.0167454940559835E-2</v>
      </c>
      <c r="AW244" s="1">
        <f>'Asset Prices'!AW244/'Asset Prices'!AW245-1</f>
        <v>-2.363308632084915E-2</v>
      </c>
      <c r="AX244" s="1">
        <f>'Asset Prices'!AX244/'Asset Prices'!AX245-1</f>
        <v>-4.5843045843045882E-2</v>
      </c>
      <c r="AY244" s="1">
        <f>'Asset Prices'!AY244/'Asset Prices'!AY245-1</f>
        <v>-7.5555555555555598E-2</v>
      </c>
      <c r="AZ244" s="1">
        <f>'Asset Prices'!AZ244/'Asset Prices'!AZ245-1</f>
        <v>-9.9453978159126377E-3</v>
      </c>
      <c r="BA244" s="1">
        <f>'Asset Prices'!BA244/'Asset Prices'!BA245-1</f>
        <v>2.8399006034789398E-3</v>
      </c>
      <c r="BB244" s="1">
        <f>'Asset Prices'!BB244/'Asset Prices'!BB245-1</f>
        <v>3.0912162162162193E-2</v>
      </c>
      <c r="BC244" s="1">
        <f>'Asset Prices'!BC244/'Asset Prices'!BC245-1</f>
        <v>1.4988595633756985E-2</v>
      </c>
      <c r="BD244" s="1">
        <f>'Asset Prices'!BD244/'Asset Prices'!BD245-1</f>
        <v>-7.4370074370074368E-2</v>
      </c>
    </row>
    <row r="245" spans="3:56" x14ac:dyDescent="0.25">
      <c r="C245" s="38">
        <f>'Asset Prices'!C245</f>
        <v>42656</v>
      </c>
      <c r="D245" s="1">
        <f>'Asset Prices'!D245/'Asset Prices'!D246-1</f>
        <v>-1.7874280230326223E-2</v>
      </c>
      <c r="E245" s="1">
        <f>'Asset Prices'!E245/'Asset Prices'!E246-1</f>
        <v>-1.8420769147904692E-2</v>
      </c>
      <c r="F245" s="1">
        <f>'Asset Prices'!F245/'Asset Prices'!F246-1</f>
        <v>0</v>
      </c>
      <c r="G245" s="1">
        <f>'Asset Prices'!G245/'Asset Prices'!G246-1</f>
        <v>-2.1610496526884404E-2</v>
      </c>
      <c r="H245" s="1">
        <f>'Asset Prices'!H245/'Asset Prices'!H246-1</f>
        <v>-2.598275282786433E-2</v>
      </c>
      <c r="I245" s="1">
        <f>'Asset Prices'!I245/'Asset Prices'!I246-1</f>
        <v>-7.1461861115427183E-3</v>
      </c>
      <c r="J245" s="1">
        <f>'Asset Prices'!J245/'Asset Prices'!J246-1</f>
        <v>2.7131442620071944E-2</v>
      </c>
      <c r="K245" s="1">
        <f>'Asset Prices'!K245/'Asset Prices'!K246-1</f>
        <v>-1.4709027398236763E-2</v>
      </c>
      <c r="L245" s="1">
        <f>'Asset Prices'!L245/'Asset Prices'!L246-1</f>
        <v>-4.60645284096316E-2</v>
      </c>
      <c r="M245" s="1">
        <f>'Asset Prices'!M245/'Asset Prices'!M246-1</f>
        <v>-1.4201593349497776E-2</v>
      </c>
      <c r="N245" s="1">
        <f>'Asset Prices'!N245/'Asset Prices'!N246-1</f>
        <v>1.2452059570653429E-3</v>
      </c>
      <c r="O245" s="1">
        <f>'Asset Prices'!O245/'Asset Prices'!O246-1</f>
        <v>5.6776364209862873E-3</v>
      </c>
      <c r="P245" s="1">
        <f>'Asset Prices'!P245/'Asset Prices'!P246-1</f>
        <v>-1.2220078348827657E-2</v>
      </c>
      <c r="Q245" s="1">
        <f>'Asset Prices'!Q245/'Asset Prices'!Q246-1</f>
        <v>1.6882826475849821E-2</v>
      </c>
      <c r="R245" s="1">
        <f>'Asset Prices'!R245/'Asset Prices'!R246-1</f>
        <v>1.8172640080767355E-2</v>
      </c>
      <c r="S245" s="1">
        <f>'Asset Prices'!S245/'Asset Prices'!S246-1</f>
        <v>1.538461538461533E-2</v>
      </c>
      <c r="T245" s="1">
        <f>'Asset Prices'!T245/'Asset Prices'!T246-1</f>
        <v>-3.5550288846097899E-3</v>
      </c>
      <c r="U245" s="1">
        <f>'Asset Prices'!U245/'Asset Prices'!U246-1</f>
        <v>-1.207482993197273E-2</v>
      </c>
      <c r="V245" s="1">
        <f>'Asset Prices'!V245/'Asset Prices'!V246-1</f>
        <v>-2.7771184429147833E-2</v>
      </c>
      <c r="W245" s="1">
        <f>'Asset Prices'!W245/'Asset Prices'!W246-1</f>
        <v>4.3216343635411159E-2</v>
      </c>
      <c r="X245" s="1">
        <f>'Asset Prices'!X245/'Asset Prices'!X246-1</f>
        <v>5.6420730150625431E-2</v>
      </c>
      <c r="Y245" s="1">
        <f>'Asset Prices'!Y245/'Asset Prices'!Y246-1</f>
        <v>4.2872454760098933E-3</v>
      </c>
      <c r="Z245" s="1">
        <f>'Asset Prices'!Z245/'Asset Prices'!Z246-1</f>
        <v>1.1682242990654235E-2</v>
      </c>
      <c r="AA245" s="1">
        <f>'Asset Prices'!AA245/'Asset Prices'!AA246-1</f>
        <v>-2.1102791014295352E-2</v>
      </c>
      <c r="AB245" s="1">
        <f>'Asset Prices'!AB245/'Asset Prices'!AB246-1</f>
        <v>-6.8493150684931781E-3</v>
      </c>
      <c r="AC245" s="1">
        <f>'Asset Prices'!AC245/'Asset Prices'!AC246-1</f>
        <v>-5.3452539471181337E-2</v>
      </c>
      <c r="AD245" s="1">
        <f>'Asset Prices'!AD245/'Asset Prices'!AD246-1</f>
        <v>-4.9153468050245674E-2</v>
      </c>
      <c r="AE245" s="1">
        <f>'Asset Prices'!AE245/'Asset Prices'!AE246-1</f>
        <v>-3.9828127582217765E-2</v>
      </c>
      <c r="AF245" s="1">
        <f>'Asset Prices'!AF245/'Asset Prices'!AF246-1</f>
        <v>-6.4788732394366333E-2</v>
      </c>
      <c r="AG245" s="1">
        <f>'Asset Prices'!AG245/'Asset Prices'!AG246-1</f>
        <v>-1.7100371747211796E-2</v>
      </c>
      <c r="AH245" s="1">
        <f>'Asset Prices'!AH245/'Asset Prices'!AH246-1</f>
        <v>-3.7852718513420425E-2</v>
      </c>
      <c r="AI245" s="1">
        <f>'Asset Prices'!AI245/'Asset Prices'!AI246-1</f>
        <v>-4.9094642523800691E-2</v>
      </c>
      <c r="AJ245" s="1">
        <f>'Asset Prices'!AJ245/'Asset Prices'!AJ246-1</f>
        <v>-8.3389374579690534E-2</v>
      </c>
      <c r="AK245" s="1">
        <f>'Asset Prices'!AK245/'Asset Prices'!AK246-1</f>
        <v>3.4052213393870545E-2</v>
      </c>
      <c r="AL245" s="1">
        <f>'Asset Prices'!AL245/'Asset Prices'!AL246-1</f>
        <v>1.7043826983672572E-2</v>
      </c>
      <c r="AM245" s="1">
        <f>'Asset Prices'!AM245/'Asset Prices'!AM246-1</f>
        <v>-2.0142784293727622E-2</v>
      </c>
      <c r="AN245" s="1">
        <f>'Asset Prices'!AN245/'Asset Prices'!AN246-1</f>
        <v>-2.6318045435062221E-2</v>
      </c>
      <c r="AO245" s="1">
        <f>'Asset Prices'!AO245/'Asset Prices'!AO246-1</f>
        <v>5.9689614007174541E-4</v>
      </c>
      <c r="AP245" s="1">
        <f>'Asset Prices'!AP245/'Asset Prices'!AP246-1</f>
        <v>3.3683643222850446E-3</v>
      </c>
      <c r="AQ245" s="1">
        <f>'Asset Prices'!AQ245/'Asset Prices'!AQ246-1</f>
        <v>-6.4119601328903597E-2</v>
      </c>
      <c r="AR245" s="1">
        <f>'Asset Prices'!AR245/'Asset Prices'!AR246-1</f>
        <v>2.2320117474302403E-2</v>
      </c>
      <c r="AS245" s="1">
        <f>'Asset Prices'!AS245/'Asset Prices'!AS246-1</f>
        <v>2.8230184581976125E-2</v>
      </c>
      <c r="AT245" s="1">
        <f>'Asset Prices'!AT245/'Asset Prices'!AT246-1</f>
        <v>1.2013256006627948E-2</v>
      </c>
      <c r="AU245" s="1">
        <f>'Asset Prices'!AU245/'Asset Prices'!AU246-1</f>
        <v>-2.3996386426514582E-2</v>
      </c>
      <c r="AV245" s="1">
        <f>'Asset Prices'!AV245/'Asset Prices'!AV246-1</f>
        <v>1.7928031758227547E-3</v>
      </c>
      <c r="AW245" s="1">
        <f>'Asset Prices'!AW245/'Asset Prices'!AW246-1</f>
        <v>4.0072129833701453E-4</v>
      </c>
      <c r="AX245" s="1">
        <f>'Asset Prices'!AX245/'Asset Prices'!AX246-1</f>
        <v>-6.9414316702820056E-2</v>
      </c>
      <c r="AY245" s="1">
        <f>'Asset Prices'!AY245/'Asset Prices'!AY246-1</f>
        <v>4.2632066728452322E-2</v>
      </c>
      <c r="AZ245" s="1">
        <f>'Asset Prices'!AZ245/'Asset Prices'!AZ246-1</f>
        <v>2.437075509388742E-2</v>
      </c>
      <c r="BA245" s="1">
        <f>'Asset Prices'!BA245/'Asset Prices'!BA246-1</f>
        <v>-1.7096999302163352E-2</v>
      </c>
      <c r="BB245" s="1">
        <f>'Asset Prices'!BB245/'Asset Prices'!BB246-1</f>
        <v>3.0461270670147922E-2</v>
      </c>
      <c r="BC245" s="1">
        <f>'Asset Prices'!BC245/'Asset Prices'!BC246-1</f>
        <v>7.7901095813430521E-2</v>
      </c>
      <c r="BD245" s="1">
        <f>'Asset Prices'!BD245/'Asset Prices'!BD246-1</f>
        <v>1.6677785190126748E-3</v>
      </c>
    </row>
    <row r="246" spans="3:56" x14ac:dyDescent="0.25">
      <c r="C246" s="38">
        <f>'Asset Prices'!C246</f>
        <v>42649</v>
      </c>
      <c r="D246" s="1">
        <f>'Asset Prices'!D246/'Asset Prices'!D247-1</f>
        <v>1.7578125E-2</v>
      </c>
      <c r="E246" s="1">
        <f>'Asset Prices'!E246/'Asset Prices'!E247-1</f>
        <v>1.1220043572984784E-2</v>
      </c>
      <c r="F246" s="1">
        <f>'Asset Prices'!F246/'Asset Prices'!F247-1</f>
        <v>-2.4923312883434745E-3</v>
      </c>
      <c r="G246" s="1">
        <f>'Asset Prices'!G246/'Asset Prices'!G247-1</f>
        <v>-6.3905930470348205E-3</v>
      </c>
      <c r="H246" s="1">
        <f>'Asset Prices'!H246/'Asset Prices'!H247-1</f>
        <v>2.0807133874471306E-2</v>
      </c>
      <c r="I246" s="1">
        <f>'Asset Prices'!I246/'Asset Prices'!I247-1</f>
        <v>5.0745569521430944E-3</v>
      </c>
      <c r="J246" s="1">
        <f>'Asset Prices'!J246/'Asset Prices'!J247-1</f>
        <v>1.5243358887502279E-2</v>
      </c>
      <c r="K246" s="1">
        <f>'Asset Prices'!K246/'Asset Prices'!K247-1</f>
        <v>1.5210180326880263E-2</v>
      </c>
      <c r="L246" s="1">
        <f>'Asset Prices'!L246/'Asset Prices'!L247-1</f>
        <v>8.6893555394641497E-2</v>
      </c>
      <c r="M246" s="1">
        <f>'Asset Prices'!M246/'Asset Prices'!M247-1</f>
        <v>5.9233449477351652E-3</v>
      </c>
      <c r="N246" s="1">
        <f>'Asset Prices'!N246/'Asset Prices'!N247-1</f>
        <v>5.4819096979974447E-4</v>
      </c>
      <c r="O246" s="1">
        <f>'Asset Prices'!O246/'Asset Prices'!O247-1</f>
        <v>4.9661876584954356E-3</v>
      </c>
      <c r="P246" s="1">
        <f>'Asset Prices'!P246/'Asset Prices'!P247-1</f>
        <v>4.4968534245738434E-2</v>
      </c>
      <c r="Q246" s="1">
        <f>'Asset Prices'!Q246/'Asset Prices'!Q247-1</f>
        <v>-3.2139378855102207E-2</v>
      </c>
      <c r="R246" s="1">
        <f>'Asset Prices'!R246/'Asset Prices'!R247-1</f>
        <v>-5.2379813441760459E-2</v>
      </c>
      <c r="S246" s="1">
        <f>'Asset Prices'!S246/'Asset Prices'!S247-1</f>
        <v>-6.6628374497415321E-2</v>
      </c>
      <c r="T246" s="1">
        <f>'Asset Prices'!T246/'Asset Prices'!T247-1</f>
        <v>6.1102831594637141E-3</v>
      </c>
      <c r="U246" s="1">
        <f>'Asset Prices'!U246/'Asset Prices'!U247-1</f>
        <v>3.2847356402599726E-2</v>
      </c>
      <c r="V246" s="1">
        <f>'Asset Prices'!V246/'Asset Prices'!V247-1</f>
        <v>-1.422137947380997E-3</v>
      </c>
      <c r="W246" s="1">
        <f>'Asset Prices'!W246/'Asset Prices'!W247-1</f>
        <v>2.0582731889869033E-2</v>
      </c>
      <c r="X246" s="1">
        <f>'Asset Prices'!X246/'Asset Prices'!X247-1</f>
        <v>2.6736566186107646E-2</v>
      </c>
      <c r="Y246" s="1">
        <f>'Asset Prices'!Y246/'Asset Prices'!Y247-1</f>
        <v>-2.3718172315063235E-2</v>
      </c>
      <c r="Z246" s="1">
        <f>'Asset Prices'!Z246/'Asset Prices'!Z247-1</f>
        <v>-2.2831050228310446E-2</v>
      </c>
      <c r="AA246" s="1">
        <f>'Asset Prices'!AA246/'Asset Prices'!AA247-1</f>
        <v>-3.7300779925397709E-3</v>
      </c>
      <c r="AB246" s="1">
        <f>'Asset Prices'!AB246/'Asset Prices'!AB247-1</f>
        <v>3.9145907473309594E-2</v>
      </c>
      <c r="AC246" s="1">
        <f>'Asset Prices'!AC246/'Asset Prices'!AC247-1</f>
        <v>-4.8678972131740772E-2</v>
      </c>
      <c r="AD246" s="1">
        <f>'Asset Prices'!AD246/'Asset Prices'!AD247-1</f>
        <v>9.6498483595255369E-3</v>
      </c>
      <c r="AE246" s="1">
        <f>'Asset Prices'!AE246/'Asset Prices'!AE247-1</f>
        <v>3.6307586915567791E-2</v>
      </c>
      <c r="AF246" s="1">
        <f>'Asset Prices'!AF246/'Asset Prices'!AF247-1</f>
        <v>2.4742268041237248E-2</v>
      </c>
      <c r="AG246" s="1">
        <f>'Asset Prices'!AG246/'Asset Prices'!AG247-1</f>
        <v>3.6608863198458463E-2</v>
      </c>
      <c r="AH246" s="1">
        <f>'Asset Prices'!AH246/'Asset Prices'!AH247-1</f>
        <v>2.7399681810146737E-2</v>
      </c>
      <c r="AI246" s="1">
        <f>'Asset Prices'!AI246/'Asset Prices'!AI247-1</f>
        <v>-3.0231716147719023E-2</v>
      </c>
      <c r="AJ246" s="1">
        <f>'Asset Prices'!AJ246/'Asset Prices'!AJ247-1</f>
        <v>-9.327115256495655E-3</v>
      </c>
      <c r="AK246" s="1">
        <f>'Asset Prices'!AK246/'Asset Prices'!AK247-1</f>
        <v>2.7405247813411249E-2</v>
      </c>
      <c r="AL246" s="1">
        <f>'Asset Prices'!AL246/'Asset Prices'!AL247-1</f>
        <v>-3.9350577875619352E-2</v>
      </c>
      <c r="AM246" s="1">
        <f>'Asset Prices'!AM246/'Asset Prices'!AM247-1</f>
        <v>-7.7793940927203264E-3</v>
      </c>
      <c r="AN246" s="1">
        <f>'Asset Prices'!AN246/'Asset Prices'!AN247-1</f>
        <v>8.2108902333621892E-3</v>
      </c>
      <c r="AO246" s="1">
        <f>'Asset Prices'!AO246/'Asset Prices'!AO247-1</f>
        <v>-3.5686876438986936E-2</v>
      </c>
      <c r="AP246" s="1">
        <f>'Asset Prices'!AP246/'Asset Prices'!AP247-1</f>
        <v>4.7380533369432154E-3</v>
      </c>
      <c r="AQ246" s="1">
        <f>'Asset Prices'!AQ246/'Asset Prices'!AQ247-1</f>
        <v>4.2785380218257618E-2</v>
      </c>
      <c r="AR246" s="1">
        <f>'Asset Prices'!AR246/'Asset Prices'!AR247-1</f>
        <v>-0.12804097311139562</v>
      </c>
      <c r="AS246" s="1">
        <f>'Asset Prices'!AS246/'Asset Prices'!AS247-1</f>
        <v>-4.2370678450740717E-2</v>
      </c>
      <c r="AT246" s="1">
        <f>'Asset Prices'!AT246/'Asset Prices'!AT247-1</f>
        <v>-1.5296757087497448E-2</v>
      </c>
      <c r="AU246" s="1">
        <f>'Asset Prices'!AU246/'Asset Prices'!AU247-1</f>
        <v>3.7973248696441253E-3</v>
      </c>
      <c r="AV246" s="1">
        <f>'Asset Prices'!AV246/'Asset Prices'!AV247-1</f>
        <v>9.4364012409513531E-3</v>
      </c>
      <c r="AW246" s="1">
        <f>'Asset Prices'!AW246/'Asset Prices'!AW247-1</f>
        <v>-1.6003200640128945E-3</v>
      </c>
      <c r="AX246" s="1">
        <f>'Asset Prices'!AX246/'Asset Prices'!AX247-1</f>
        <v>-4.554865424430643E-2</v>
      </c>
      <c r="AY246" s="1">
        <f>'Asset Prices'!AY246/'Asset Prices'!AY247-1</f>
        <v>-9.9707968293700544E-2</v>
      </c>
      <c r="AZ246" s="1">
        <f>'Asset Prices'!AZ246/'Asset Prices'!AZ247-1</f>
        <v>4.6623458080702562E-2</v>
      </c>
      <c r="BA246" s="1">
        <f>'Asset Prices'!BA246/'Asset Prices'!BA247-1</f>
        <v>-5.2065255119749798E-3</v>
      </c>
      <c r="BB246" s="1">
        <f>'Asset Prices'!BB246/'Asset Prices'!BB247-1</f>
        <v>-7.5772200772200704E-2</v>
      </c>
      <c r="BC246" s="1">
        <f>'Asset Prices'!BC246/'Asset Prices'!BC247-1</f>
        <v>9.2136555427694722E-2</v>
      </c>
      <c r="BD246" s="1">
        <f>'Asset Prices'!BD246/'Asset Prices'!BD247-1</f>
        <v>-1.6726795670711669E-2</v>
      </c>
    </row>
    <row r="247" spans="3:56" x14ac:dyDescent="0.25">
      <c r="C247" s="38">
        <f>'Asset Prices'!C247</f>
        <v>42642</v>
      </c>
      <c r="D247" s="1">
        <f>'Asset Prices'!D247/'Asset Prices'!D248-1</f>
        <v>-1.7274472168905874E-2</v>
      </c>
      <c r="E247" s="1">
        <f>'Asset Prices'!E247/'Asset Prices'!E248-1</f>
        <v>-1.7235841986939282E-2</v>
      </c>
      <c r="F247" s="1">
        <f>'Asset Prices'!F247/'Asset Prices'!F248-1</f>
        <v>-5.8653672622270392E-2</v>
      </c>
      <c r="G247" s="1">
        <f>'Asset Prices'!G247/'Asset Prices'!G248-1</f>
        <v>-9.8709187547456612E-3</v>
      </c>
      <c r="H247" s="1">
        <f>'Asset Prices'!H247/'Asset Prices'!H248-1</f>
        <v>4.7544910179640798E-2</v>
      </c>
      <c r="I247" s="1">
        <f>'Asset Prices'!I247/'Asset Prices'!I248-1</f>
        <v>-1.529827798277994E-2</v>
      </c>
      <c r="J247" s="1">
        <f>'Asset Prices'!J247/'Asset Prices'!J248-1</f>
        <v>-2.1287733379863893E-2</v>
      </c>
      <c r="K247" s="1">
        <f>'Asset Prices'!K247/'Asset Prices'!K248-1</f>
        <v>3.0259724120790255E-2</v>
      </c>
      <c r="L247" s="1">
        <f>'Asset Prices'!L247/'Asset Prices'!L248-1</f>
        <v>8.7655222790359311E-3</v>
      </c>
      <c r="M247" s="1">
        <f>'Asset Prices'!M247/'Asset Prices'!M248-1</f>
        <v>-7.2639225181598821E-3</v>
      </c>
      <c r="N247" s="1">
        <f>'Asset Prices'!N247/'Asset Prices'!N248-1</f>
        <v>-1.6312274036399343E-2</v>
      </c>
      <c r="O247" s="1">
        <f>'Asset Prices'!O247/'Asset Prices'!O248-1</f>
        <v>-1.580698835274541E-2</v>
      </c>
      <c r="P247" s="1">
        <f>'Asset Prices'!P247/'Asset Prices'!P248-1</f>
        <v>-1.4154921093844197E-2</v>
      </c>
      <c r="Q247" s="1">
        <f>'Asset Prices'!Q247/'Asset Prices'!Q248-1</f>
        <v>-3.4075467753736821E-2</v>
      </c>
      <c r="R247" s="1">
        <f>'Asset Prices'!R247/'Asset Prices'!R248-1</f>
        <v>-2.5407925407925358E-2</v>
      </c>
      <c r="S247" s="1">
        <f>'Asset Prices'!S247/'Asset Prices'!S248-1</f>
        <v>-2.7917364600781647E-2</v>
      </c>
      <c r="T247" s="1">
        <f>'Asset Prices'!T247/'Asset Prices'!T248-1</f>
        <v>-3.7992831541218686E-2</v>
      </c>
      <c r="U247" s="1">
        <f>'Asset Prices'!U247/'Asset Prices'!U248-1</f>
        <v>-4.1980059471751208E-3</v>
      </c>
      <c r="V247" s="1">
        <f>'Asset Prices'!V247/'Asset Prices'!V248-1</f>
        <v>-3.2339449541284315E-2</v>
      </c>
      <c r="W247" s="1">
        <f>'Asset Prices'!W247/'Asset Prices'!W248-1</f>
        <v>-2.7553938133610623E-2</v>
      </c>
      <c r="X247" s="1">
        <f>'Asset Prices'!X247/'Asset Prices'!X248-1</f>
        <v>2.1966246986337978E-2</v>
      </c>
      <c r="Y247" s="1">
        <f>'Asset Prices'!Y247/'Asset Prices'!Y248-1</f>
        <v>-2.3168654182846415E-2</v>
      </c>
      <c r="Z247" s="1">
        <f>'Asset Prices'!Z247/'Asset Prices'!Z248-1</f>
        <v>-3.8419319429198628E-2</v>
      </c>
      <c r="AA247" s="1">
        <f>'Asset Prices'!AA247/'Asset Prices'!AA248-1</f>
        <v>0</v>
      </c>
      <c r="AB247" s="1">
        <f>'Asset Prices'!AB247/'Asset Prices'!AB248-1</f>
        <v>-1.0563380281690127E-2</v>
      </c>
      <c r="AC247" s="1">
        <f>'Asset Prices'!AC247/'Asset Prices'!AC248-1</f>
        <v>-0.11000161056530855</v>
      </c>
      <c r="AD247" s="1">
        <f>'Asset Prices'!AD247/'Asset Prices'!AD248-1</f>
        <v>7.5000000000000622E-3</v>
      </c>
      <c r="AE247" s="1">
        <f>'Asset Prices'!AE247/'Asset Prices'!AE248-1</f>
        <v>-2.9030054644808567E-3</v>
      </c>
      <c r="AF247" s="1">
        <f>'Asset Prices'!AF247/'Asset Prices'!AF248-1</f>
        <v>-5.0880626223091974E-2</v>
      </c>
      <c r="AG247" s="1">
        <f>'Asset Prices'!AG247/'Asset Prices'!AG248-1</f>
        <v>-8.7853323147440987E-3</v>
      </c>
      <c r="AH247" s="1">
        <f>'Asset Prices'!AH247/'Asset Prices'!AH248-1</f>
        <v>-8.1506738106835619E-2</v>
      </c>
      <c r="AI247" s="1">
        <f>'Asset Prices'!AI247/'Asset Prices'!AI248-1</f>
        <v>-0.28851107676455434</v>
      </c>
      <c r="AJ247" s="1">
        <f>'Asset Prices'!AJ247/'Asset Prices'!AJ248-1</f>
        <v>-7.3456790123456739E-2</v>
      </c>
      <c r="AK247" s="1">
        <f>'Asset Prices'!AK247/'Asset Prices'!AK248-1</f>
        <v>-8.6705202312139518E-3</v>
      </c>
      <c r="AL247" s="1">
        <f>'Asset Prices'!AL247/'Asset Prices'!AL248-1</f>
        <v>-3.74784796715667E-2</v>
      </c>
      <c r="AM247" s="1">
        <f>'Asset Prices'!AM247/'Asset Prices'!AM248-1</f>
        <v>1.281147908526048E-2</v>
      </c>
      <c r="AN247" s="1">
        <f>'Asset Prices'!AN247/'Asset Prices'!AN248-1</f>
        <v>-2.3134076325565633E-2</v>
      </c>
      <c r="AO247" s="1">
        <f>'Asset Prices'!AO247/'Asset Prices'!AO248-1</f>
        <v>-4.393505253104224E-3</v>
      </c>
      <c r="AP247" s="1">
        <f>'Asset Prices'!AP247/'Asset Prices'!AP248-1</f>
        <v>-3.4379084967320228E-2</v>
      </c>
      <c r="AQ247" s="1">
        <f>'Asset Prices'!AQ247/'Asset Prices'!AQ248-1</f>
        <v>-2.3676644681211001E-2</v>
      </c>
      <c r="AR247" s="1">
        <f>'Asset Prices'!AR247/'Asset Prices'!AR248-1</f>
        <v>-4.2187883247485902E-2</v>
      </c>
      <c r="AS247" s="1">
        <f>'Asset Prices'!AS247/'Asset Prices'!AS248-1</f>
        <v>-9.673632308053548E-2</v>
      </c>
      <c r="AT247" s="1">
        <f>'Asset Prices'!AT247/'Asset Prices'!AT248-1</f>
        <v>-1.979208316673331E-2</v>
      </c>
      <c r="AU247" s="1">
        <f>'Asset Prices'!AU247/'Asset Prices'!AU248-1</f>
        <v>-2.8146516111264175E-2</v>
      </c>
      <c r="AV247" s="1">
        <f>'Asset Prices'!AV247/'Asset Prices'!AV248-1</f>
        <v>-3.3845385287873064E-2</v>
      </c>
      <c r="AW247" s="1">
        <f>'Asset Prices'!AW247/'Asset Prices'!AW248-1</f>
        <v>-4.9761146496815067E-3</v>
      </c>
      <c r="AX247" s="1">
        <f>'Asset Prices'!AX247/'Asset Prices'!AX248-1</f>
        <v>0</v>
      </c>
      <c r="AY247" s="1">
        <f>'Asset Prices'!AY247/'Asset Prices'!AY248-1</f>
        <v>-2.1233156390363273E-2</v>
      </c>
      <c r="AZ247" s="1">
        <f>'Asset Prices'!AZ247/'Asset Prices'!AZ248-1</f>
        <v>-1.3000412711514642E-2</v>
      </c>
      <c r="BA247" s="1">
        <f>'Asset Prices'!BA247/'Asset Prices'!BA248-1</f>
        <v>-2.4712254570074421E-2</v>
      </c>
      <c r="BB247" s="1">
        <f>'Asset Prices'!BB247/'Asset Prices'!BB248-1</f>
        <v>-4.3545160793968307E-2</v>
      </c>
      <c r="BC247" s="1">
        <f>'Asset Prices'!BC247/'Asset Prices'!BC248-1</f>
        <v>1.9394697739891997E-2</v>
      </c>
      <c r="BD247" s="1">
        <f>'Asset Prices'!BD247/'Asset Prices'!BD248-1</f>
        <v>2.0815074496056685E-3</v>
      </c>
    </row>
    <row r="248" spans="3:56" x14ac:dyDescent="0.25">
      <c r="C248" s="38">
        <f>'Asset Prices'!C248</f>
        <v>42635</v>
      </c>
      <c r="D248" s="1">
        <f>'Asset Prices'!D248/'Asset Prices'!D249-1</f>
        <v>1.6461407145470064E-2</v>
      </c>
      <c r="E248" s="1">
        <f>'Asset Prices'!E248/'Asset Prices'!E249-1</f>
        <v>9.8378378378378706E-3</v>
      </c>
      <c r="F248" s="1">
        <f>'Asset Prices'!F248/'Asset Prices'!F249-1</f>
        <v>-1.0816657652785722E-3</v>
      </c>
      <c r="G248" s="1">
        <f>'Asset Prices'!G248/'Asset Prices'!G249-1</f>
        <v>-3.3039647577092546E-2</v>
      </c>
      <c r="H248" s="1">
        <f>'Asset Prices'!H248/'Asset Prices'!H249-1</f>
        <v>1.7920273070827664E-2</v>
      </c>
      <c r="I248" s="1">
        <f>'Asset Prices'!I248/'Asset Prices'!I249-1</f>
        <v>1.347876899104028E-2</v>
      </c>
      <c r="J248" s="1">
        <f>'Asset Prices'!J248/'Asset Prices'!J249-1</f>
        <v>-8.2201263303623984E-3</v>
      </c>
      <c r="K248" s="1">
        <f>'Asset Prices'!K248/'Asset Prices'!K249-1</f>
        <v>4.5485844950564402E-2</v>
      </c>
      <c r="L248" s="1">
        <f>'Asset Prices'!L248/'Asset Prices'!L249-1</f>
        <v>-1.5512636120813661E-2</v>
      </c>
      <c r="M248" s="1">
        <f>'Asset Prices'!M248/'Asset Prices'!M249-1</f>
        <v>1.101591187270512E-2</v>
      </c>
      <c r="N248" s="1">
        <f>'Asset Prices'!N248/'Asset Prices'!N249-1</f>
        <v>1.83717534291028E-2</v>
      </c>
      <c r="O248" s="1">
        <f>'Asset Prices'!O248/'Asset Prices'!O249-1</f>
        <v>1.5623372565356508E-3</v>
      </c>
      <c r="P248" s="1">
        <f>'Asset Prices'!P248/'Asset Prices'!P249-1</f>
        <v>-2.7031897639213653E-3</v>
      </c>
      <c r="Q248" s="1">
        <f>'Asset Prices'!Q248/'Asset Prices'!Q249-1</f>
        <v>2.9484558269665229E-2</v>
      </c>
      <c r="R248" s="1">
        <f>'Asset Prices'!R248/'Asset Prices'!R249-1</f>
        <v>4.9926578560939738E-2</v>
      </c>
      <c r="S248" s="1">
        <f>'Asset Prices'!S248/'Asset Prices'!S249-1</f>
        <v>3.2871972318339049E-2</v>
      </c>
      <c r="T248" s="1">
        <f>'Asset Prices'!T248/'Asset Prices'!T249-1</f>
        <v>6.638764612498127E-3</v>
      </c>
      <c r="U248" s="1">
        <f>'Asset Prices'!U248/'Asset Prices'!U249-1</f>
        <v>-2.1564264932397714E-2</v>
      </c>
      <c r="V248" s="1">
        <f>'Asset Prices'!V248/'Asset Prices'!V249-1</f>
        <v>-3.132637191735177E-2</v>
      </c>
      <c r="W248" s="1">
        <f>'Asset Prices'!W248/'Asset Prices'!W249-1</f>
        <v>2.0966029723991531E-2</v>
      </c>
      <c r="X248" s="1">
        <f>'Asset Prices'!X248/'Asset Prices'!X249-1</f>
        <v>9.1916734252499577E-3</v>
      </c>
      <c r="Y248" s="1">
        <f>'Asset Prices'!Y248/'Asset Prices'!Y249-1</f>
        <v>-2.7183146250359114E-3</v>
      </c>
      <c r="Z248" s="1">
        <f>'Asset Prices'!Z248/'Asset Prices'!Z249-1</f>
        <v>-8.6258776328987041E-2</v>
      </c>
      <c r="AA248" s="1">
        <f>'Asset Prices'!AA248/'Asset Prices'!AA249-1</f>
        <v>5.812701829924638E-2</v>
      </c>
      <c r="AB248" s="1">
        <f>'Asset Prices'!AB248/'Asset Prices'!AB249-1</f>
        <v>-2.7397260273972601E-2</v>
      </c>
      <c r="AC248" s="1">
        <f>'Asset Prices'!AC248/'Asset Prices'!AC249-1</f>
        <v>3.7253591713999334E-2</v>
      </c>
      <c r="AD248" s="1">
        <f>'Asset Prices'!AD248/'Asset Prices'!AD249-1</f>
        <v>4.4083526682134666E-2</v>
      </c>
      <c r="AE248" s="1">
        <f>'Asset Prices'!AE248/'Asset Prices'!AE249-1</f>
        <v>2.2524882137244573E-2</v>
      </c>
      <c r="AF248" s="1">
        <f>'Asset Prices'!AF248/'Asset Prices'!AF249-1</f>
        <v>-1.5414258188824581E-2</v>
      </c>
      <c r="AG248" s="1">
        <f>'Asset Prices'!AG248/'Asset Prices'!AG249-1</f>
        <v>5.4369714055577889E-2</v>
      </c>
      <c r="AH248" s="1">
        <f>'Asset Prices'!AH248/'Asset Prices'!AH249-1</f>
        <v>2.0377733598409664E-2</v>
      </c>
      <c r="AI248" s="1">
        <f>'Asset Prices'!AI248/'Asset Prices'!AI249-1</f>
        <v>2.2520742789411186E-2</v>
      </c>
      <c r="AJ248" s="1">
        <f>'Asset Prices'!AJ248/'Asset Prices'!AJ249-1</f>
        <v>-4.1986989946777076E-2</v>
      </c>
      <c r="AK248" s="1">
        <f>'Asset Prices'!AK248/'Asset Prices'!AK249-1</f>
        <v>-1.312036508841985E-2</v>
      </c>
      <c r="AL248" s="1">
        <f>'Asset Prices'!AL248/'Asset Prices'!AL249-1</f>
        <v>4.5844875346260361E-2</v>
      </c>
      <c r="AM248" s="1">
        <f>'Asset Prices'!AM248/'Asset Prices'!AM249-1</f>
        <v>2.8909160991905658E-3</v>
      </c>
      <c r="AN248" s="1">
        <f>'Asset Prices'!AN248/'Asset Prices'!AN249-1</f>
        <v>4.3524229074889842E-2</v>
      </c>
      <c r="AO248" s="1">
        <f>'Asset Prices'!AO248/'Asset Prices'!AO249-1</f>
        <v>7.1181223547518435E-3</v>
      </c>
      <c r="AP248" s="1">
        <f>'Asset Prices'!AP248/'Asset Prices'!AP249-1</f>
        <v>1.9456289978677876E-2</v>
      </c>
      <c r="AQ248" s="1">
        <f>'Asset Prices'!AQ248/'Asset Prices'!AQ249-1</f>
        <v>-3.8746630727761744E-3</v>
      </c>
      <c r="AR248" s="1">
        <f>'Asset Prices'!AR248/'Asset Prices'!AR249-1</f>
        <v>4.005102040816344E-2</v>
      </c>
      <c r="AS248" s="1">
        <f>'Asset Prices'!AS248/'Asset Prices'!AS249-1</f>
        <v>2.6512412629549287E-2</v>
      </c>
      <c r="AT248" s="1">
        <f>'Asset Prices'!AT248/'Asset Prices'!AT249-1</f>
        <v>8.8745461879791154E-3</v>
      </c>
      <c r="AU248" s="1">
        <f>'Asset Prices'!AU248/'Asset Prices'!AU249-1</f>
        <v>3.1416884444949389E-2</v>
      </c>
      <c r="AV248" s="1">
        <f>'Asset Prices'!AV248/'Asset Prices'!AV249-1</f>
        <v>-2.3417489937797353E-2</v>
      </c>
      <c r="AW248" s="1">
        <f>'Asset Prices'!AW248/'Asset Prices'!AW249-1</f>
        <v>2.8665028665028736E-2</v>
      </c>
      <c r="AX248" s="1">
        <f>'Asset Prices'!AX248/'Asset Prices'!AX249-1</f>
        <v>2.9119318181818121E-2</v>
      </c>
      <c r="AY248" s="1">
        <f>'Asset Prices'!AY248/'Asset Prices'!AY249-1</f>
        <v>6.2012142237640955E-2</v>
      </c>
      <c r="AZ248" s="1">
        <f>'Asset Prices'!AZ248/'Asset Prices'!AZ249-1</f>
        <v>2.8656336234345048E-2</v>
      </c>
      <c r="BA248" s="1">
        <f>'Asset Prices'!BA248/'Asset Prices'!BA249-1</f>
        <v>5.500000000000016E-2</v>
      </c>
      <c r="BB248" s="1">
        <f>'Asset Prices'!BB248/'Asset Prices'!BB249-1</f>
        <v>7.5993377483443592E-2</v>
      </c>
      <c r="BC248" s="1">
        <f>'Asset Prices'!BC248/'Asset Prices'!BC249-1</f>
        <v>-4.0231179163851882E-2</v>
      </c>
      <c r="BD248" s="1">
        <f>'Asset Prices'!BD248/'Asset Prices'!BD249-1</f>
        <v>3.8689121529358328E-2</v>
      </c>
    </row>
    <row r="249" spans="3:56" x14ac:dyDescent="0.25">
      <c r="C249" s="38">
        <f>'Asset Prices'!C249</f>
        <v>42628</v>
      </c>
      <c r="D249" s="1">
        <f>'Asset Prices'!D249/'Asset Prices'!D250-1</f>
        <v>-1.1570447149572005E-2</v>
      </c>
      <c r="E249" s="1">
        <f>'Asset Prices'!E249/'Asset Prices'!E250-1</f>
        <v>-1.6898713997236747E-2</v>
      </c>
      <c r="F249" s="1">
        <f>'Asset Prices'!F249/'Asset Prices'!F250-1</f>
        <v>-1.2462168417304631E-2</v>
      </c>
      <c r="G249" s="1">
        <f>'Asset Prices'!G249/'Asset Prices'!G250-1</f>
        <v>3.4381139489194634E-3</v>
      </c>
      <c r="H249" s="1">
        <f>'Asset Prices'!H249/'Asset Prices'!H250-1</f>
        <v>-1.8075173569547576E-2</v>
      </c>
      <c r="I249" s="1">
        <f>'Asset Prices'!I249/'Asset Prices'!I250-1</f>
        <v>-1.4738619789667728E-2</v>
      </c>
      <c r="J249" s="1">
        <f>'Asset Prices'!J249/'Asset Prices'!J250-1</f>
        <v>9.5242608036391285E-2</v>
      </c>
      <c r="K249" s="1">
        <f>'Asset Prices'!K249/'Asset Prices'!K250-1</f>
        <v>-1.832767900415766E-2</v>
      </c>
      <c r="L249" s="1">
        <f>'Asset Prices'!L249/'Asset Prices'!L250-1</f>
        <v>-2.3279149106963604E-2</v>
      </c>
      <c r="M249" s="1">
        <f>'Asset Prices'!M249/'Asset Prices'!M250-1</f>
        <v>-4.1790005223750759E-3</v>
      </c>
      <c r="N249" s="1">
        <f>'Asset Prices'!N249/'Asset Prices'!N250-1</f>
        <v>-2.0053808978127696E-3</v>
      </c>
      <c r="O249" s="1">
        <f>'Asset Prices'!O249/'Asset Prices'!O250-1</f>
        <v>-2.1205015801814664E-2</v>
      </c>
      <c r="P249" s="1">
        <f>'Asset Prices'!P249/'Asset Prices'!P250-1</f>
        <v>5.5572334642102206E-3</v>
      </c>
      <c r="Q249" s="1">
        <f>'Asset Prices'!Q249/'Asset Prices'!Q250-1</f>
        <v>-2.5890985324947602E-2</v>
      </c>
      <c r="R249" s="1">
        <f>'Asset Prices'!R249/'Asset Prices'!R250-1</f>
        <v>-3.5638423412791997E-2</v>
      </c>
      <c r="S249" s="1">
        <f>'Asset Prices'!S249/'Asset Prices'!S250-1</f>
        <v>-7.4413279908414065E-3</v>
      </c>
      <c r="T249" s="1">
        <f>'Asset Prices'!T249/'Asset Prices'!T250-1</f>
        <v>-1.0566899900042781E-2</v>
      </c>
      <c r="U249" s="1">
        <f>'Asset Prices'!U249/'Asset Prices'!U250-1</f>
        <v>4.9389367816091934E-2</v>
      </c>
      <c r="V249" s="1">
        <f>'Asset Prices'!V249/'Asset Prices'!V250-1</f>
        <v>-3.9684232984851686E-2</v>
      </c>
      <c r="W249" s="1">
        <f>'Asset Prices'!W249/'Asset Prices'!W250-1</f>
        <v>-6.3291139240506666E-3</v>
      </c>
      <c r="X249" s="1">
        <f>'Asset Prices'!X249/'Asset Prices'!X250-1</f>
        <v>-4.5665634674922462E-2</v>
      </c>
      <c r="Y249" s="1">
        <f>'Asset Prices'!Y249/'Asset Prices'!Y250-1</f>
        <v>-3.9804241457761069E-2</v>
      </c>
      <c r="Z249" s="1">
        <f>'Asset Prices'!Z249/'Asset Prices'!Z250-1</f>
        <v>-3.9499036608863225E-2</v>
      </c>
      <c r="AA249" s="1">
        <f>'Asset Prices'!AA249/'Asset Prices'!AA250-1</f>
        <v>4.3038922155688608E-2</v>
      </c>
      <c r="AB249" s="1">
        <f>'Asset Prices'!AB249/'Asset Prices'!AB250-1</f>
        <v>2.4561403508771784E-2</v>
      </c>
      <c r="AC249" s="1">
        <f>'Asset Prices'!AC249/'Asset Prices'!AC250-1</f>
        <v>2.1501706484641669E-2</v>
      </c>
      <c r="AD249" s="1">
        <f>'Asset Prices'!AD249/'Asset Prices'!AD250-1</f>
        <v>-4.0623260990539811E-2</v>
      </c>
      <c r="AE249" s="1">
        <f>'Asset Prices'!AE249/'Asset Prices'!AE250-1</f>
        <v>-5.1507121563431624E-2</v>
      </c>
      <c r="AF249" s="1">
        <f>'Asset Prices'!AF249/'Asset Prices'!AF250-1</f>
        <v>-8.1415929203539794E-2</v>
      </c>
      <c r="AG249" s="1">
        <f>'Asset Prices'!AG249/'Asset Prices'!AG250-1</f>
        <v>-5.22900763358779E-2</v>
      </c>
      <c r="AH249" s="1">
        <f>'Asset Prices'!AH249/'Asset Prices'!AH250-1</f>
        <v>1.190276613579222E-2</v>
      </c>
      <c r="AI249" s="1">
        <f>'Asset Prices'!AI249/'Asset Prices'!AI250-1</f>
        <v>-5.2887613820631119E-2</v>
      </c>
      <c r="AJ249" s="1">
        <f>'Asset Prices'!AJ249/'Asset Prices'!AJ250-1</f>
        <v>3.5608308605341588E-3</v>
      </c>
      <c r="AK249" s="1">
        <f>'Asset Prices'!AK249/'Asset Prices'!AK250-1</f>
        <v>4.6567164179104559E-2</v>
      </c>
      <c r="AL249" s="1">
        <f>'Asset Prices'!AL249/'Asset Prices'!AL250-1</f>
        <v>-2.2342586323628844E-2</v>
      </c>
      <c r="AM249" s="1">
        <f>'Asset Prices'!AM249/'Asset Prices'!AM250-1</f>
        <v>-2.1006289308176163E-2</v>
      </c>
      <c r="AN249" s="1">
        <f>'Asset Prices'!AN249/'Asset Prices'!AN250-1</f>
        <v>-1.1926525637677377E-2</v>
      </c>
      <c r="AO249" s="1">
        <f>'Asset Prices'!AO249/'Asset Prices'!AO250-1</f>
        <v>-3.0223880597014974E-2</v>
      </c>
      <c r="AP249" s="1">
        <f>'Asset Prices'!AP249/'Asset Prices'!AP250-1</f>
        <v>-1.5481500918394064E-2</v>
      </c>
      <c r="AQ249" s="1">
        <f>'Asset Prices'!AQ249/'Asset Prices'!AQ250-1</f>
        <v>-2.5607353906763053E-2</v>
      </c>
      <c r="AR249" s="1">
        <f>'Asset Prices'!AR249/'Asset Prices'!AR250-1</f>
        <v>-5.7465736955999103E-2</v>
      </c>
      <c r="AS249" s="1">
        <f>'Asset Prices'!AS249/'Asset Prices'!AS250-1</f>
        <v>2.2676854818831638E-2</v>
      </c>
      <c r="AT249" s="1">
        <f>'Asset Prices'!AT249/'Asset Prices'!AT250-1</f>
        <v>-5.7593613381486386E-2</v>
      </c>
      <c r="AU249" s="1">
        <f>'Asset Prices'!AU249/'Asset Prices'!AU250-1</f>
        <v>-3.566374186243948E-3</v>
      </c>
      <c r="AV249" s="1">
        <f>'Asset Prices'!AV249/'Asset Prices'!AV250-1</f>
        <v>1.832844574779946E-3</v>
      </c>
      <c r="AW249" s="1">
        <f>'Asset Prices'!AW249/'Asset Prices'!AW250-1</f>
        <v>-6.1310782241014716E-2</v>
      </c>
      <c r="AX249" s="1">
        <f>'Asset Prices'!AX249/'Asset Prices'!AX250-1</f>
        <v>-7.5508864084044669E-2</v>
      </c>
      <c r="AY249" s="1">
        <f>'Asset Prices'!AY249/'Asset Prices'!AY250-1</f>
        <v>-2.7824620573355885E-2</v>
      </c>
      <c r="AZ249" s="1">
        <f>'Asset Prices'!AZ249/'Asset Prices'!AZ250-1</f>
        <v>-2.0582120582120611E-2</v>
      </c>
      <c r="BA249" s="1">
        <f>'Asset Prices'!BA249/'Asset Prices'!BA250-1</f>
        <v>-3.0135088326983084E-2</v>
      </c>
      <c r="BB249" s="1">
        <f>'Asset Prices'!BB249/'Asset Prices'!BB250-1</f>
        <v>-5.0165120301934318E-2</v>
      </c>
      <c r="BC249" s="1">
        <f>'Asset Prices'!BC249/'Asset Prices'!BC250-1</f>
        <v>-8.7653221940697246E-2</v>
      </c>
      <c r="BD249" s="1">
        <f>'Asset Prices'!BD249/'Asset Prices'!BD250-1</f>
        <v>-2.301278488048919E-2</v>
      </c>
    </row>
    <row r="250" spans="3:56" x14ac:dyDescent="0.25">
      <c r="C250" s="38">
        <f>'Asset Prices'!C250</f>
        <v>42621</v>
      </c>
      <c r="D250" s="1">
        <f>'Asset Prices'!D250/'Asset Prices'!D251-1</f>
        <v>2.0541205412054175E-2</v>
      </c>
      <c r="E250" s="1">
        <f>'Asset Prices'!E250/'Asset Prices'!E251-1</f>
        <v>-1.8035221727137341E-3</v>
      </c>
      <c r="F250" s="1">
        <f>'Asset Prices'!F250/'Asset Prices'!F251-1</f>
        <v>-4.0485138366928575E-2</v>
      </c>
      <c r="G250" s="1">
        <f>'Asset Prices'!G250/'Asset Prices'!G251-1</f>
        <v>-1.0689990281826933E-2</v>
      </c>
      <c r="H250" s="1">
        <f>'Asset Prices'!H250/'Asset Prices'!H251-1</f>
        <v>2.565991405770407E-2</v>
      </c>
      <c r="I250" s="1">
        <f>'Asset Prices'!I250/'Asset Prices'!I251-1</f>
        <v>3.2495838947451894E-2</v>
      </c>
      <c r="J250" s="1">
        <f>'Asset Prices'!J250/'Asset Prices'!J251-1</f>
        <v>-1.1337018645179553E-2</v>
      </c>
      <c r="K250" s="1">
        <f>'Asset Prices'!K250/'Asset Prices'!K251-1</f>
        <v>1.7440502452570561E-2</v>
      </c>
      <c r="L250" s="1">
        <f>'Asset Prices'!L250/'Asset Prices'!L251-1</f>
        <v>2.3413431916204486E-2</v>
      </c>
      <c r="M250" s="1">
        <f>'Asset Prices'!M250/'Asset Prices'!M251-1</f>
        <v>-2.7782601146032482E-3</v>
      </c>
      <c r="N250" s="1">
        <f>'Asset Prices'!N250/'Asset Prices'!N251-1</f>
        <v>1.4455395501642654E-2</v>
      </c>
      <c r="O250" s="1">
        <f>'Asset Prices'!O250/'Asset Prices'!O251-1</f>
        <v>-1.4567008237894363E-2</v>
      </c>
      <c r="P250" s="1">
        <f>'Asset Prices'!P250/'Asset Prices'!P251-1</f>
        <v>4.5509708737863086E-3</v>
      </c>
      <c r="Q250" s="1">
        <f>'Asset Prices'!Q250/'Asset Prices'!Q251-1</f>
        <v>1.7491467576791875E-2</v>
      </c>
      <c r="R250" s="1">
        <f>'Asset Prices'!R250/'Asset Prices'!R251-1</f>
        <v>2.6653743639447391E-2</v>
      </c>
      <c r="S250" s="1">
        <f>'Asset Prices'!S250/'Asset Prices'!S251-1</f>
        <v>1.4518002322880363E-2</v>
      </c>
      <c r="T250" s="1">
        <f>'Asset Prices'!T250/'Asset Prices'!T251-1</f>
        <v>-1.5464642204414347E-2</v>
      </c>
      <c r="U250" s="1">
        <f>'Asset Prices'!U250/'Asset Prices'!U251-1</f>
        <v>3.4751904850399473E-2</v>
      </c>
      <c r="V250" s="1">
        <f>'Asset Prices'!V250/'Asset Prices'!V251-1</f>
        <v>3.4253907086276847E-3</v>
      </c>
      <c r="W250" s="1">
        <f>'Asset Prices'!W250/'Asset Prices'!W251-1</f>
        <v>-1.6087182148417201E-2</v>
      </c>
      <c r="X250" s="1">
        <f>'Asset Prices'!X250/'Asset Prices'!X251-1</f>
        <v>5.9305821262639835E-2</v>
      </c>
      <c r="Y250" s="1">
        <f>'Asset Prices'!Y250/'Asset Prices'!Y251-1</f>
        <v>1.7596281532383351E-2</v>
      </c>
      <c r="Z250" s="1">
        <f>'Asset Prices'!Z250/'Asset Prices'!Z251-1</f>
        <v>-1.236917221693612E-2</v>
      </c>
      <c r="AA250" s="1">
        <f>'Asset Prices'!AA250/'Asset Prices'!AA251-1</f>
        <v>3.3655705996131324E-2</v>
      </c>
      <c r="AB250" s="1">
        <f>'Asset Prices'!AB250/'Asset Prices'!AB251-1</f>
        <v>6.3432835820895539E-2</v>
      </c>
      <c r="AC250" s="1">
        <f>'Asset Prices'!AC250/'Asset Prices'!AC251-1</f>
        <v>2.2866119741665303E-2</v>
      </c>
      <c r="AD250" s="1">
        <f>'Asset Prices'!AD250/'Asset Prices'!AD251-1</f>
        <v>2.7831895352070646E-4</v>
      </c>
      <c r="AE250" s="1">
        <f>'Asset Prices'!AE250/'Asset Prices'!AE251-1</f>
        <v>-2.6756931012250074E-2</v>
      </c>
      <c r="AF250" s="1">
        <f>'Asset Prices'!AF250/'Asset Prices'!AF251-1</f>
        <v>-3.1539252656839323E-2</v>
      </c>
      <c r="AG250" s="1">
        <f>'Asset Prices'!AG250/'Asset Prices'!AG251-1</f>
        <v>-5.2783803326102663E-2</v>
      </c>
      <c r="AH250" s="1">
        <f>'Asset Prices'!AH250/'Asset Prices'!AH251-1</f>
        <v>1.4628338152747E-2</v>
      </c>
      <c r="AI250" s="1">
        <f>'Asset Prices'!AI250/'Asset Prices'!AI251-1</f>
        <v>2.5847728726807295E-2</v>
      </c>
      <c r="AJ250" s="1">
        <f>'Asset Prices'!AJ250/'Asset Prices'!AJ251-1</f>
        <v>2.3693803159173799E-2</v>
      </c>
      <c r="AK250" s="1">
        <f>'Asset Prices'!AK250/'Asset Prices'!AK251-1</f>
        <v>5.9456040480708294E-2</v>
      </c>
      <c r="AL250" s="1">
        <f>'Asset Prices'!AL250/'Asset Prices'!AL251-1</f>
        <v>1.5818431911966968E-2</v>
      </c>
      <c r="AM250" s="1">
        <f>'Asset Prices'!AM250/'Asset Prices'!AM251-1</f>
        <v>-3.3847311019179482E-3</v>
      </c>
      <c r="AN250" s="1">
        <f>'Asset Prices'!AN250/'Asset Prices'!AN251-1</f>
        <v>-3.1241864097890648E-3</v>
      </c>
      <c r="AO250" s="1">
        <f>'Asset Prices'!AO250/'Asset Prices'!AO251-1</f>
        <v>1.9786910197869156E-2</v>
      </c>
      <c r="AP250" s="1">
        <f>'Asset Prices'!AP250/'Asset Prices'!AP251-1</f>
        <v>-1.9426218963077391E-2</v>
      </c>
      <c r="AQ250" s="1">
        <f>'Asset Prices'!AQ250/'Asset Prices'!AQ251-1</f>
        <v>4.691527753909619E-2</v>
      </c>
      <c r="AR250" s="1">
        <f>'Asset Prices'!AR250/'Asset Prices'!AR251-1</f>
        <v>5.4780623890438918E-2</v>
      </c>
      <c r="AS250" s="1">
        <f>'Asset Prices'!AS250/'Asset Prices'!AS251-1</f>
        <v>-3.2204198473282486E-2</v>
      </c>
      <c r="AT250" s="1">
        <f>'Asset Prices'!AT250/'Asset Prices'!AT251-1</f>
        <v>1.0564733000384186E-2</v>
      </c>
      <c r="AU250" s="1">
        <f>'Asset Prices'!AU250/'Asset Prices'!AU251-1</f>
        <v>-2.0901593040334454E-3</v>
      </c>
      <c r="AV250" s="1">
        <f>'Asset Prices'!AV250/'Asset Prices'!AV251-1</f>
        <v>-1.6109641740803093E-2</v>
      </c>
      <c r="AW250" s="1">
        <f>'Asset Prices'!AW250/'Asset Prices'!AW251-1</f>
        <v>1.3242453748782967E-2</v>
      </c>
      <c r="AX250" s="1">
        <f>'Asset Prices'!AX250/'Asset Prices'!AX251-1</f>
        <v>2.6333113890717463E-3</v>
      </c>
      <c r="AY250" s="1">
        <f>'Asset Prices'!AY250/'Asset Prices'!AY251-1</f>
        <v>2.0654044750430423E-2</v>
      </c>
      <c r="AZ250" s="1">
        <f>'Asset Prices'!AZ250/'Asset Prices'!AZ251-1</f>
        <v>1.3912310286677831E-2</v>
      </c>
      <c r="BA250" s="1">
        <f>'Asset Prices'!BA250/'Asset Prices'!BA251-1</f>
        <v>1.4406184118060494E-2</v>
      </c>
      <c r="BB250" s="1">
        <f>'Asset Prices'!BB250/'Asset Prices'!BB251-1</f>
        <v>3.5161972977372669E-2</v>
      </c>
      <c r="BC250" s="1">
        <f>'Asset Prices'!BC250/'Asset Prices'!BC251-1</f>
        <v>7.0522688952422863E-2</v>
      </c>
      <c r="BD250" s="1">
        <f>'Asset Prices'!BD250/'Asset Prices'!BD251-1</f>
        <v>7.7302263051759468E-3</v>
      </c>
    </row>
    <row r="251" spans="3:56" x14ac:dyDescent="0.25">
      <c r="C251" s="38">
        <f>'Asset Prices'!C251</f>
        <v>42614</v>
      </c>
      <c r="D251" s="1">
        <f>'Asset Prices'!D251/'Asset Prices'!D252-1</f>
        <v>1.2201195219123662E-2</v>
      </c>
      <c r="E251" s="1">
        <f>'Asset Prices'!E251/'Asset Prices'!E252-1</f>
        <v>-1.3500784929356247E-2</v>
      </c>
      <c r="F251" s="1">
        <f>'Asset Prices'!F251/'Asset Prices'!F252-1</f>
        <v>-1.181634031060097E-2</v>
      </c>
      <c r="G251" s="1">
        <f>'Asset Prices'!G251/'Asset Prices'!G252-1</f>
        <v>1.4598540145984717E-3</v>
      </c>
      <c r="H251" s="1">
        <f>'Asset Prices'!H251/'Asset Prices'!H252-1</f>
        <v>-1.6779333655238982E-2</v>
      </c>
      <c r="I251" s="1">
        <f>'Asset Prices'!I251/'Asset Prices'!I252-1</f>
        <v>1.8403422390830482E-2</v>
      </c>
      <c r="J251" s="1">
        <f>'Asset Prices'!J251/'Asset Prices'!J252-1</f>
        <v>-7.8088686436738053E-3</v>
      </c>
      <c r="K251" s="1">
        <f>'Asset Prices'!K251/'Asset Prices'!K252-1</f>
        <v>1.5015410552935871E-2</v>
      </c>
      <c r="L251" s="1">
        <f>'Asset Prices'!L251/'Asset Prices'!L252-1</f>
        <v>6.1652281134394471E-4</v>
      </c>
      <c r="M251" s="1">
        <f>'Asset Prices'!M251/'Asset Prices'!M252-1</f>
        <v>-9.9707753137355803E-3</v>
      </c>
      <c r="N251" s="1">
        <f>'Asset Prices'!N251/'Asset Prices'!N252-1</f>
        <v>1.263743207380319E-4</v>
      </c>
      <c r="O251" s="1">
        <f>'Asset Prices'!O251/'Asset Prices'!O252-1</f>
        <v>-0.10324324324324319</v>
      </c>
      <c r="P251" s="1">
        <f>'Asset Prices'!P251/'Asset Prices'!P252-1</f>
        <v>-1.1338412622232785E-2</v>
      </c>
      <c r="Q251" s="1">
        <f>'Asset Prices'!Q251/'Asset Prices'!Q252-1</f>
        <v>1.8908932840686843E-2</v>
      </c>
      <c r="R251" s="1">
        <f>'Asset Prices'!R251/'Asset Prices'!R252-1</f>
        <v>-2.3888363292336789E-2</v>
      </c>
      <c r="S251" s="1">
        <f>'Asset Prices'!S251/'Asset Prices'!S252-1</f>
        <v>-2.4915062287655831E-2</v>
      </c>
      <c r="T251" s="1">
        <f>'Asset Prices'!T251/'Asset Prices'!T252-1</f>
        <v>-2.6016705463508205E-2</v>
      </c>
      <c r="U251" s="1">
        <f>'Asset Prices'!U251/'Asset Prices'!U252-1</f>
        <v>6.0086682427108018E-2</v>
      </c>
      <c r="V251" s="1">
        <f>'Asset Prices'!V251/'Asset Prices'!V252-1</f>
        <v>-1.0171646535282908E-2</v>
      </c>
      <c r="W251" s="1">
        <f>'Asset Prices'!W251/'Asset Prices'!W252-1</f>
        <v>-2.4550746646418653E-2</v>
      </c>
      <c r="X251" s="1">
        <f>'Asset Prices'!X251/'Asset Prices'!X252-1</f>
        <v>-2.7255382938128347E-3</v>
      </c>
      <c r="Y251" s="1">
        <f>'Asset Prices'!Y251/'Asset Prices'!Y252-1</f>
        <v>-7.9051383204634673E-3</v>
      </c>
      <c r="Z251" s="1">
        <f>'Asset Prices'!Z251/'Asset Prices'!Z252-1</f>
        <v>2.038834951456292E-2</v>
      </c>
      <c r="AA251" s="1">
        <f>'Asset Prices'!AA251/'Asset Prices'!AA252-1</f>
        <v>3.8834951456310218E-3</v>
      </c>
      <c r="AB251" s="1">
        <f>'Asset Prices'!AB251/'Asset Prices'!AB252-1</f>
        <v>1.5151515151515138E-2</v>
      </c>
      <c r="AC251" s="1">
        <f>'Asset Prices'!AC251/'Asset Prices'!AC252-1</f>
        <v>-3.7466397849462485E-2</v>
      </c>
      <c r="AD251" s="1">
        <f>'Asset Prices'!AD251/'Asset Prices'!AD252-1</f>
        <v>-2.2216051096917155E-3</v>
      </c>
      <c r="AE251" s="1">
        <f>'Asset Prices'!AE251/'Asset Prices'!AE252-1</f>
        <v>-4.8332527791206115E-4</v>
      </c>
      <c r="AF251" s="1">
        <f>'Asset Prices'!AF251/'Asset Prices'!AF252-1</f>
        <v>2.350877192982459E-2</v>
      </c>
      <c r="AG251" s="1">
        <f>'Asset Prices'!AG251/'Asset Prices'!AG252-1</f>
        <v>3.5955056179775235E-2</v>
      </c>
      <c r="AH251" s="1">
        <f>'Asset Prices'!AH251/'Asset Prices'!AH252-1</f>
        <v>1.1920980926429792E-3</v>
      </c>
      <c r="AI251" s="1">
        <f>'Asset Prices'!AI251/'Asset Prices'!AI252-1</f>
        <v>-1.025835866261382E-2</v>
      </c>
      <c r="AJ251" s="1">
        <f>'Asset Prices'!AJ251/'Asset Prices'!AJ252-1</f>
        <v>-4.8004626951995255E-2</v>
      </c>
      <c r="AK251" s="1">
        <f>'Asset Prices'!AK251/'Asset Prices'!AK252-1</f>
        <v>-1.2492192379762734E-2</v>
      </c>
      <c r="AL251" s="1">
        <f>'Asset Prices'!AL251/'Asset Prices'!AL252-1</f>
        <v>-1.2898845892735933E-2</v>
      </c>
      <c r="AM251" s="1">
        <f>'Asset Prices'!AM251/'Asset Prices'!AM252-1</f>
        <v>5.7366198070982755E-3</v>
      </c>
      <c r="AN251" s="1">
        <f>'Asset Prices'!AN251/'Asset Prices'!AN252-1</f>
        <v>1.6944665078104437E-2</v>
      </c>
      <c r="AO251" s="1">
        <f>'Asset Prices'!AO251/'Asset Prices'!AO252-1</f>
        <v>-3.601895734597127E-3</v>
      </c>
      <c r="AP251" s="1">
        <f>'Asset Prices'!AP251/'Asset Prices'!AP252-1</f>
        <v>-1.3578680203045645E-2</v>
      </c>
      <c r="AQ251" s="1">
        <f>'Asset Prices'!AQ251/'Asset Prices'!AQ252-1</f>
        <v>-0.10614439324116742</v>
      </c>
      <c r="AR251" s="1">
        <f>'Asset Prices'!AR251/'Asset Prices'!AR252-1</f>
        <v>-1.8177290836653537E-2</v>
      </c>
      <c r="AS251" s="1">
        <f>'Asset Prices'!AS251/'Asset Prices'!AS252-1</f>
        <v>-2.170361726954495E-2</v>
      </c>
      <c r="AT251" s="1">
        <f>'Asset Prices'!AT251/'Asset Prices'!AT252-1</f>
        <v>-7.6248570339305655E-3</v>
      </c>
      <c r="AU251" s="1">
        <f>'Asset Prices'!AU251/'Asset Prices'!AU252-1</f>
        <v>1.6538417365338454E-2</v>
      </c>
      <c r="AV251" s="1">
        <f>'Asset Prices'!AV251/'Asset Prices'!AV252-1</f>
        <v>-2.7134502923976567E-2</v>
      </c>
      <c r="AW251" s="1">
        <f>'Asset Prices'!AW251/'Asset Prices'!AW252-1</f>
        <v>4.6957542555272624E-3</v>
      </c>
      <c r="AX251" s="1">
        <f>'Asset Prices'!AX251/'Asset Prices'!AX252-1</f>
        <v>1.8096514745308268E-2</v>
      </c>
      <c r="AY251" s="1">
        <f>'Asset Prices'!AY251/'Asset Prices'!AY252-1</f>
        <v>-2.7208036835495997E-2</v>
      </c>
      <c r="AZ251" s="1">
        <f>'Asset Prices'!AZ251/'Asset Prices'!AZ252-1</f>
        <v>-2.3466447097571064E-2</v>
      </c>
      <c r="BA251" s="1">
        <f>'Asset Prices'!BA251/'Asset Prices'!BA252-1</f>
        <v>-9.0529247910863253E-3</v>
      </c>
      <c r="BB251" s="1">
        <f>'Asset Prices'!BB251/'Asset Prices'!BB252-1</f>
        <v>-1.633306645316257E-2</v>
      </c>
      <c r="BC251" s="1">
        <f>'Asset Prices'!BC251/'Asset Prices'!BC252-1</f>
        <v>2.1997360316761139E-4</v>
      </c>
      <c r="BD251" s="1">
        <f>'Asset Prices'!BD251/'Asset Prices'!BD252-1</f>
        <v>1.8484710178001018E-2</v>
      </c>
    </row>
    <row r="252" spans="3:56" x14ac:dyDescent="0.25">
      <c r="C252" s="38">
        <f>'Asset Prices'!C252</f>
        <v>42607</v>
      </c>
      <c r="D252" s="1">
        <f>'Asset Prices'!D252/'Asset Prices'!D253-1</f>
        <v>6.2289772019430423E-4</v>
      </c>
      <c r="E252" s="1">
        <f>'Asset Prices'!E252/'Asset Prices'!E253-1</f>
        <v>-1.1381272633212758E-2</v>
      </c>
      <c r="F252" s="1">
        <f>'Asset Prices'!F252/'Asset Prices'!F253-1</f>
        <v>3.5483307114140938E-2</v>
      </c>
      <c r="G252" s="1">
        <f>'Asset Prices'!G252/'Asset Prices'!G253-1</f>
        <v>-9.7228974234320198E-4</v>
      </c>
      <c r="H252" s="1">
        <f>'Asset Prices'!H252/'Asset Prices'!H253-1</f>
        <v>-6.4763732309905953E-3</v>
      </c>
      <c r="I252" s="1">
        <f>'Asset Prices'!I252/'Asset Prices'!I253-1</f>
        <v>-1.6140747316595316E-4</v>
      </c>
      <c r="J252" s="1">
        <f>'Asset Prices'!J252/'Asset Prices'!J253-1</f>
        <v>-1.3843050971763859E-2</v>
      </c>
      <c r="K252" s="1">
        <f>'Asset Prices'!K252/'Asset Prices'!K253-1</f>
        <v>-6.8545116814483498E-3</v>
      </c>
      <c r="L252" s="1">
        <f>'Asset Prices'!L252/'Asset Prices'!L253-1</f>
        <v>1.2063227953410971E-2</v>
      </c>
      <c r="M252" s="1">
        <f>'Asset Prices'!M252/'Asset Prices'!M253-1</f>
        <v>9.895833333333437E-3</v>
      </c>
      <c r="N252" s="1">
        <f>'Asset Prices'!N252/'Asset Prices'!N253-1</f>
        <v>-1.4263469324198086E-2</v>
      </c>
      <c r="O252" s="1">
        <f>'Asset Prices'!O252/'Asset Prices'!O253-1</f>
        <v>-1.8307243300610176E-2</v>
      </c>
      <c r="P252" s="1">
        <f>'Asset Prices'!P252/'Asset Prices'!P253-1</f>
        <v>8.5920009681126341E-3</v>
      </c>
      <c r="Q252" s="1">
        <f>'Asset Prices'!Q252/'Asset Prices'!Q253-1</f>
        <v>-2.8402491817125952E-2</v>
      </c>
      <c r="R252" s="1">
        <f>'Asset Prices'!R252/'Asset Prices'!R253-1</f>
        <v>-1.582867783985098E-2</v>
      </c>
      <c r="S252" s="1">
        <f>'Asset Prices'!S252/'Asset Prices'!S253-1</f>
        <v>-7.307476110174238E-3</v>
      </c>
      <c r="T252" s="1">
        <f>'Asset Prices'!T252/'Asset Prices'!T253-1</f>
        <v>9.5942982456143078E-4</v>
      </c>
      <c r="U252" s="1">
        <f>'Asset Prices'!U252/'Asset Prices'!U253-1</f>
        <v>-2.609363008442056E-2</v>
      </c>
      <c r="V252" s="1">
        <f>'Asset Prices'!V252/'Asset Prices'!V253-1</f>
        <v>6.6126279863480963E-3</v>
      </c>
      <c r="W252" s="1">
        <f>'Asset Prices'!W252/'Asset Prices'!W253-1</f>
        <v>0.19006024096385521</v>
      </c>
      <c r="X252" s="1">
        <f>'Asset Prices'!X252/'Asset Prices'!X253-1</f>
        <v>-4.0716612377851291E-3</v>
      </c>
      <c r="Y252" s="1">
        <f>'Asset Prices'!Y252/'Asset Prices'!Y253-1</f>
        <v>-4.2271293387455167E-2</v>
      </c>
      <c r="Z252" s="1">
        <f>'Asset Prices'!Z252/'Asset Prices'!Z253-1</f>
        <v>0</v>
      </c>
      <c r="AA252" s="1">
        <f>'Asset Prices'!AA252/'Asset Prices'!AA253-1</f>
        <v>8.2223962411902551E-3</v>
      </c>
      <c r="AB252" s="1">
        <f>'Asset Prices'!AB252/'Asset Prices'!AB253-1</f>
        <v>-7.5187969924812581E-3</v>
      </c>
      <c r="AC252" s="1">
        <f>'Asset Prices'!AC252/'Asset Prices'!AC253-1</f>
        <v>-2.7927486526212575E-2</v>
      </c>
      <c r="AD252" s="1">
        <f>'Asset Prices'!AD252/'Asset Prices'!AD253-1</f>
        <v>2.777777777778212E-4</v>
      </c>
      <c r="AE252" s="1">
        <f>'Asset Prices'!AE252/'Asset Prices'!AE253-1</f>
        <v>3.3122503328894881E-2</v>
      </c>
      <c r="AF252" s="1">
        <f>'Asset Prices'!AF252/'Asset Prices'!AF253-1</f>
        <v>1.93133047210301E-2</v>
      </c>
      <c r="AG252" s="1">
        <f>'Asset Prices'!AG252/'Asset Prices'!AG253-1</f>
        <v>-3.9568345323741094E-2</v>
      </c>
      <c r="AH252" s="1">
        <f>'Asset Prices'!AH252/'Asset Prices'!AH253-1</f>
        <v>5.479452054794498E-3</v>
      </c>
      <c r="AI252" s="1">
        <f>'Asset Prices'!AI252/'Asset Prices'!AI253-1</f>
        <v>-3.2819994950770148E-3</v>
      </c>
      <c r="AJ252" s="1">
        <f>'Asset Prices'!AJ252/'Asset Prices'!AJ253-1</f>
        <v>3.4709754637941348E-2</v>
      </c>
      <c r="AK252" s="1">
        <f>'Asset Prices'!AK252/'Asset Prices'!AK253-1</f>
        <v>-3.8438438438438305E-2</v>
      </c>
      <c r="AL252" s="1">
        <f>'Asset Prices'!AL252/'Asset Prices'!AL253-1</f>
        <v>-1.8784972022382052E-2</v>
      </c>
      <c r="AM252" s="1">
        <f>'Asset Prices'!AM252/'Asset Prices'!AM253-1</f>
        <v>-1.6918691125433871E-2</v>
      </c>
      <c r="AN252" s="1">
        <f>'Asset Prices'!AN252/'Asset Prices'!AN253-1</f>
        <v>-3.8681318681318411E-3</v>
      </c>
      <c r="AO252" s="1">
        <f>'Asset Prices'!AO252/'Asset Prices'!AO253-1</f>
        <v>-2.269718176659663E-3</v>
      </c>
      <c r="AP252" s="1">
        <f>'Asset Prices'!AP252/'Asset Prices'!AP253-1</f>
        <v>1.2723300346999089E-2</v>
      </c>
      <c r="AQ252" s="1">
        <f>'Asset Prices'!AQ252/'Asset Prices'!AQ253-1</f>
        <v>1.9896600344665449E-2</v>
      </c>
      <c r="AR252" s="1">
        <f>'Asset Prices'!AR252/'Asset Prices'!AR253-1</f>
        <v>-9.6106234526221024E-2</v>
      </c>
      <c r="AS252" s="1">
        <f>'Asset Prices'!AS252/'Asset Prices'!AS253-1</f>
        <v>-0.13118410381184098</v>
      </c>
      <c r="AT252" s="1">
        <f>'Asset Prices'!AT252/'Asset Prices'!AT253-1</f>
        <v>0</v>
      </c>
      <c r="AU252" s="1">
        <f>'Asset Prices'!AU252/'Asset Prices'!AU253-1</f>
        <v>2.5331030512376618E-3</v>
      </c>
      <c r="AV252" s="1">
        <f>'Asset Prices'!AV252/'Asset Prices'!AV253-1</f>
        <v>-0.10807427498435218</v>
      </c>
      <c r="AW252" s="1">
        <f>'Asset Prices'!AW252/'Asset Prices'!AW253-1</f>
        <v>3.3987457009913014E-2</v>
      </c>
      <c r="AX252" s="1">
        <f>'Asset Prices'!AX252/'Asset Prices'!AX253-1</f>
        <v>4.7138047138046701E-3</v>
      </c>
      <c r="AY252" s="1">
        <f>'Asset Prices'!AY252/'Asset Prices'!AY253-1</f>
        <v>-4.0562248995983929E-2</v>
      </c>
      <c r="AZ252" s="1">
        <f>'Asset Prices'!AZ252/'Asset Prices'!AZ253-1</f>
        <v>4.1148735533647729E-2</v>
      </c>
      <c r="BA252" s="1">
        <f>'Asset Prices'!BA252/'Asset Prices'!BA253-1</f>
        <v>-6.2283737024221297E-3</v>
      </c>
      <c r="BB252" s="1">
        <f>'Asset Prices'!BB252/'Asset Prices'!BB253-1</f>
        <v>-3.3514203638683737E-3</v>
      </c>
      <c r="BC252" s="1">
        <f>'Asset Prices'!BC252/'Asset Prices'!BC253-1</f>
        <v>3.2947057486934828E-2</v>
      </c>
      <c r="BD252" s="1">
        <f>'Asset Prices'!BD252/'Asset Prices'!BD253-1</f>
        <v>1.7413512885999571E-2</v>
      </c>
    </row>
    <row r="253" spans="3:56" x14ac:dyDescent="0.25">
      <c r="C253" s="38">
        <f>'Asset Prices'!C253</f>
        <v>42600</v>
      </c>
      <c r="D253" s="1">
        <f>'Asset Prices'!D253/'Asset Prices'!D254-1</f>
        <v>1.8721917124311371E-3</v>
      </c>
      <c r="E253" s="1">
        <f>'Asset Prices'!E253/'Asset Prices'!E254-1</f>
        <v>-1.1455456684054344E-2</v>
      </c>
      <c r="F253" s="1">
        <f>'Asset Prices'!F253/'Asset Prices'!F254-1</f>
        <v>8.461131676361866E-3</v>
      </c>
      <c r="G253" s="1">
        <f>'Asset Prices'!G253/'Asset Prices'!G254-1</f>
        <v>-3.3914728682170603E-3</v>
      </c>
      <c r="H253" s="1">
        <f>'Asset Prices'!H253/'Asset Prices'!H254-1</f>
        <v>1.6818837097549721E-3</v>
      </c>
      <c r="I253" s="1">
        <f>'Asset Prices'!I253/'Asset Prices'!I254-1</f>
        <v>-7.9263410728583894E-3</v>
      </c>
      <c r="J253" s="1">
        <f>'Asset Prices'!J253/'Asset Prices'!J254-1</f>
        <v>1.0655054201797354E-2</v>
      </c>
      <c r="K253" s="1">
        <f>'Asset Prices'!K253/'Asset Prices'!K254-1</f>
        <v>-8.7910378092421748E-3</v>
      </c>
      <c r="L253" s="1">
        <f>'Asset Prices'!L253/'Asset Prices'!L254-1</f>
        <v>2.8157263531130017E-3</v>
      </c>
      <c r="M253" s="1">
        <f>'Asset Prices'!M253/'Asset Prices'!M254-1</f>
        <v>-1.2006861063464713E-2</v>
      </c>
      <c r="N253" s="1">
        <f>'Asset Prices'!N253/'Asset Prices'!N254-1</f>
        <v>-6.7433803513982093E-3</v>
      </c>
      <c r="O253" s="1">
        <f>'Asset Prices'!O253/'Asset Prices'!O254-1</f>
        <v>9.1931453052480627E-3</v>
      </c>
      <c r="P253" s="1">
        <f>'Asset Prices'!P253/'Asset Prices'!P254-1</f>
        <v>7.8721085139887848E-4</v>
      </c>
      <c r="Q253" s="1">
        <f>'Asset Prices'!Q253/'Asset Prices'!Q254-1</f>
        <v>8.4539786537041195E-4</v>
      </c>
      <c r="R253" s="1">
        <f>'Asset Prices'!R253/'Asset Prices'!R254-1</f>
        <v>5.8534301100445774E-3</v>
      </c>
      <c r="S253" s="1">
        <f>'Asset Prices'!S253/'Asset Prices'!S254-1</f>
        <v>-2.2527472527472558E-2</v>
      </c>
      <c r="T253" s="1">
        <f>'Asset Prices'!T253/'Asset Prices'!T254-1</f>
        <v>1.1927877947295329E-2</v>
      </c>
      <c r="U253" s="1">
        <f>'Asset Prices'!U253/'Asset Prices'!U254-1</f>
        <v>7.680491551458335E-4</v>
      </c>
      <c r="V253" s="1">
        <f>'Asset Prices'!V253/'Asset Prices'!V254-1</f>
        <v>-5.9372349448684192E-3</v>
      </c>
      <c r="W253" s="1">
        <f>'Asset Prices'!W253/'Asset Prices'!W254-1</f>
        <v>-4.101675332177912E-2</v>
      </c>
      <c r="X253" s="1">
        <f>'Asset Prices'!X253/'Asset Prices'!X254-1</f>
        <v>-1.0741138560687369E-2</v>
      </c>
      <c r="Y253" s="1">
        <f>'Asset Prices'!Y253/'Asset Prices'!Y254-1</f>
        <v>-1.3690105777663608E-2</v>
      </c>
      <c r="Z253" s="1">
        <f>'Asset Prices'!Z253/'Asset Prices'!Z254-1</f>
        <v>-3.7383177570093351E-2</v>
      </c>
      <c r="AA253" s="1">
        <f>'Asset Prices'!AA253/'Asset Prices'!AA254-1</f>
        <v>8.2905645479669499E-3</v>
      </c>
      <c r="AB253" s="1">
        <f>'Asset Prices'!AB253/'Asset Prices'!AB254-1</f>
        <v>0</v>
      </c>
      <c r="AC253" s="1">
        <f>'Asset Prices'!AC253/'Asset Prices'!AC254-1</f>
        <v>-7.9390797148412018E-3</v>
      </c>
      <c r="AD253" s="1">
        <f>'Asset Prices'!AD253/'Asset Prices'!AD254-1</f>
        <v>-1.098901098901095E-2</v>
      </c>
      <c r="AE253" s="1">
        <f>'Asset Prices'!AE253/'Asset Prices'!AE254-1</f>
        <v>-2.4904532624937525E-3</v>
      </c>
      <c r="AF253" s="1">
        <f>'Asset Prices'!AF253/'Asset Prices'!AF254-1</f>
        <v>-5.3361792956242438E-3</v>
      </c>
      <c r="AG253" s="1">
        <f>'Asset Prices'!AG253/'Asset Prices'!AG254-1</f>
        <v>1.1644832605531397E-2</v>
      </c>
      <c r="AH253" s="1">
        <f>'Asset Prices'!AH253/'Asset Prices'!AH254-1</f>
        <v>6.9597069597069572E-2</v>
      </c>
      <c r="AI253" s="1">
        <f>'Asset Prices'!AI253/'Asset Prices'!AI254-1</f>
        <v>8.5295989815403761E-3</v>
      </c>
      <c r="AJ253" s="1">
        <f>'Asset Prices'!AJ253/'Asset Prices'!AJ254-1</f>
        <v>1.5805471124620052E-2</v>
      </c>
      <c r="AK253" s="1">
        <f>'Asset Prices'!AK253/'Asset Prices'!AK254-1</f>
        <v>-2.4604569420035194E-2</v>
      </c>
      <c r="AL253" s="1">
        <f>'Asset Prices'!AL253/'Asset Prices'!AL254-1</f>
        <v>-5.8278145695364048E-3</v>
      </c>
      <c r="AM253" s="1">
        <f>'Asset Prices'!AM253/'Asset Prices'!AM254-1</f>
        <v>-1.3269736439796898E-2</v>
      </c>
      <c r="AN253" s="1">
        <f>'Asset Prices'!AN253/'Asset Prices'!AN254-1</f>
        <v>-1.5407253527222387E-2</v>
      </c>
      <c r="AO253" s="1">
        <f>'Asset Prices'!AO253/'Asset Prices'!AO254-1</f>
        <v>-1.8380987746008159E-2</v>
      </c>
      <c r="AP253" s="1">
        <f>'Asset Prices'!AP253/'Asset Prices'!AP254-1</f>
        <v>-5.6047555501637758E-2</v>
      </c>
      <c r="AQ253" s="1">
        <f>'Asset Prices'!AQ253/'Asset Prices'!AQ254-1</f>
        <v>5.9889676910953593E-3</v>
      </c>
      <c r="AR253" s="1">
        <f>'Asset Prices'!AR253/'Asset Prices'!AR254-1</f>
        <v>-2.2011886418666138E-2</v>
      </c>
      <c r="AS253" s="1">
        <f>'Asset Prices'!AS253/'Asset Prices'!AS254-1</f>
        <v>1.2523095873537171E-2</v>
      </c>
      <c r="AT253" s="1">
        <f>'Asset Prices'!AT253/'Asset Prices'!AT254-1</f>
        <v>1.3523956723338504E-2</v>
      </c>
      <c r="AU253" s="1">
        <f>'Asset Prices'!AU253/'Asset Prices'!AU254-1</f>
        <v>-1.7033557806575894E-2</v>
      </c>
      <c r="AV253" s="1">
        <f>'Asset Prices'!AV253/'Asset Prices'!AV254-1</f>
        <v>-1.5507856629352057E-2</v>
      </c>
      <c r="AW253" s="1">
        <f>'Asset Prices'!AW253/'Asset Prices'!AW254-1</f>
        <v>-1.8856689162366047E-2</v>
      </c>
      <c r="AX253" s="1">
        <f>'Asset Prices'!AX253/'Asset Prices'!AX254-1</f>
        <v>2.6970954356846377E-2</v>
      </c>
      <c r="AY253" s="1">
        <f>'Asset Prices'!AY253/'Asset Prices'!AY254-1</f>
        <v>-2.6583268178264285E-2</v>
      </c>
      <c r="AZ253" s="1">
        <f>'Asset Prices'!AZ253/'Asset Prices'!AZ254-1</f>
        <v>-2.791666666666659E-2</v>
      </c>
      <c r="BA253" s="1">
        <f>'Asset Prices'!BA253/'Asset Prices'!BA254-1</f>
        <v>-2.6280323450134868E-2</v>
      </c>
      <c r="BB253" s="1">
        <f>'Asset Prices'!BB253/'Asset Prices'!BB254-1</f>
        <v>-1.5956598053301629E-4</v>
      </c>
      <c r="BC253" s="1">
        <f>'Asset Prices'!BC253/'Asset Prices'!BC254-1</f>
        <v>4.2314675929580714E-2</v>
      </c>
      <c r="BD253" s="1">
        <f>'Asset Prices'!BD253/'Asset Prices'!BD254-1</f>
        <v>1.055842327545764E-2</v>
      </c>
    </row>
    <row r="254" spans="3:56" x14ac:dyDescent="0.25">
      <c r="C254" s="38">
        <f>'Asset Prices'!C254</f>
        <v>42593</v>
      </c>
      <c r="D254" s="1">
        <f>'Asset Prices'!D254/'Asset Prices'!D255-1</f>
        <v>8.0523402113739095E-3</v>
      </c>
      <c r="E254" s="1">
        <f>'Asset Prices'!E254/'Asset Prices'!E255-1</f>
        <v>2.7427490542244692E-2</v>
      </c>
      <c r="F254" s="1">
        <f>'Asset Prices'!F254/'Asset Prices'!F255-1</f>
        <v>3.5407921153495225E-2</v>
      </c>
      <c r="G254" s="1">
        <f>'Asset Prices'!G254/'Asset Prices'!G255-1</f>
        <v>9.29095354523235E-3</v>
      </c>
      <c r="H254" s="1">
        <f>'Asset Prices'!H254/'Asset Prices'!H255-1</f>
        <v>1.7977253271370897E-2</v>
      </c>
      <c r="I254" s="1">
        <f>'Asset Prices'!I254/'Asset Prices'!I255-1</f>
        <v>4.3422322290125326E-3</v>
      </c>
      <c r="J254" s="1">
        <f>'Asset Prices'!J254/'Asset Prices'!J255-1</f>
        <v>1.9457825635212922E-2</v>
      </c>
      <c r="K254" s="1">
        <f>'Asset Prices'!K254/'Asset Prices'!K255-1</f>
        <v>1.3762372333294026E-2</v>
      </c>
      <c r="L254" s="1">
        <f>'Asset Prices'!L254/'Asset Prices'!L255-1</f>
        <v>2.6220034246575263E-2</v>
      </c>
      <c r="M254" s="1">
        <f>'Asset Prices'!M254/'Asset Prices'!M255-1</f>
        <v>1.5856420979264652E-2</v>
      </c>
      <c r="N254" s="1">
        <f>'Asset Prices'!N254/'Asset Prices'!N255-1</f>
        <v>1.3734713076199556E-2</v>
      </c>
      <c r="O254" s="1">
        <f>'Asset Prices'!O254/'Asset Prices'!O255-1</f>
        <v>1.1921965317919225E-2</v>
      </c>
      <c r="P254" s="1">
        <f>'Asset Prices'!P254/'Asset Prices'!P255-1</f>
        <v>9.2898178706759538E-3</v>
      </c>
      <c r="Q254" s="1">
        <f>'Asset Prices'!Q254/'Asset Prices'!Q255-1</f>
        <v>3.1726995202790986E-2</v>
      </c>
      <c r="R254" s="1">
        <f>'Asset Prices'!R254/'Asset Prices'!R255-1</f>
        <v>-1.3853613484183791E-2</v>
      </c>
      <c r="S254" s="1">
        <f>'Asset Prices'!S254/'Asset Prices'!S255-1</f>
        <v>-1.5151515151515249E-2</v>
      </c>
      <c r="T254" s="1">
        <f>'Asset Prices'!T254/'Asset Prices'!T255-1</f>
        <v>-1.5233347181831114E-3</v>
      </c>
      <c r="U254" s="1">
        <f>'Asset Prices'!U254/'Asset Prices'!U255-1</f>
        <v>3.7656903765690419E-2</v>
      </c>
      <c r="V254" s="1">
        <f>'Asset Prices'!V254/'Asset Prices'!V255-1</f>
        <v>2.9469548133595369E-2</v>
      </c>
      <c r="W254" s="1">
        <f>'Asset Prices'!W254/'Asset Prices'!W255-1</f>
        <v>3.4977578475336113E-2</v>
      </c>
      <c r="X254" s="1">
        <f>'Asset Prices'!X254/'Asset Prices'!X255-1</f>
        <v>2.2515101592531561E-2</v>
      </c>
      <c r="Y254" s="1">
        <f>'Asset Prices'!Y254/'Asset Prices'!Y255-1</f>
        <v>0.22158874951290253</v>
      </c>
      <c r="Z254" s="1">
        <f>'Asset Prices'!Z254/'Asset Prices'!Z255-1</f>
        <v>0.29539951573849876</v>
      </c>
      <c r="AA254" s="1">
        <f>'Asset Prices'!AA254/'Asset Prices'!AA255-1</f>
        <v>-2.3892100192678289E-2</v>
      </c>
      <c r="AB254" s="1">
        <f>'Asset Prices'!AB254/'Asset Prices'!AB255-1</f>
        <v>-0.10437710437710435</v>
      </c>
      <c r="AC254" s="1">
        <f>'Asset Prices'!AC254/'Asset Prices'!AC255-1</f>
        <v>-0.12142348754448395</v>
      </c>
      <c r="AD254" s="1">
        <f>'Asset Prices'!AD254/'Asset Prices'!AD255-1</f>
        <v>0.10303030303030303</v>
      </c>
      <c r="AE254" s="1">
        <f>'Asset Prices'!AE254/'Asset Prices'!AE255-1</f>
        <v>3.6304198210598715E-2</v>
      </c>
      <c r="AF254" s="1">
        <f>'Asset Prices'!AF254/'Asset Prices'!AF255-1</f>
        <v>6.3161875945537016E-2</v>
      </c>
      <c r="AG254" s="1">
        <f>'Asset Prices'!AG254/'Asset Prices'!AG255-1</f>
        <v>3.5808518658122956E-2</v>
      </c>
      <c r="AH254" s="1">
        <f>'Asset Prices'!AH254/'Asset Prices'!AH255-1</f>
        <v>5.3443951379509969E-2</v>
      </c>
      <c r="AI254" s="1">
        <f>'Asset Prices'!AI254/'Asset Prices'!AI255-1</f>
        <v>3.124589733490879E-2</v>
      </c>
      <c r="AJ254" s="1">
        <f>'Asset Prices'!AJ254/'Asset Prices'!AJ255-1</f>
        <v>3.0056355666875367E-2</v>
      </c>
      <c r="AK254" s="1">
        <f>'Asset Prices'!AK254/'Asset Prices'!AK255-1</f>
        <v>2.3487962419259656E-3</v>
      </c>
      <c r="AL254" s="1">
        <f>'Asset Prices'!AL254/'Asset Prices'!AL255-1</f>
        <v>-9.576282303555117E-3</v>
      </c>
      <c r="AM254" s="1">
        <f>'Asset Prices'!AM254/'Asset Prices'!AM255-1</f>
        <v>1.2256267409470611E-2</v>
      </c>
      <c r="AN254" s="1">
        <f>'Asset Prices'!AN254/'Asset Prices'!AN255-1</f>
        <v>5.920766216804596E-3</v>
      </c>
      <c r="AO254" s="1">
        <f>'Asset Prices'!AO254/'Asset Prices'!AO255-1</f>
        <v>-1.2979788614870813E-3</v>
      </c>
      <c r="AP254" s="1">
        <f>'Asset Prices'!AP254/'Asset Prices'!AP255-1</f>
        <v>1.4023865174068062E-2</v>
      </c>
      <c r="AQ254" s="1">
        <f>'Asset Prices'!AQ254/'Asset Prices'!AQ255-1</f>
        <v>6.0150375939849621E-2</v>
      </c>
      <c r="AR254" s="1">
        <f>'Asset Prices'!AR254/'Asset Prices'!AR255-1</f>
        <v>1.1578712981518802E-2</v>
      </c>
      <c r="AS254" s="1">
        <f>'Asset Prices'!AS254/'Asset Prices'!AS255-1</f>
        <v>3.2955715756952664E-3</v>
      </c>
      <c r="AT254" s="1">
        <f>'Asset Prices'!AT254/'Asset Prices'!AT255-1</f>
        <v>5.048543689320395E-3</v>
      </c>
      <c r="AU254" s="1">
        <f>'Asset Prices'!AU254/'Asset Prices'!AU255-1</f>
        <v>3.0198799043898994E-2</v>
      </c>
      <c r="AV254" s="1">
        <f>'Asset Prices'!AV254/'Asset Prices'!AV255-1</f>
        <v>1.3531799729364025E-2</v>
      </c>
      <c r="AW254" s="1">
        <f>'Asset Prices'!AW254/'Asset Prices'!AW255-1</f>
        <v>-1.7742249951257505E-2</v>
      </c>
      <c r="AX254" s="1">
        <f>'Asset Prices'!AX254/'Asset Prices'!AX255-1</f>
        <v>-0.13671641791044775</v>
      </c>
      <c r="AY254" s="1">
        <f>'Asset Prices'!AY254/'Asset Prices'!AY255-1</f>
        <v>-3.9789789789789864E-2</v>
      </c>
      <c r="AZ254" s="1">
        <f>'Asset Prices'!AZ254/'Asset Prices'!AZ255-1</f>
        <v>2.4327784891165161E-2</v>
      </c>
      <c r="BA254" s="1">
        <f>'Asset Prices'!BA254/'Asset Prices'!BA255-1</f>
        <v>2.6989619377162821E-2</v>
      </c>
      <c r="BB254" s="1">
        <f>'Asset Prices'!BB254/'Asset Prices'!BB255-1</f>
        <v>-2.0475148483901195E-2</v>
      </c>
      <c r="BC254" s="1">
        <f>'Asset Prices'!BC254/'Asset Prices'!BC255-1</f>
        <v>1.4252542237168653E-2</v>
      </c>
      <c r="BD254" s="1">
        <f>'Asset Prices'!BD254/'Asset Prices'!BD255-1</f>
        <v>1.8520731270163626E-2</v>
      </c>
    </row>
    <row r="255" spans="3:56" x14ac:dyDescent="0.25">
      <c r="C255" s="38">
        <f>'Asset Prices'!C255</f>
        <v>42586</v>
      </c>
      <c r="D255" s="1">
        <f>'Asset Prices'!D255/'Asset Prices'!D256-1</f>
        <v>3.6620785452710081E-3</v>
      </c>
      <c r="E255" s="1">
        <f>'Asset Prices'!E255/'Asset Prices'!E256-1</f>
        <v>-7.8198310916484104E-3</v>
      </c>
      <c r="F255" s="1">
        <f>'Asset Prices'!F255/'Asset Prices'!F256-1</f>
        <v>-1.1902614968440139E-2</v>
      </c>
      <c r="G255" s="1">
        <f>'Asset Prices'!G255/'Asset Prices'!G256-1</f>
        <v>-7.0405438213158034E-3</v>
      </c>
      <c r="H255" s="1">
        <f>'Asset Prices'!H255/'Asset Prices'!H256-1</f>
        <v>-1.3868789194404263E-2</v>
      </c>
      <c r="I255" s="1">
        <f>'Asset Prices'!I255/'Asset Prices'!I256-1</f>
        <v>-5.1200000000000134E-3</v>
      </c>
      <c r="J255" s="1">
        <f>'Asset Prices'!J255/'Asset Prices'!J256-1</f>
        <v>1.466359976998266E-2</v>
      </c>
      <c r="K255" s="1">
        <f>'Asset Prices'!K255/'Asset Prices'!K256-1</f>
        <v>1.0842268904213359E-2</v>
      </c>
      <c r="L255" s="1">
        <f>'Asset Prices'!L255/'Asset Prices'!L256-1</f>
        <v>1.9530823786142903E-2</v>
      </c>
      <c r="M255" s="1">
        <f>'Asset Prices'!M255/'Asset Prices'!M256-1</f>
        <v>2.0992705924212762E-2</v>
      </c>
      <c r="N255" s="1">
        <f>'Asset Prices'!N255/'Asset Prices'!N256-1</f>
        <v>4.1013788780946303E-2</v>
      </c>
      <c r="O255" s="1">
        <f>'Asset Prices'!O255/'Asset Prices'!O256-1</f>
        <v>-5.6578356533453222E-3</v>
      </c>
      <c r="P255" s="1">
        <f>'Asset Prices'!P255/'Asset Prices'!P256-1</f>
        <v>1.8338529249950497E-4</v>
      </c>
      <c r="Q255" s="1">
        <f>'Asset Prices'!Q255/'Asset Prices'!Q256-1</f>
        <v>7.5515947467166944E-2</v>
      </c>
      <c r="R255" s="1">
        <f>'Asset Prices'!R255/'Asset Prices'!R256-1</f>
        <v>-1.0283363802559342E-2</v>
      </c>
      <c r="S255" s="1">
        <f>'Asset Prices'!S255/'Asset Prices'!S256-1</f>
        <v>-7.5187969924812581E-3</v>
      </c>
      <c r="T255" s="1">
        <f>'Asset Prices'!T255/'Asset Prices'!T256-1</f>
        <v>9.5065007689081327E-3</v>
      </c>
      <c r="U255" s="1">
        <f>'Asset Prices'!U255/'Asset Prices'!U256-1</f>
        <v>-1.1424069332282905E-2</v>
      </c>
      <c r="V255" s="1">
        <f>'Asset Prices'!V255/'Asset Prices'!V256-1</f>
        <v>-5.1159900579950346E-2</v>
      </c>
      <c r="W255" s="1">
        <f>'Asset Prices'!W255/'Asset Prices'!W256-1</f>
        <v>5.1081730769231282E-3</v>
      </c>
      <c r="X255" s="1">
        <f>'Asset Prices'!X255/'Asset Prices'!X256-1</f>
        <v>-2.8022417934347454E-2</v>
      </c>
      <c r="Y255" s="1">
        <f>'Asset Prices'!Y255/'Asset Prices'!Y256-1</f>
        <v>1.3482280462203455E-2</v>
      </c>
      <c r="Z255" s="1">
        <f>'Asset Prices'!Z255/'Asset Prices'!Z256-1</f>
        <v>-6.7720090293453716E-2</v>
      </c>
      <c r="AA255" s="1">
        <f>'Asset Prices'!AA255/'Asset Prices'!AA256-1</f>
        <v>-7.0891514500537101E-2</v>
      </c>
      <c r="AB255" s="1">
        <f>'Asset Prices'!AB255/'Asset Prices'!AB256-1</f>
        <v>3.4843205574912828E-2</v>
      </c>
      <c r="AC255" s="1">
        <f>'Asset Prices'!AC255/'Asset Prices'!AC256-1</f>
        <v>-1.2093938967796314E-2</v>
      </c>
      <c r="AD255" s="1">
        <f>'Asset Prices'!AD255/'Asset Prices'!AD256-1</f>
        <v>0.12474437627811863</v>
      </c>
      <c r="AE255" s="1">
        <f>'Asset Prices'!AE255/'Asset Prices'!AE256-1</f>
        <v>0.18903436988543354</v>
      </c>
      <c r="AF255" s="1">
        <f>'Asset Prices'!AF255/'Asset Prices'!AF256-1</f>
        <v>-4.3761301989149959E-2</v>
      </c>
      <c r="AG255" s="1">
        <f>'Asset Prices'!AG255/'Asset Prices'!AG256-1</f>
        <v>3.7138389366692781E-2</v>
      </c>
      <c r="AH255" s="1">
        <f>'Asset Prices'!AH255/'Asset Prices'!AH256-1</f>
        <v>2.1280788177339804E-2</v>
      </c>
      <c r="AI255" s="1">
        <f>'Asset Prices'!AI255/'Asset Prices'!AI256-1</f>
        <v>2.8768233387358011E-2</v>
      </c>
      <c r="AJ255" s="1">
        <f>'Asset Prices'!AJ255/'Asset Prices'!AJ256-1</f>
        <v>-7.0430733410942858E-2</v>
      </c>
      <c r="AK255" s="1">
        <f>'Asset Prices'!AK255/'Asset Prices'!AK256-1</f>
        <v>-8.9791555318011751E-2</v>
      </c>
      <c r="AL255" s="1">
        <f>'Asset Prices'!AL255/'Asset Prices'!AL256-1</f>
        <v>-2.8776978417266452E-3</v>
      </c>
      <c r="AM255" s="1">
        <f>'Asset Prices'!AM255/'Asset Prices'!AM256-1</f>
        <v>1.115448968209698E-3</v>
      </c>
      <c r="AN255" s="1">
        <f>'Asset Prices'!AN255/'Asset Prices'!AN256-1</f>
        <v>-9.5685455810712305E-4</v>
      </c>
      <c r="AO255" s="1">
        <f>'Asset Prices'!AO255/'Asset Prices'!AO256-1</f>
        <v>-1.6952242070725432E-2</v>
      </c>
      <c r="AP255" s="1">
        <f>'Asset Prices'!AP255/'Asset Prices'!AP256-1</f>
        <v>6.1546036435267126E-4</v>
      </c>
      <c r="AQ255" s="1">
        <f>'Asset Prices'!AQ255/'Asset Prices'!AQ256-1</f>
        <v>-3.6542176432710849E-2</v>
      </c>
      <c r="AR255" s="1">
        <f>'Asset Prices'!AR255/'Asset Prices'!AR256-1</f>
        <v>5.2495898757909609E-2</v>
      </c>
      <c r="AS255" s="1">
        <f>'Asset Prices'!AS255/'Asset Prices'!AS256-1</f>
        <v>3.9169520547945202E-2</v>
      </c>
      <c r="AT255" s="1">
        <f>'Asset Prices'!AT255/'Asset Prices'!AT256-1</f>
        <v>-6.3669689369091342E-3</v>
      </c>
      <c r="AU255" s="1">
        <f>'Asset Prices'!AU255/'Asset Prices'!AU256-1</f>
        <v>-2.5176176403728157E-2</v>
      </c>
      <c r="AV255" s="1">
        <f>'Asset Prices'!AV255/'Asset Prices'!AV256-1</f>
        <v>-5.2018310445289817E-4</v>
      </c>
      <c r="AW255" s="1">
        <f>'Asset Prices'!AW255/'Asset Prices'!AW256-1</f>
        <v>7.5713087248322042E-2</v>
      </c>
      <c r="AX255" s="1">
        <f>'Asset Prices'!AX255/'Asset Prices'!AX256-1</f>
        <v>-7.407407407407407E-2</v>
      </c>
      <c r="AY255" s="1">
        <f>'Asset Prices'!AY255/'Asset Prices'!AY256-1</f>
        <v>-1.6611295681063121E-2</v>
      </c>
      <c r="AZ255" s="1">
        <f>'Asset Prices'!AZ255/'Asset Prices'!AZ256-1</f>
        <v>-2.2935779816513846E-2</v>
      </c>
      <c r="BA255" s="1">
        <f>'Asset Prices'!BA255/'Asset Prices'!BA256-1</f>
        <v>7.319623562216826E-3</v>
      </c>
      <c r="BB255" s="1">
        <f>'Asset Prices'!BB255/'Asset Prices'!BB256-1</f>
        <v>-7.7543424317618737E-3</v>
      </c>
      <c r="BC255" s="1">
        <f>'Asset Prices'!BC255/'Asset Prices'!BC256-1</f>
        <v>-7.42031134173462E-2</v>
      </c>
      <c r="BD255" s="1">
        <f>'Asset Prices'!BD255/'Asset Prices'!BD256-1</f>
        <v>4.0791841631673265E-3</v>
      </c>
    </row>
    <row r="256" spans="3:56" x14ac:dyDescent="0.25">
      <c r="C256" s="38">
        <f>'Asset Prices'!C256</f>
        <v>42579</v>
      </c>
      <c r="D256" s="1">
        <f>'Asset Prices'!D256/'Asset Prices'!D257-1</f>
        <v>5.0767863942122737E-3</v>
      </c>
      <c r="E256" s="1">
        <f>'Asset Prices'!E256/'Asset Prices'!E257-1</f>
        <v>-2.1426385062748743E-2</v>
      </c>
      <c r="F256" s="1">
        <f>'Asset Prices'!F256/'Asset Prices'!F257-1</f>
        <v>-2.7022284611335268E-2</v>
      </c>
      <c r="G256" s="1">
        <f>'Asset Prices'!G256/'Asset Prices'!G257-1</f>
        <v>2.9218407596784957E-3</v>
      </c>
      <c r="H256" s="1">
        <f>'Asset Prices'!H256/'Asset Prices'!H257-1</f>
        <v>3.6370453693288285E-2</v>
      </c>
      <c r="I256" s="1">
        <f>'Asset Prices'!I256/'Asset Prices'!I257-1</f>
        <v>3.6398308597960449E-2</v>
      </c>
      <c r="J256" s="1">
        <f>'Asset Prices'!J256/'Asset Prices'!J257-1</f>
        <v>4.9381474404103454E-2</v>
      </c>
      <c r="K256" s="1">
        <f>'Asset Prices'!K256/'Asset Prices'!K257-1</f>
        <v>1.0988272906787833E-2</v>
      </c>
      <c r="L256" s="1">
        <f>'Asset Prices'!L256/'Asset Prices'!L257-1</f>
        <v>6.582160716362373E-2</v>
      </c>
      <c r="M256" s="1">
        <f>'Asset Prices'!M256/'Asset Prices'!M257-1</f>
        <v>7.34767025089611E-3</v>
      </c>
      <c r="N256" s="1">
        <f>'Asset Prices'!N256/'Asset Prices'!N257-1</f>
        <v>1.5150912633713931E-2</v>
      </c>
      <c r="O256" s="1">
        <f>'Asset Prices'!O256/'Asset Prices'!O257-1</f>
        <v>1.6059859476229565E-2</v>
      </c>
      <c r="P256" s="1">
        <f>'Asset Prices'!P256/'Asset Prices'!P257-1</f>
        <v>-1.0883366588064436E-2</v>
      </c>
      <c r="Q256" s="1">
        <f>'Asset Prices'!Q256/'Asset Prices'!Q257-1</f>
        <v>3.0947775628626717E-2</v>
      </c>
      <c r="R256" s="1">
        <f>'Asset Prices'!R256/'Asset Prices'!R257-1</f>
        <v>-2.7347310847767314E-3</v>
      </c>
      <c r="S256" s="1">
        <f>'Asset Prices'!S256/'Asset Prices'!S257-1</f>
        <v>2.9625639644492718E-3</v>
      </c>
      <c r="T256" s="1">
        <f>'Asset Prices'!T256/'Asset Prices'!T257-1</f>
        <v>1.6339869281045916E-2</v>
      </c>
      <c r="U256" s="1">
        <f>'Asset Prices'!U256/'Asset Prices'!U257-1</f>
        <v>8.691928923142811E-2</v>
      </c>
      <c r="V256" s="1">
        <f>'Asset Prices'!V256/'Asset Prices'!V257-1</f>
        <v>-1.1668372569089036E-2</v>
      </c>
      <c r="W256" s="1">
        <f>'Asset Prices'!W256/'Asset Prices'!W257-1</f>
        <v>3.0978934324659146E-2</v>
      </c>
      <c r="X256" s="1">
        <f>'Asset Prices'!X256/'Asset Prices'!X257-1</f>
        <v>4.019292604501512E-3</v>
      </c>
      <c r="Y256" s="1">
        <f>'Asset Prices'!Y256/'Asset Prices'!Y257-1</f>
        <v>-1.9637462246240189E-2</v>
      </c>
      <c r="Z256" s="1">
        <f>'Asset Prices'!Z256/'Asset Prices'!Z257-1</f>
        <v>-0.1140000000000001</v>
      </c>
      <c r="AA256" s="1">
        <f>'Asset Prices'!AA256/'Asset Prices'!AA257-1</f>
        <v>0</v>
      </c>
      <c r="AB256" s="1">
        <f>'Asset Prices'!AB256/'Asset Prices'!AB257-1</f>
        <v>3.6101083032491044E-2</v>
      </c>
      <c r="AC256" s="1">
        <f>'Asset Prices'!AC256/'Asset Prices'!AC257-1</f>
        <v>4.4506462984723827E-2</v>
      </c>
      <c r="AD256" s="1">
        <f>'Asset Prices'!AD256/'Asset Prices'!AD257-1</f>
        <v>4.4128113879003505E-2</v>
      </c>
      <c r="AE256" s="1">
        <f>'Asset Prices'!AE256/'Asset Prices'!AE257-1</f>
        <v>2.3450586264656792E-2</v>
      </c>
      <c r="AF256" s="1">
        <f>'Asset Prices'!AF256/'Asset Prices'!AF257-1</f>
        <v>-4.2921426098996296E-2</v>
      </c>
      <c r="AG256" s="1">
        <f>'Asset Prices'!AG256/'Asset Prices'!AG257-1</f>
        <v>-3.1176929072487258E-3</v>
      </c>
      <c r="AH256" s="1">
        <f>'Asset Prices'!AH256/'Asset Prices'!AH257-1</f>
        <v>1.9076305220883549E-2</v>
      </c>
      <c r="AI256" s="1">
        <f>'Asset Prices'!AI256/'Asset Prices'!AI257-1</f>
        <v>0.23133211375353402</v>
      </c>
      <c r="AJ256" s="1">
        <f>'Asset Prices'!AJ256/'Asset Prices'!AJ257-1</f>
        <v>-1.3777267508610858E-2</v>
      </c>
      <c r="AK256" s="1">
        <f>'Asset Prices'!AK256/'Asset Prices'!AK257-1</f>
        <v>7.5287356321839249E-2</v>
      </c>
      <c r="AL256" s="1">
        <f>'Asset Prices'!AL256/'Asset Prices'!AL257-1</f>
        <v>-3.7789940057335603E-3</v>
      </c>
      <c r="AM256" s="1">
        <f>'Asset Prices'!AM256/'Asset Prices'!AM257-1</f>
        <v>5.7338734808352054E-3</v>
      </c>
      <c r="AN256" s="1">
        <f>'Asset Prices'!AN256/'Asset Prices'!AN257-1</f>
        <v>-6.2010443864229825E-2</v>
      </c>
      <c r="AO256" s="1">
        <f>'Asset Prices'!AO256/'Asset Prices'!AO257-1</f>
        <v>-9.2107639515982553E-3</v>
      </c>
      <c r="AP256" s="1">
        <f>'Asset Prices'!AP256/'Asset Prices'!AP257-1</f>
        <v>2.6664981675723398E-2</v>
      </c>
      <c r="AQ256" s="1">
        <f>'Asset Prices'!AQ256/'Asset Prices'!AQ257-1</f>
        <v>6.5157750342935472E-2</v>
      </c>
      <c r="AR256" s="1">
        <f>'Asset Prices'!AR256/'Asset Prices'!AR257-1</f>
        <v>5.3060217176702729E-2</v>
      </c>
      <c r="AS256" s="1">
        <f>'Asset Prices'!AS256/'Asset Prices'!AS257-1</f>
        <v>-2.9876227059325577E-3</v>
      </c>
      <c r="AT256" s="1">
        <f>'Asset Prices'!AT256/'Asset Prices'!AT257-1</f>
        <v>1.7394665635870332E-3</v>
      </c>
      <c r="AU256" s="1">
        <f>'Asset Prices'!AU256/'Asset Prices'!AU257-1</f>
        <v>6.2907468832207325E-3</v>
      </c>
      <c r="AV256" s="1">
        <f>'Asset Prices'!AV256/'Asset Prices'!AV257-1</f>
        <v>1.5423621381787544E-2</v>
      </c>
      <c r="AW256" s="1">
        <f>'Asset Prices'!AW256/'Asset Prices'!AW257-1</f>
        <v>5.1842047209353703E-2</v>
      </c>
      <c r="AX256" s="1">
        <f>'Asset Prices'!AX256/'Asset Prices'!AX257-1</f>
        <v>0.12570006222775354</v>
      </c>
      <c r="AY256" s="1">
        <f>'Asset Prices'!AY256/'Asset Prices'!AY257-1</f>
        <v>0</v>
      </c>
      <c r="AZ256" s="1">
        <f>'Asset Prices'!AZ256/'Asset Prices'!AZ257-1</f>
        <v>-2.7377813830865905E-2</v>
      </c>
      <c r="BA256" s="1">
        <f>'Asset Prices'!BA256/'Asset Prices'!BA257-1</f>
        <v>-1.7397355601947995E-3</v>
      </c>
      <c r="BB256" s="1">
        <f>'Asset Prices'!BB256/'Asset Prices'!BB257-1</f>
        <v>-1.752247447813482E-2</v>
      </c>
      <c r="BC256" s="1">
        <f>'Asset Prices'!BC256/'Asset Prices'!BC257-1</f>
        <v>-3.6290898699814167E-2</v>
      </c>
      <c r="BD256" s="1">
        <f>'Asset Prices'!BD256/'Asset Prices'!BD257-1</f>
        <v>-4.5464956481905627E-2</v>
      </c>
    </row>
    <row r="257" spans="3:56" x14ac:dyDescent="0.25">
      <c r="C257" s="38">
        <f>'Asset Prices'!C257</f>
        <v>42572</v>
      </c>
      <c r="D257" s="1">
        <f>'Asset Prices'!D257/'Asset Prices'!D258-1</f>
        <v>8.3184028666496435E-3</v>
      </c>
      <c r="E257" s="1">
        <f>'Asset Prices'!E257/'Asset Prices'!E258-1</f>
        <v>-1.9605881764529265E-2</v>
      </c>
      <c r="F257" s="1">
        <f>'Asset Prices'!F257/'Asset Prices'!F258-1</f>
        <v>-2.5645409471704572E-2</v>
      </c>
      <c r="G257" s="1">
        <f>'Asset Prices'!G257/'Asset Prices'!G258-1</f>
        <v>-1.4398848092152639E-2</v>
      </c>
      <c r="H257" s="1">
        <f>'Asset Prices'!H257/'Asset Prices'!H258-1</f>
        <v>-6.2453160129893881E-4</v>
      </c>
      <c r="I257" s="1">
        <f>'Asset Prices'!I257/'Asset Prices'!I258-1</f>
        <v>2.8305908432091353E-2</v>
      </c>
      <c r="J257" s="1">
        <f>'Asset Prices'!J257/'Asset Prices'!J258-1</f>
        <v>6.4783885008603548E-3</v>
      </c>
      <c r="K257" s="1">
        <f>'Asset Prices'!K257/'Asset Prices'!K258-1</f>
        <v>4.3577981651374831E-3</v>
      </c>
      <c r="L257" s="1">
        <f>'Asset Prices'!L257/'Asset Prices'!L258-1</f>
        <v>-0.12273005509079782</v>
      </c>
      <c r="M257" s="1">
        <f>'Asset Prices'!M257/'Asset Prices'!M258-1</f>
        <v>3.8332713062895429E-2</v>
      </c>
      <c r="N257" s="1">
        <f>'Asset Prices'!N257/'Asset Prices'!N258-1</f>
        <v>2.5292198967110657E-2</v>
      </c>
      <c r="O257" s="1">
        <f>'Asset Prices'!O257/'Asset Prices'!O258-1</f>
        <v>1.3877324451845752E-2</v>
      </c>
      <c r="P257" s="1">
        <f>'Asset Prices'!P257/'Asset Prices'!P258-1</f>
        <v>1.5223129335215635E-2</v>
      </c>
      <c r="Q257" s="1">
        <f>'Asset Prices'!Q257/'Asset Prices'!Q258-1</f>
        <v>-6.3663663663663383E-3</v>
      </c>
      <c r="R257" s="1">
        <f>'Asset Prices'!R257/'Asset Prices'!R258-1</f>
        <v>6.191240541160381E-3</v>
      </c>
      <c r="S257" s="1">
        <f>'Asset Prices'!S257/'Asset Prices'!S258-1</f>
        <v>1.0784578053384397E-3</v>
      </c>
      <c r="T257" s="1">
        <f>'Asset Prices'!T257/'Asset Prices'!T258-1</f>
        <v>-9.9361249112861483E-4</v>
      </c>
      <c r="U257" s="1">
        <f>'Asset Prices'!U257/'Asset Prices'!U258-1</f>
        <v>1.5214083894805608E-2</v>
      </c>
      <c r="V257" s="1">
        <f>'Asset Prices'!V257/'Asset Prices'!V258-1</f>
        <v>1.6403526758250742E-3</v>
      </c>
      <c r="W257" s="1">
        <f>'Asset Prices'!W257/'Asset Prices'!W258-1</f>
        <v>1.6372795969773257E-2</v>
      </c>
      <c r="X257" s="1">
        <f>'Asset Prices'!X257/'Asset Prices'!X258-1</f>
        <v>-0.13551077136900624</v>
      </c>
      <c r="Y257" s="1">
        <f>'Asset Prices'!Y257/'Asset Prices'!Y258-1</f>
        <v>2.5164537338816295E-2</v>
      </c>
      <c r="Z257" s="1">
        <f>'Asset Prices'!Z257/'Asset Prices'!Z258-1</f>
        <v>-3.8461538461538547E-2</v>
      </c>
      <c r="AA257" s="1">
        <f>'Asset Prices'!AA257/'Asset Prices'!AA258-1</f>
        <v>-6.7567567567567988E-3</v>
      </c>
      <c r="AB257" s="1">
        <f>'Asset Prices'!AB257/'Asset Prices'!AB258-1</f>
        <v>-2.4647887323943629E-2</v>
      </c>
      <c r="AC257" s="1">
        <f>'Asset Prices'!AC257/'Asset Prices'!AC258-1</f>
        <v>-1.6042780748663055E-2</v>
      </c>
      <c r="AD257" s="1">
        <f>'Asset Prices'!AD257/'Asset Prices'!AD258-1</f>
        <v>6.6413662239089177E-2</v>
      </c>
      <c r="AE257" s="1">
        <f>'Asset Prices'!AE257/'Asset Prices'!AE258-1</f>
        <v>-1.5257731958762899E-2</v>
      </c>
      <c r="AF257" s="1">
        <f>'Asset Prices'!AF257/'Asset Prices'!AF258-1</f>
        <v>2.5195173882186062E-2</v>
      </c>
      <c r="AG257" s="1">
        <f>'Asset Prices'!AG257/'Asset Prices'!AG258-1</f>
        <v>4.5639771801140983E-2</v>
      </c>
      <c r="AH257" s="1">
        <f>'Asset Prices'!AH257/'Asset Prices'!AH258-1</f>
        <v>-3.4020412247348641E-3</v>
      </c>
      <c r="AI257" s="1">
        <f>'Asset Prices'!AI257/'Asset Prices'!AI258-1</f>
        <v>2.9447012497860081E-2</v>
      </c>
      <c r="AJ257" s="1">
        <f>'Asset Prices'!AJ257/'Asset Prices'!AJ258-1</f>
        <v>3.4562211981568058E-3</v>
      </c>
      <c r="AK257" s="1">
        <f>'Asset Prices'!AK257/'Asset Prices'!AK258-1</f>
        <v>-6.3004846526655944E-2</v>
      </c>
      <c r="AL257" s="1">
        <f>'Asset Prices'!AL257/'Asset Prices'!AL258-1</f>
        <v>-4.7983400337181514E-3</v>
      </c>
      <c r="AM257" s="1">
        <f>'Asset Prices'!AM257/'Asset Prices'!AM258-1</f>
        <v>1.0606438732216894E-3</v>
      </c>
      <c r="AN257" s="1">
        <f>'Asset Prices'!AN257/'Asset Prices'!AN258-1</f>
        <v>2.1259198691740977E-3</v>
      </c>
      <c r="AO257" s="1">
        <f>'Asset Prices'!AO257/'Asset Prices'!AO258-1</f>
        <v>-8.4169054441262103E-3</v>
      </c>
      <c r="AP257" s="1">
        <f>'Asset Prices'!AP257/'Asset Prices'!AP258-1</f>
        <v>1.3837283792440758E-2</v>
      </c>
      <c r="AQ257" s="1">
        <f>'Asset Prices'!AQ257/'Asset Prices'!AQ258-1</f>
        <v>-2.0533880903490509E-3</v>
      </c>
      <c r="AR257" s="1">
        <f>'Asset Prices'!AR257/'Asset Prices'!AR258-1</f>
        <v>-2.6429601153291626E-2</v>
      </c>
      <c r="AS257" s="1">
        <f>'Asset Prices'!AS257/'Asset Prices'!AS258-1</f>
        <v>3.2613486117232249E-2</v>
      </c>
      <c r="AT257" s="1">
        <f>'Asset Prices'!AT257/'Asset Prices'!AT258-1</f>
        <v>-4.4256301712526369E-3</v>
      </c>
      <c r="AU257" s="1">
        <f>'Asset Prices'!AU257/'Asset Prices'!AU258-1</f>
        <v>-9.4601484166996208E-3</v>
      </c>
      <c r="AV257" s="1">
        <f>'Asset Prices'!AV257/'Asset Prices'!AV258-1</f>
        <v>-3.5789473684211259E-3</v>
      </c>
      <c r="AW257" s="1">
        <f>'Asset Prices'!AW257/'Asset Prices'!AW258-1</f>
        <v>-1.9891891891891889E-2</v>
      </c>
      <c r="AX257" s="1">
        <f>'Asset Prices'!AX257/'Asset Prices'!AX258-1</f>
        <v>-2.9003021148036323E-2</v>
      </c>
      <c r="AY257" s="1">
        <f>'Asset Prices'!AY257/'Asset Prices'!AY258-1</f>
        <v>-2.8684116170670459E-2</v>
      </c>
      <c r="AZ257" s="1">
        <f>'Asset Prices'!AZ257/'Asset Prices'!AZ258-1</f>
        <v>1.6250253910217172E-3</v>
      </c>
      <c r="BA257" s="1">
        <f>'Asset Prices'!BA257/'Asset Prices'!BA258-1</f>
        <v>1.1615628299894265E-2</v>
      </c>
      <c r="BB257" s="1">
        <f>'Asset Prices'!BB257/'Asset Prices'!BB258-1</f>
        <v>-4.3992718446602685E-3</v>
      </c>
      <c r="BC257" s="1">
        <f>'Asset Prices'!BC257/'Asset Prices'!BC258-1</f>
        <v>-6.4117135789262591E-2</v>
      </c>
      <c r="BD257" s="1">
        <f>'Asset Prices'!BD257/'Asset Prices'!BD258-1</f>
        <v>-1.1210508436190758E-2</v>
      </c>
    </row>
    <row r="258" spans="3:56" x14ac:dyDescent="0.25">
      <c r="C258" s="38">
        <f>'Asset Prices'!C258</f>
        <v>42565</v>
      </c>
      <c r="D258" s="1">
        <f>'Asset Prices'!D258/'Asset Prices'!D259-1</f>
        <v>4.8718292846597677E-2</v>
      </c>
      <c r="E258" s="1">
        <f>'Asset Prices'!E258/'Asset Prices'!E259-1</f>
        <v>1.5852047556142779E-2</v>
      </c>
      <c r="F258" s="1">
        <f>'Asset Prices'!F258/'Asset Prices'!F259-1</f>
        <v>4.5958512160228837E-2</v>
      </c>
      <c r="G258" s="1">
        <f>'Asset Prices'!G258/'Asset Prices'!G259-1</f>
        <v>2.812731310140637E-2</v>
      </c>
      <c r="H258" s="1">
        <f>'Asset Prices'!H258/'Asset Prices'!H259-1</f>
        <v>6.6755496335776154E-2</v>
      </c>
      <c r="I258" s="1">
        <f>'Asset Prices'!I258/'Asset Prices'!I259-1</f>
        <v>1.2429866206301377E-2</v>
      </c>
      <c r="J258" s="1">
        <f>'Asset Prices'!J258/'Asset Prices'!J259-1</f>
        <v>2.9706066291432132E-2</v>
      </c>
      <c r="K258" s="1">
        <f>'Asset Prices'!K258/'Asset Prices'!K259-1</f>
        <v>6.2858927189539671E-3</v>
      </c>
      <c r="L258" s="1">
        <f>'Asset Prices'!L258/'Asset Prices'!L259-1</f>
        <v>3.0704521556256692E-2</v>
      </c>
      <c r="M258" s="1">
        <f>'Asset Prices'!M258/'Asset Prices'!M259-1</f>
        <v>4.5932269365511758E-2</v>
      </c>
      <c r="N258" s="1">
        <f>'Asset Prices'!N258/'Asset Prices'!N259-1</f>
        <v>4.0352911234906585E-2</v>
      </c>
      <c r="O258" s="1">
        <f>'Asset Prices'!O258/'Asset Prices'!O259-1</f>
        <v>-1.7720828789531073E-2</v>
      </c>
      <c r="P258" s="1">
        <f>'Asset Prices'!P258/'Asset Prices'!P259-1</f>
        <v>-1.8673573881091476E-2</v>
      </c>
      <c r="Q258" s="1">
        <f>'Asset Prices'!Q258/'Asset Prices'!Q259-1</f>
        <v>1.660764440102569E-2</v>
      </c>
      <c r="R258" s="1">
        <f>'Asset Prices'!R258/'Asset Prices'!R259-1</f>
        <v>-1.6019855595667876E-2</v>
      </c>
      <c r="S258" s="1">
        <f>'Asset Prices'!S258/'Asset Prices'!S259-1</f>
        <v>3.2458750338113518E-3</v>
      </c>
      <c r="T258" s="1">
        <f>'Asset Prices'!T258/'Asset Prices'!T259-1</f>
        <v>3.0573434757168005E-2</v>
      </c>
      <c r="U258" s="1">
        <f>'Asset Prices'!U258/'Asset Prices'!U259-1</f>
        <v>5.6244260789715339E-2</v>
      </c>
      <c r="V258" s="1">
        <f>'Asset Prices'!V258/'Asset Prices'!V259-1</f>
        <v>2.6953042745841316E-2</v>
      </c>
      <c r="W258" s="1">
        <f>'Asset Prices'!W258/'Asset Prices'!W259-1</f>
        <v>3.7908496732026231E-2</v>
      </c>
      <c r="X258" s="1">
        <f>'Asset Prices'!X258/'Asset Prices'!X259-1</f>
        <v>8.3312421580928442E-2</v>
      </c>
      <c r="Y258" s="1">
        <f>'Asset Prices'!Y258/'Asset Prices'!Y259-1</f>
        <v>2.6221525734503537E-2</v>
      </c>
      <c r="Z258" s="1">
        <f>'Asset Prices'!Z258/'Asset Prices'!Z259-1</f>
        <v>9.8204857444561755E-2</v>
      </c>
      <c r="AA258" s="1">
        <f>'Asset Prices'!AA258/'Asset Prices'!AA259-1</f>
        <v>5.9932152280437245E-2</v>
      </c>
      <c r="AB258" s="1">
        <f>'Asset Prices'!AB258/'Asset Prices'!AB259-1</f>
        <v>2.898550724637694E-2</v>
      </c>
      <c r="AC258" s="1">
        <f>'Asset Prices'!AC258/'Asset Prices'!AC259-1</f>
        <v>1.98997641509433E-2</v>
      </c>
      <c r="AD258" s="1">
        <f>'Asset Prices'!AD258/'Asset Prices'!AD259-1</f>
        <v>7.8591895210806451E-2</v>
      </c>
      <c r="AE258" s="1">
        <f>'Asset Prices'!AE258/'Asset Prices'!AE259-1</f>
        <v>6.5465729349736268E-2</v>
      </c>
      <c r="AF258" s="1">
        <f>'Asset Prices'!AF258/'Asset Prices'!AF259-1</f>
        <v>0.12765106042416963</v>
      </c>
      <c r="AG258" s="1">
        <f>'Asset Prices'!AG258/'Asset Prices'!AG259-1</f>
        <v>1.9950124688279391E-2</v>
      </c>
      <c r="AH258" s="1">
        <f>'Asset Prices'!AH258/'Asset Prices'!AH259-1</f>
        <v>6.6140388308086218E-2</v>
      </c>
      <c r="AI258" s="1">
        <f>'Asset Prices'!AI258/'Asset Prices'!AI259-1</f>
        <v>6.4904284412032665E-2</v>
      </c>
      <c r="AJ258" s="1">
        <f>'Asset Prices'!AJ258/'Asset Prices'!AJ259-1</f>
        <v>-1.4196479273140272E-2</v>
      </c>
      <c r="AK258" s="1">
        <f>'Asset Prices'!AK258/'Asset Prices'!AK259-1</f>
        <v>0.11531531531531547</v>
      </c>
      <c r="AL258" s="1">
        <f>'Asset Prices'!AL258/'Asset Prices'!AL259-1</f>
        <v>9.086188992730726E-4</v>
      </c>
      <c r="AM258" s="1">
        <f>'Asset Prices'!AM258/'Asset Prices'!AM259-1</f>
        <v>5.0327653997378707E-2</v>
      </c>
      <c r="AN258" s="1">
        <f>'Asset Prices'!AN258/'Asset Prices'!AN259-1</f>
        <v>1.0493266132363788E-2</v>
      </c>
      <c r="AO258" s="1">
        <f>'Asset Prices'!AO258/'Asset Prices'!AO259-1</f>
        <v>8.3062477428674786E-3</v>
      </c>
      <c r="AP258" s="1">
        <f>'Asset Prices'!AP258/'Asset Prices'!AP259-1</f>
        <v>1.0094473922608982E-2</v>
      </c>
      <c r="AQ258" s="1">
        <f>'Asset Prices'!AQ258/'Asset Prices'!AQ259-1</f>
        <v>6.5062875888463712E-2</v>
      </c>
      <c r="AR258" s="1">
        <f>'Asset Prices'!AR258/'Asset Prices'!AR259-1</f>
        <v>1.611328125E-2</v>
      </c>
      <c r="AS258" s="1">
        <f>'Asset Prices'!AS258/'Asset Prices'!AS259-1</f>
        <v>3.844393592677342E-2</v>
      </c>
      <c r="AT258" s="1">
        <f>'Asset Prices'!AT258/'Asset Prices'!AT259-1</f>
        <v>1.5237351045126024E-2</v>
      </c>
      <c r="AU258" s="1">
        <f>'Asset Prices'!AU258/'Asset Prices'!AU259-1</f>
        <v>1.9402898885488407E-2</v>
      </c>
      <c r="AV258" s="1">
        <f>'Asset Prices'!AV258/'Asset Prices'!AV259-1</f>
        <v>3.9099651273382108E-3</v>
      </c>
      <c r="AW258" s="1">
        <f>'Asset Prices'!AW258/'Asset Prices'!AW259-1</f>
        <v>3.1215161649944312E-2</v>
      </c>
      <c r="AX258" s="1">
        <f>'Asset Prices'!AX258/'Asset Prices'!AX259-1</f>
        <v>3.4375000000000044E-2</v>
      </c>
      <c r="AY258" s="1">
        <f>'Asset Prices'!AY258/'Asset Prices'!AY259-1</f>
        <v>2.801326944342053E-2</v>
      </c>
      <c r="AZ258" s="1">
        <f>'Asset Prices'!AZ258/'Asset Prices'!AZ259-1</f>
        <v>5.4401370743199839E-2</v>
      </c>
      <c r="BA258" s="1">
        <f>'Asset Prices'!BA258/'Asset Prices'!BA259-1</f>
        <v>5.2612078547610297E-2</v>
      </c>
      <c r="BB258" s="1">
        <f>'Asset Prices'!BB258/'Asset Prices'!BB259-1</f>
        <v>8.2594065463446054E-3</v>
      </c>
      <c r="BC258" s="1">
        <f>'Asset Prices'!BC258/'Asset Prices'!BC259-1</f>
        <v>2.6702361339923097E-2</v>
      </c>
      <c r="BD258" s="1">
        <f>'Asset Prices'!BD258/'Asset Prices'!BD259-1</f>
        <v>4.6079128168680317E-2</v>
      </c>
    </row>
    <row r="259" spans="3:56" x14ac:dyDescent="0.25">
      <c r="C259" s="38">
        <f>'Asset Prices'!C259</f>
        <v>42558</v>
      </c>
      <c r="D259" s="1">
        <f>'Asset Prices'!D259/'Asset Prices'!D260-1</f>
        <v>4.5840636375893418E-3</v>
      </c>
      <c r="E259" s="1">
        <f>'Asset Prices'!E259/'Asset Prices'!E260-1</f>
        <v>6.0314864035984073E-3</v>
      </c>
      <c r="F259" s="1">
        <f>'Asset Prices'!F259/'Asset Prices'!F260-1</f>
        <v>1.304347826086949E-2</v>
      </c>
      <c r="G259" s="1">
        <f>'Asset Prices'!G259/'Asset Prices'!G260-1</f>
        <v>-9.7727827999022354E-3</v>
      </c>
      <c r="H259" s="1">
        <f>'Asset Prices'!H259/'Asset Prices'!H260-1</f>
        <v>-1.0025062656641714E-2</v>
      </c>
      <c r="I259" s="1">
        <f>'Asset Prices'!I259/'Asset Prices'!I260-1</f>
        <v>1.3738186909345362E-2</v>
      </c>
      <c r="J259" s="1">
        <f>'Asset Prices'!J259/'Asset Prices'!J260-1</f>
        <v>3.5564853556486753E-3</v>
      </c>
      <c r="K259" s="1">
        <f>'Asset Prices'!K259/'Asset Prices'!K260-1</f>
        <v>2.9275313713982287E-2</v>
      </c>
      <c r="L259" s="1">
        <f>'Asset Prices'!L259/'Asset Prices'!L260-1</f>
        <v>3.9571491036291873E-2</v>
      </c>
      <c r="M259" s="1">
        <f>'Asset Prices'!M259/'Asset Prices'!M260-1</f>
        <v>4.1039671682627787E-3</v>
      </c>
      <c r="N259" s="1">
        <f>'Asset Prices'!N259/'Asset Prices'!N260-1</f>
        <v>5.3018350319105068E-3</v>
      </c>
      <c r="O259" s="1">
        <f>'Asset Prices'!O259/'Asset Prices'!O260-1</f>
        <v>-3.0399154110494209E-2</v>
      </c>
      <c r="P259" s="1">
        <f>'Asset Prices'!P259/'Asset Prices'!P260-1</f>
        <v>3.6880290205560939E-3</v>
      </c>
      <c r="Q259" s="1">
        <f>'Asset Prices'!Q259/'Asset Prices'!Q260-1</f>
        <v>1.6635630043451366E-2</v>
      </c>
      <c r="R259" s="1">
        <f>'Asset Prices'!R259/'Asset Prices'!R260-1</f>
        <v>-1.0272443054935243E-2</v>
      </c>
      <c r="S259" s="1">
        <f>'Asset Prices'!S259/'Asset Prices'!S260-1</f>
        <v>-2.0662251655629182E-2</v>
      </c>
      <c r="T259" s="1">
        <f>'Asset Prices'!T259/'Asset Prices'!T260-1</f>
        <v>2.8588624736683776E-2</v>
      </c>
      <c r="U259" s="1">
        <f>'Asset Prices'!U259/'Asset Prices'!U260-1</f>
        <v>1.6095654173373664E-3</v>
      </c>
      <c r="V259" s="1">
        <f>'Asset Prices'!V259/'Asset Prices'!V260-1</f>
        <v>3.015184381778746E-2</v>
      </c>
      <c r="W259" s="1">
        <f>'Asset Prices'!W259/'Asset Prices'!W260-1</f>
        <v>0</v>
      </c>
      <c r="X259" s="1">
        <f>'Asset Prices'!X259/'Asset Prices'!X260-1</f>
        <v>1.6322366743177774E-2</v>
      </c>
      <c r="Y259" s="1">
        <f>'Asset Prices'!Y259/'Asset Prices'!Y260-1</f>
        <v>3.0091743141396066E-2</v>
      </c>
      <c r="Z259" s="1">
        <f>'Asset Prices'!Z259/'Asset Prices'!Z260-1</f>
        <v>1.5005359056806E-2</v>
      </c>
      <c r="AA259" s="1">
        <f>'Asset Prices'!AA259/'Asset Prices'!AA260-1</f>
        <v>-1.5584415584415479E-2</v>
      </c>
      <c r="AB259" s="1">
        <f>'Asset Prices'!AB259/'Asset Prices'!AB260-1</f>
        <v>0.10843373493975883</v>
      </c>
      <c r="AC259" s="1">
        <f>'Asset Prices'!AC259/'Asset Prices'!AC260-1</f>
        <v>5.8997050147491237E-4</v>
      </c>
      <c r="AD259" s="1">
        <f>'Asset Prices'!AD259/'Asset Prices'!AD260-1</f>
        <v>-6.9687738004569733E-2</v>
      </c>
      <c r="AE259" s="1">
        <f>'Asset Prices'!AE259/'Asset Prices'!AE260-1</f>
        <v>1.335707925200369E-2</v>
      </c>
      <c r="AF259" s="1">
        <f>'Asset Prices'!AF259/'Asset Prices'!AF260-1</f>
        <v>-4.5454545454545525E-2</v>
      </c>
      <c r="AG259" s="1">
        <f>'Asset Prices'!AG259/'Asset Prices'!AG260-1</f>
        <v>-3.334672559260754E-2</v>
      </c>
      <c r="AH259" s="1">
        <f>'Asset Prices'!AH259/'Asset Prices'!AH260-1</f>
        <v>4.0168664003550791E-2</v>
      </c>
      <c r="AI259" s="1">
        <f>'Asset Prices'!AI259/'Asset Prices'!AI260-1</f>
        <v>-8.4960231381056017E-3</v>
      </c>
      <c r="AJ259" s="1">
        <f>'Asset Prices'!AJ259/'Asset Prices'!AJ260-1</f>
        <v>-2.1666666666666723E-2</v>
      </c>
      <c r="AK259" s="1">
        <f>'Asset Prices'!AK259/'Asset Prices'!AK260-1</f>
        <v>5.4347826086955653E-3</v>
      </c>
      <c r="AL259" s="1">
        <f>'Asset Prices'!AL259/'Asset Prices'!AL260-1</f>
        <v>-8.1112398609500813E-3</v>
      </c>
      <c r="AM259" s="1">
        <f>'Asset Prices'!AM259/'Asset Prices'!AM260-1</f>
        <v>5.4025563315325265E-3</v>
      </c>
      <c r="AN259" s="1">
        <f>'Asset Prices'!AN259/'Asset Prices'!AN260-1</f>
        <v>1.00141867645831E-2</v>
      </c>
      <c r="AO259" s="1">
        <f>'Asset Prices'!AO259/'Asset Prices'!AO260-1</f>
        <v>-8.2378223495702674E-3</v>
      </c>
      <c r="AP259" s="1">
        <f>'Asset Prices'!AP259/'Asset Prices'!AP260-1</f>
        <v>5.1793344555206566E-4</v>
      </c>
      <c r="AQ259" s="1">
        <f>'Asset Prices'!AQ259/'Asset Prices'!AQ260-1</f>
        <v>1.2735326688815052E-2</v>
      </c>
      <c r="AR259" s="1">
        <f>'Asset Prices'!AR259/'Asset Prices'!AR260-1</f>
        <v>4.7034764826175968E-2</v>
      </c>
      <c r="AS259" s="1">
        <f>'Asset Prices'!AS259/'Asset Prices'!AS260-1</f>
        <v>1.0638297872340496E-2</v>
      </c>
      <c r="AT259" s="1">
        <f>'Asset Prices'!AT259/'Asset Prices'!AT260-1</f>
        <v>8.8687426093809751E-3</v>
      </c>
      <c r="AU259" s="1">
        <f>'Asset Prices'!AU259/'Asset Prices'!AU260-1</f>
        <v>2.1109735243823202E-2</v>
      </c>
      <c r="AV259" s="1">
        <f>'Asset Prices'!AV259/'Asset Prices'!AV260-1</f>
        <v>4.1383701188455468E-3</v>
      </c>
      <c r="AW259" s="1">
        <f>'Asset Prices'!AW259/'Asset Prices'!AW260-1</f>
        <v>3.7954177273779255E-2</v>
      </c>
      <c r="AX259" s="1">
        <f>'Asset Prices'!AX259/'Asset Prices'!AX260-1</f>
        <v>-2.853673345476615E-2</v>
      </c>
      <c r="AY259" s="1">
        <f>'Asset Prices'!AY259/'Asset Prices'!AY260-1</f>
        <v>-8.7687248812569063E-3</v>
      </c>
      <c r="AZ259" s="1">
        <f>'Asset Prices'!AZ259/'Asset Prices'!AZ260-1</f>
        <v>-9.3358794822830937E-3</v>
      </c>
      <c r="BA259" s="1">
        <f>'Asset Prices'!BA259/'Asset Prices'!BA260-1</f>
        <v>-5.1603391079985128E-3</v>
      </c>
      <c r="BB259" s="1">
        <f>'Asset Prices'!BB259/'Asset Prices'!BB260-1</f>
        <v>-1.8170896531010783E-2</v>
      </c>
      <c r="BC259" s="1">
        <f>'Asset Prices'!BC259/'Asset Prices'!BC260-1</f>
        <v>-3.8415841584158339E-2</v>
      </c>
      <c r="BD259" s="1">
        <f>'Asset Prices'!BD259/'Asset Prices'!BD260-1</f>
        <v>-2.1897810218978075E-2</v>
      </c>
    </row>
    <row r="260" spans="3:56" x14ac:dyDescent="0.25">
      <c r="C260" s="38">
        <f>'Asset Prices'!C260</f>
        <v>42551</v>
      </c>
      <c r="D260" s="1">
        <f>'Asset Prices'!D260/'Asset Prices'!D261-1</f>
        <v>-5.1898248753675102E-2</v>
      </c>
      <c r="E260" s="1">
        <f>'Asset Prices'!E260/'Asset Prices'!E261-1</f>
        <v>-1.2118763886083683E-2</v>
      </c>
      <c r="F260" s="1">
        <f>'Asset Prices'!F260/'Asset Prices'!F261-1</f>
        <v>1.9955654101995624E-2</v>
      </c>
      <c r="G260" s="1">
        <f>'Asset Prices'!G260/'Asset Prices'!G261-1</f>
        <v>2.4491795248591242E-3</v>
      </c>
      <c r="H260" s="1">
        <f>'Asset Prices'!H260/'Asset Prices'!H261-1</f>
        <v>-3.0810534390181443E-2</v>
      </c>
      <c r="I260" s="1">
        <f>'Asset Prices'!I260/'Asset Prices'!I261-1</f>
        <v>-6.9516857838025636E-3</v>
      </c>
      <c r="J260" s="1">
        <f>'Asset Prices'!J260/'Asset Prices'!J261-1</f>
        <v>-5.202913631633721E-3</v>
      </c>
      <c r="K260" s="1">
        <f>'Asset Prices'!K260/'Asset Prices'!K261-1</f>
        <v>-8.9463771327277231E-3</v>
      </c>
      <c r="L260" s="1">
        <f>'Asset Prices'!L260/'Asset Prices'!L261-1</f>
        <v>-1.9637791839405283E-3</v>
      </c>
      <c r="M260" s="1">
        <f>'Asset Prices'!M260/'Asset Prices'!M261-1</f>
        <v>-1.4255442111346439E-2</v>
      </c>
      <c r="N260" s="1">
        <f>'Asset Prices'!N260/'Asset Prices'!N261-1</f>
        <v>-1.586302404633011E-2</v>
      </c>
      <c r="O260" s="1">
        <f>'Asset Prices'!O260/'Asset Prices'!O261-1</f>
        <v>0.16855436573311366</v>
      </c>
      <c r="P260" s="1">
        <f>'Asset Prices'!P260/'Asset Prices'!P261-1</f>
        <v>6.0324379767933811E-2</v>
      </c>
      <c r="Q260" s="1">
        <f>'Asset Prices'!Q260/'Asset Prices'!Q261-1</f>
        <v>-1.5521877291615693E-2</v>
      </c>
      <c r="R260" s="1">
        <f>'Asset Prices'!R260/'Asset Prices'!R261-1</f>
        <v>4.8711943793910972E-2</v>
      </c>
      <c r="S260" s="1">
        <f>'Asset Prices'!S260/'Asset Prices'!S261-1</f>
        <v>-4.284989858012167E-2</v>
      </c>
      <c r="T260" s="1">
        <f>'Asset Prices'!T260/'Asset Prices'!T261-1</f>
        <v>-3.6113125453227091E-2</v>
      </c>
      <c r="U260" s="1">
        <f>'Asset Prices'!U260/'Asset Prices'!U261-1</f>
        <v>-5.7842287694973904E-2</v>
      </c>
      <c r="V260" s="1">
        <f>'Asset Prices'!V260/'Asset Prices'!V261-1</f>
        <v>-1.0304851867754428E-2</v>
      </c>
      <c r="W260" s="1">
        <f>'Asset Prices'!W260/'Asset Prices'!W261-1</f>
        <v>5.5865921787709993E-3</v>
      </c>
      <c r="X260" s="1">
        <f>'Asset Prices'!X260/'Asset Prices'!X261-1</f>
        <v>-9.5983834301591742E-3</v>
      </c>
      <c r="Y260" s="1">
        <f>'Asset Prices'!Y260/'Asset Prices'!Y261-1</f>
        <v>-5.4744525541374767E-3</v>
      </c>
      <c r="Z260" s="1">
        <f>'Asset Prices'!Z260/'Asset Prices'!Z261-1</f>
        <v>-4.1109969167523186E-2</v>
      </c>
      <c r="AA260" s="1">
        <f>'Asset Prices'!AA260/'Asset Prices'!AA261-1</f>
        <v>-7.0689655172413768E-2</v>
      </c>
      <c r="AB260" s="1">
        <f>'Asset Prices'!AB260/'Asset Prices'!AB261-1</f>
        <v>-2.3529411764705688E-2</v>
      </c>
      <c r="AC260" s="1">
        <f>'Asset Prices'!AC260/'Asset Prices'!AC261-1</f>
        <v>-1.8955288670235881E-2</v>
      </c>
      <c r="AD260" s="1">
        <f>'Asset Prices'!AD260/'Asset Prices'!AD261-1</f>
        <v>-7.6002814919071127E-2</v>
      </c>
      <c r="AE260" s="1">
        <f>'Asset Prices'!AE260/'Asset Prices'!AE261-1</f>
        <v>2.9566811826724715E-2</v>
      </c>
      <c r="AF260" s="1">
        <f>'Asset Prices'!AF260/'Asset Prices'!AF261-1</f>
        <v>-6.5000000000000058E-2</v>
      </c>
      <c r="AG260" s="1">
        <f>'Asset Prices'!AG260/'Asset Prices'!AG261-1</f>
        <v>1.9246519246519211E-2</v>
      </c>
      <c r="AH260" s="1">
        <f>'Asset Prices'!AH260/'Asset Prices'!AH261-1</f>
        <v>0.10468252022554547</v>
      </c>
      <c r="AI260" s="1">
        <f>'Asset Prices'!AI260/'Asset Prices'!AI261-1</f>
        <v>-8.3650819943680621E-2</v>
      </c>
      <c r="AJ260" s="1">
        <f>'Asset Prices'!AJ260/'Asset Prices'!AJ261-1</f>
        <v>1.8675721561969283E-2</v>
      </c>
      <c r="AK260" s="1">
        <f>'Asset Prices'!AK260/'Asset Prices'!AK261-1</f>
        <v>1.6574585635359185E-2</v>
      </c>
      <c r="AL260" s="1">
        <f>'Asset Prices'!AL260/'Asset Prices'!AL261-1</f>
        <v>4.9736450871739502E-2</v>
      </c>
      <c r="AM260" s="1">
        <f>'Asset Prices'!AM260/'Asset Prices'!AM261-1</f>
        <v>-2.2980366913421313E-2</v>
      </c>
      <c r="AN260" s="1">
        <f>'Asset Prices'!AN260/'Asset Prices'!AN261-1</f>
        <v>1.2248690657205685E-2</v>
      </c>
      <c r="AO260" s="1">
        <f>'Asset Prices'!AO260/'Asset Prices'!AO261-1</f>
        <v>2.1401134077190465E-2</v>
      </c>
      <c r="AP260" s="1">
        <f>'Asset Prices'!AP260/'Asset Prices'!AP261-1</f>
        <v>4.5525494276796863E-3</v>
      </c>
      <c r="AQ260" s="1">
        <f>'Asset Prices'!AQ260/'Asset Prices'!AQ261-1</f>
        <v>-9.6698899633210988E-2</v>
      </c>
      <c r="AR260" s="1">
        <f>'Asset Prices'!AR260/'Asset Prices'!AR261-1</f>
        <v>0.1053970048036168</v>
      </c>
      <c r="AS260" s="1">
        <f>'Asset Prices'!AS260/'Asset Prices'!AS261-1</f>
        <v>-6.3258232235701817E-2</v>
      </c>
      <c r="AT260" s="1">
        <f>'Asset Prices'!AT260/'Asset Prices'!AT261-1</f>
        <v>8.9481010141181372E-3</v>
      </c>
      <c r="AU260" s="1">
        <f>'Asset Prices'!AU260/'Asset Prices'!AU261-1</f>
        <v>-1.5099599279865261E-2</v>
      </c>
      <c r="AV260" s="1">
        <f>'Asset Prices'!AV260/'Asset Prices'!AV261-1</f>
        <v>2.0134228187919545E-2</v>
      </c>
      <c r="AW260" s="1">
        <f>'Asset Prices'!AW260/'Asset Prices'!AW261-1</f>
        <v>1.1584800741428758E-3</v>
      </c>
      <c r="AX260" s="1">
        <f>'Asset Prices'!AX260/'Asset Prices'!AX261-1</f>
        <v>-2.4289099526066393E-2</v>
      </c>
      <c r="AY260" s="1">
        <f>'Asset Prices'!AY260/'Asset Prices'!AY261-1</f>
        <v>-7.3019350127789817E-4</v>
      </c>
      <c r="AZ260" s="1">
        <f>'Asset Prices'!AZ260/'Asset Prices'!AZ261-1</f>
        <v>-9.7990430622009517E-2</v>
      </c>
      <c r="BA260" s="1">
        <f>'Asset Prices'!BA260/'Asset Prices'!BA261-1</f>
        <v>-2.1284271284271239E-2</v>
      </c>
      <c r="BB260" s="1">
        <f>'Asset Prices'!BB260/'Asset Prices'!BB261-1</f>
        <v>5.6145915939730395E-2</v>
      </c>
      <c r="BC260" s="1">
        <f>'Asset Prices'!BC260/'Asset Prices'!BC261-1</f>
        <v>5.5675562678558999E-2</v>
      </c>
      <c r="BD260" s="1">
        <f>'Asset Prices'!BD260/'Asset Prices'!BD261-1</f>
        <v>-3.1185031185030354E-3</v>
      </c>
    </row>
    <row r="261" spans="3:56" x14ac:dyDescent="0.25">
      <c r="C261" s="38">
        <f>'Asset Prices'!C261</f>
        <v>42544</v>
      </c>
      <c r="D261" s="1">
        <f>'Asset Prices'!D261/'Asset Prices'!D262-1</f>
        <v>-1.5315890236118346E-3</v>
      </c>
      <c r="E261" s="1">
        <f>'Asset Prices'!E261/'Asset Prices'!E262-1</f>
        <v>6.5053872738360941E-3</v>
      </c>
      <c r="F261" s="1">
        <f>'Asset Prices'!F261/'Asset Prices'!F262-1</f>
        <v>1.2156349354778273E-2</v>
      </c>
      <c r="G261" s="1">
        <f>'Asset Prices'!G261/'Asset Prices'!G262-1</f>
        <v>5.6677018633540355E-2</v>
      </c>
      <c r="H261" s="1">
        <f>'Asset Prices'!H261/'Asset Prices'!H262-1</f>
        <v>4.3072409654620669E-2</v>
      </c>
      <c r="I261" s="1">
        <f>'Asset Prices'!I261/'Asset Prices'!I262-1</f>
        <v>6.0319958038290711E-3</v>
      </c>
      <c r="J261" s="1">
        <f>'Asset Prices'!J261/'Asset Prices'!J262-1</f>
        <v>-1.4864172219374749E-2</v>
      </c>
      <c r="K261" s="1">
        <f>'Asset Prices'!K261/'Asset Prices'!K262-1</f>
        <v>6.3692492090703379E-3</v>
      </c>
      <c r="L261" s="1">
        <f>'Asset Prices'!L261/'Asset Prices'!L262-1</f>
        <v>-3.9606035205364654E-2</v>
      </c>
      <c r="M261" s="1">
        <f>'Asset Prices'!M261/'Asset Prices'!M262-1</f>
        <v>3.0164715221274063E-2</v>
      </c>
      <c r="N261" s="1">
        <f>'Asset Prices'!N261/'Asset Prices'!N262-1</f>
        <v>-1.2951328960994157E-2</v>
      </c>
      <c r="O261" s="1">
        <f>'Asset Prices'!O261/'Asset Prices'!O262-1</f>
        <v>3.5131225459805737E-3</v>
      </c>
      <c r="P261" s="1">
        <f>'Asset Prices'!P261/'Asset Prices'!P262-1</f>
        <v>-4.9119673386066598E-3</v>
      </c>
      <c r="Q261" s="1">
        <f>'Asset Prices'!Q261/'Asset Prices'!Q262-1</f>
        <v>3.1127914303717752E-2</v>
      </c>
      <c r="R261" s="1">
        <f>'Asset Prices'!R261/'Asset Prices'!R262-1</f>
        <v>-3.0352556619190896E-3</v>
      </c>
      <c r="S261" s="1">
        <f>'Asset Prices'!S261/'Asset Prices'!S262-1</f>
        <v>1.1282051282051286E-2</v>
      </c>
      <c r="T261" s="1">
        <f>'Asset Prices'!T261/'Asset Prices'!T262-1</f>
        <v>5.1227321237993673E-2</v>
      </c>
      <c r="U261" s="1">
        <f>'Asset Prices'!U261/'Asset Prices'!U262-1</f>
        <v>-6.8846815834767705E-3</v>
      </c>
      <c r="V261" s="1">
        <f>'Asset Prices'!V261/'Asset Prices'!V262-1</f>
        <v>2.0595968448729129E-2</v>
      </c>
      <c r="W261" s="1">
        <f>'Asset Prices'!W261/'Asset Prices'!W262-1</f>
        <v>2.5615099427030552E-2</v>
      </c>
      <c r="X261" s="1">
        <f>'Asset Prices'!X261/'Asset Prices'!X262-1</f>
        <v>-4.7762694821518181E-3</v>
      </c>
      <c r="Y261" s="1">
        <f>'Asset Prices'!Y261/'Asset Prices'!Y262-1</f>
        <v>-1.7216642789507297E-2</v>
      </c>
      <c r="Z261" s="1">
        <f>'Asset Prices'!Z261/'Asset Prices'!Z262-1</f>
        <v>5.1891891891892028E-2</v>
      </c>
      <c r="AA261" s="1">
        <f>'Asset Prices'!AA261/'Asset Prices'!AA262-1</f>
        <v>2.3288637967536996E-2</v>
      </c>
      <c r="AB261" s="1">
        <f>'Asset Prices'!AB261/'Asset Prices'!AB262-1</f>
        <v>3.937007874015741E-3</v>
      </c>
      <c r="AC261" s="1">
        <f>'Asset Prices'!AC261/'Asset Prices'!AC262-1</f>
        <v>5.0901687027340436E-3</v>
      </c>
      <c r="AD261" s="1">
        <f>'Asset Prices'!AD261/'Asset Prices'!AD262-1</f>
        <v>6.5616797900262425E-2</v>
      </c>
      <c r="AE261" s="1">
        <f>'Asset Prices'!AE261/'Asset Prices'!AE262-1</f>
        <v>5.6160735899297931E-2</v>
      </c>
      <c r="AF261" s="1">
        <f>'Asset Prices'!AF261/'Asset Prices'!AF262-1</f>
        <v>8.1081081081081141E-2</v>
      </c>
      <c r="AG261" s="1">
        <f>'Asset Prices'!AG261/'Asset Prices'!AG262-1</f>
        <v>4.9871023215821264E-2</v>
      </c>
      <c r="AH261" s="1">
        <f>'Asset Prices'!AH261/'Asset Prices'!AH262-1</f>
        <v>7.658102766798569E-3</v>
      </c>
      <c r="AI261" s="1">
        <f>'Asset Prices'!AI261/'Asset Prices'!AI262-1</f>
        <v>5.2475592747559308E-2</v>
      </c>
      <c r="AJ261" s="1">
        <f>'Asset Prices'!AJ261/'Asset Prices'!AJ262-1</f>
        <v>-9.5291479820627245E-3</v>
      </c>
      <c r="AK261" s="1">
        <f>'Asset Prices'!AK261/'Asset Prices'!AK262-1</f>
        <v>-1.0928961748633892E-2</v>
      </c>
      <c r="AL261" s="1">
        <f>'Asset Prices'!AL261/'Asset Prices'!AL262-1</f>
        <v>9.4696969696950184E-4</v>
      </c>
      <c r="AM261" s="1">
        <f>'Asset Prices'!AM261/'Asset Prices'!AM262-1</f>
        <v>2.8399311531841498E-2</v>
      </c>
      <c r="AN261" s="1">
        <f>'Asset Prices'!AN261/'Asset Prices'!AN262-1</f>
        <v>3.2804048159134513E-2</v>
      </c>
      <c r="AO261" s="1">
        <f>'Asset Prices'!AO261/'Asset Prices'!AO262-1</f>
        <v>2.2633744855967031E-2</v>
      </c>
      <c r="AP261" s="1">
        <f>'Asset Prices'!AP261/'Asset Prices'!AP262-1</f>
        <v>1.3045196995651542E-2</v>
      </c>
      <c r="AQ261" s="1">
        <f>'Asset Prices'!AQ261/'Asset Prices'!AQ262-1</f>
        <v>3.3959662127219348E-2</v>
      </c>
      <c r="AR261" s="1">
        <f>'Asset Prices'!AR261/'Asset Prices'!AR262-1</f>
        <v>-6.1780398764392785E-3</v>
      </c>
      <c r="AS261" s="1">
        <f>'Asset Prices'!AS261/'Asset Prices'!AS262-1</f>
        <v>2.4639289678135334E-2</v>
      </c>
      <c r="AT261" s="1">
        <f>'Asset Prices'!AT261/'Asset Prices'!AT262-1</f>
        <v>1.0651125401929251E-2</v>
      </c>
      <c r="AU261" s="1">
        <f>'Asset Prices'!AU261/'Asset Prices'!AU262-1</f>
        <v>2.9228930065750003E-2</v>
      </c>
      <c r="AV261" s="1">
        <f>'Asset Prices'!AV261/'Asset Prices'!AV262-1</f>
        <v>5.8797909407664051E-3</v>
      </c>
      <c r="AW261" s="1">
        <f>'Asset Prices'!AW261/'Asset Prices'!AW262-1</f>
        <v>2.8108623153882739E-2</v>
      </c>
      <c r="AX261" s="1">
        <f>'Asset Prices'!AX261/'Asset Prices'!AX262-1</f>
        <v>8.3632019115891243E-3</v>
      </c>
      <c r="AY261" s="1">
        <f>'Asset Prices'!AY261/'Asset Prices'!AY262-1</f>
        <v>4.1841004184100417E-2</v>
      </c>
      <c r="AZ261" s="1">
        <f>'Asset Prices'!AZ261/'Asset Prices'!AZ262-1</f>
        <v>7.1318427139552831E-3</v>
      </c>
      <c r="BA261" s="1">
        <f>'Asset Prices'!BA261/'Asset Prices'!BA262-1</f>
        <v>1.5756687431293548E-2</v>
      </c>
      <c r="BB261" s="1">
        <f>'Asset Prices'!BB261/'Asset Prices'!BB262-1</f>
        <v>4.7808764940238113E-3</v>
      </c>
      <c r="BC261" s="1">
        <f>'Asset Prices'!BC261/'Asset Prices'!BC262-1</f>
        <v>-1.7929241086703684E-2</v>
      </c>
      <c r="BD261" s="1">
        <f>'Asset Prices'!BD261/'Asset Prices'!BD262-1</f>
        <v>1.5601173020527881E-2</v>
      </c>
    </row>
    <row r="262" spans="3:56" x14ac:dyDescent="0.25">
      <c r="C262" s="38">
        <f>'Asset Prices'!C262</f>
        <v>42537</v>
      </c>
      <c r="D262" s="1">
        <f>'Asset Prices'!D262/'Asset Prices'!D263-1</f>
        <v>-3.5810977110509623E-2</v>
      </c>
      <c r="E262" s="1">
        <f>'Asset Prices'!E262/'Asset Prices'!E263-1</f>
        <v>5.5192150449712152E-3</v>
      </c>
      <c r="F262" s="1">
        <f>'Asset Prices'!F262/'Asset Prices'!F263-1</f>
        <v>-2.6756461594466652E-2</v>
      </c>
      <c r="G262" s="1">
        <f>'Asset Prices'!G262/'Asset Prices'!G263-1</f>
        <v>-1.0499359795134389E-2</v>
      </c>
      <c r="H262" s="1">
        <f>'Asset Prices'!H262/'Asset Prices'!H263-1</f>
        <v>-2.8123379989631991E-2</v>
      </c>
      <c r="I262" s="1">
        <f>'Asset Prices'!I262/'Asset Prices'!I263-1</f>
        <v>-3.5172064777327927E-2</v>
      </c>
      <c r="J262" s="1">
        <f>'Asset Prices'!J262/'Asset Prices'!J263-1</f>
        <v>-2.1073758153537514E-2</v>
      </c>
      <c r="K262" s="1">
        <f>'Asset Prices'!K262/'Asset Prices'!K263-1</f>
        <v>-1.3935271078128197E-2</v>
      </c>
      <c r="L262" s="1">
        <f>'Asset Prices'!L262/'Asset Prices'!L263-1</f>
        <v>-1.6994541147389075E-2</v>
      </c>
      <c r="M262" s="1">
        <f>'Asset Prices'!M262/'Asset Prices'!M263-1</f>
        <v>-2.3827973653622547E-2</v>
      </c>
      <c r="N262" s="1">
        <f>'Asset Prices'!N262/'Asset Prices'!N263-1</f>
        <v>-2.4605397834401743E-2</v>
      </c>
      <c r="O262" s="1">
        <f>'Asset Prices'!O262/'Asset Prices'!O263-1</f>
        <v>3.7336652146857663E-3</v>
      </c>
      <c r="P262" s="1">
        <f>'Asset Prices'!P262/'Asset Prices'!P263-1</f>
        <v>1.7261518494483985E-2</v>
      </c>
      <c r="Q262" s="1">
        <f>'Asset Prices'!Q262/'Asset Prices'!Q263-1</f>
        <v>-4.2665328146568315E-3</v>
      </c>
      <c r="R262" s="1">
        <f>'Asset Prices'!R262/'Asset Prices'!R263-1</f>
        <v>3.0444964871192415E-3</v>
      </c>
      <c r="S262" s="1">
        <f>'Asset Prices'!S262/'Asset Prices'!S263-1</f>
        <v>-6.3694267515923553E-3</v>
      </c>
      <c r="T262" s="1">
        <f>'Asset Prices'!T262/'Asset Prices'!T263-1</f>
        <v>-2.4248735495388196E-2</v>
      </c>
      <c r="U262" s="1">
        <f>'Asset Prices'!U262/'Asset Prices'!U263-1</f>
        <v>-1.6712502644383509E-2</v>
      </c>
      <c r="V262" s="1">
        <f>'Asset Prices'!V262/'Asset Prices'!V263-1</f>
        <v>-4.2383550146873783E-2</v>
      </c>
      <c r="W262" s="1">
        <f>'Asset Prices'!W262/'Asset Prices'!W263-1</f>
        <v>-1.4285714285714235E-2</v>
      </c>
      <c r="X262" s="1">
        <f>'Asset Prices'!X262/'Asset Prices'!X263-1</f>
        <v>-9.9796334012219878E-2</v>
      </c>
      <c r="Y262" s="1">
        <f>'Asset Prices'!Y262/'Asset Prices'!Y263-1</f>
        <v>7.2254335565347105E-3</v>
      </c>
      <c r="Z262" s="1">
        <f>'Asset Prices'!Z262/'Asset Prices'!Z263-1</f>
        <v>-7.4999999999999956E-2</v>
      </c>
      <c r="AA262" s="1">
        <f>'Asset Prices'!AA262/'Asset Prices'!AA263-1</f>
        <v>2.5325615050651118E-2</v>
      </c>
      <c r="AB262" s="1">
        <f>'Asset Prices'!AB262/'Asset Prices'!AB263-1</f>
        <v>-3.0534351145038219E-2</v>
      </c>
      <c r="AC262" s="1">
        <f>'Asset Prices'!AC262/'Asset Prices'!AC263-1</f>
        <v>-2.9361942405420671E-2</v>
      </c>
      <c r="AD262" s="1">
        <f>'Asset Prices'!AD262/'Asset Prices'!AD263-1</f>
        <v>-0.10981308411214952</v>
      </c>
      <c r="AE262" s="1">
        <f>'Asset Prices'!AE262/'Asset Prices'!AE263-1</f>
        <v>-5.64184559159433E-2</v>
      </c>
      <c r="AF262" s="1">
        <f>'Asset Prices'!AF262/'Asset Prices'!AF263-1</f>
        <v>-5.9208136578278281E-2</v>
      </c>
      <c r="AG262" s="1">
        <f>'Asset Prices'!AG262/'Asset Prices'!AG263-1</f>
        <v>-7.551669316375198E-2</v>
      </c>
      <c r="AH262" s="1">
        <f>'Asset Prices'!AH262/'Asset Prices'!AH263-1</f>
        <v>-4.5958048550553965E-2</v>
      </c>
      <c r="AI262" s="1">
        <f>'Asset Prices'!AI262/'Asset Prices'!AI263-1</f>
        <v>-5.9363725811741541E-2</v>
      </c>
      <c r="AJ262" s="1">
        <f>'Asset Prices'!AJ262/'Asset Prices'!AJ263-1</f>
        <v>1.0192525481313774E-2</v>
      </c>
      <c r="AK262" s="1">
        <f>'Asset Prices'!AK262/'Asset Prices'!AK263-1</f>
        <v>-0.10634834508952795</v>
      </c>
      <c r="AL262" s="1">
        <f>'Asset Prices'!AL262/'Asset Prices'!AL263-1</f>
        <v>3.5297311973934153E-3</v>
      </c>
      <c r="AM262" s="1">
        <f>'Asset Prices'!AM262/'Asset Prices'!AM263-1</f>
        <v>-1.5382609829226901E-2</v>
      </c>
      <c r="AN262" s="1">
        <f>'Asset Prices'!AN262/'Asset Prices'!AN263-1</f>
        <v>-6.1562472903841092E-3</v>
      </c>
      <c r="AO262" s="1">
        <f>'Asset Prices'!AO262/'Asset Prices'!AO263-1</f>
        <v>2.906641000962451E-2</v>
      </c>
      <c r="AP262" s="1">
        <f>'Asset Prices'!AP262/'Asset Prices'!AP263-1</f>
        <v>-1.8367610917087052E-2</v>
      </c>
      <c r="AQ262" s="1">
        <f>'Asset Prices'!AQ262/'Asset Prices'!AQ263-1</f>
        <v>-1.6946280291476046E-2</v>
      </c>
      <c r="AR262" s="1">
        <f>'Asset Prices'!AR262/'Asset Prices'!AR263-1</f>
        <v>-8.0779944289692818E-3</v>
      </c>
      <c r="AS262" s="1">
        <f>'Asset Prices'!AS262/'Asset Prices'!AS263-1</f>
        <v>-1.5515734265734271E-2</v>
      </c>
      <c r="AT262" s="1">
        <f>'Asset Prices'!AT262/'Asset Prices'!AT263-1</f>
        <v>1.5510204081632617E-2</v>
      </c>
      <c r="AU262" s="1">
        <f>'Asset Prices'!AU262/'Asset Prices'!AU263-1</f>
        <v>-1.721200728426231E-2</v>
      </c>
      <c r="AV262" s="1">
        <f>'Asset Prices'!AV262/'Asset Prices'!AV263-1</f>
        <v>-1.4135044036098776E-3</v>
      </c>
      <c r="AW262" s="1">
        <f>'Asset Prices'!AW262/'Asset Prices'!AW263-1</f>
        <v>1.3764791113257679E-2</v>
      </c>
      <c r="AX262" s="1">
        <f>'Asset Prices'!AX262/'Asset Prices'!AX263-1</f>
        <v>9.6501809408926498E-3</v>
      </c>
      <c r="AY262" s="1">
        <f>'Asset Prices'!AY262/'Asset Prices'!AY263-1</f>
        <v>-3.0247141276281808E-2</v>
      </c>
      <c r="AZ262" s="1">
        <f>'Asset Prices'!AZ262/'Asset Prices'!AZ263-1</f>
        <v>-4.8771543821048757E-2</v>
      </c>
      <c r="BA262" s="1">
        <f>'Asset Prices'!BA262/'Asset Prices'!BA263-1</f>
        <v>-1.7284839755131509E-2</v>
      </c>
      <c r="BB262" s="1">
        <f>'Asset Prices'!BB262/'Asset Prices'!BB263-1</f>
        <v>-3.8101285918400452E-3</v>
      </c>
      <c r="BC262" s="1">
        <f>'Asset Prices'!BC262/'Asset Prices'!BC263-1</f>
        <v>-3.0582459864667677E-2</v>
      </c>
      <c r="BD262" s="1">
        <f>'Asset Prices'!BD262/'Asset Prices'!BD263-1</f>
        <v>2.4694261523987571E-3</v>
      </c>
    </row>
    <row r="263" spans="3:56" x14ac:dyDescent="0.25">
      <c r="C263" s="38">
        <f>'Asset Prices'!C263</f>
        <v>42530</v>
      </c>
      <c r="D263" s="1">
        <f>'Asset Prices'!D263/'Asset Prices'!D264-1</f>
        <v>1.6385240775484755E-2</v>
      </c>
      <c r="E263" s="1">
        <f>'Asset Prices'!E263/'Asset Prices'!E264-1</f>
        <v>-8.9141004862236528E-3</v>
      </c>
      <c r="F263" s="1">
        <f>'Asset Prices'!F263/'Asset Prices'!F264-1</f>
        <v>7.5187969924810361E-3</v>
      </c>
      <c r="G263" s="1">
        <f>'Asset Prices'!G263/'Asset Prices'!G264-1</f>
        <v>1.0087946197620212E-2</v>
      </c>
      <c r="H263" s="1">
        <f>'Asset Prices'!H263/'Asset Prices'!H264-1</f>
        <v>4.8084759576201952E-2</v>
      </c>
      <c r="I263" s="1">
        <f>'Asset Prices'!I263/'Asset Prices'!I264-1</f>
        <v>-3.1110737408559519E-3</v>
      </c>
      <c r="J263" s="1">
        <f>'Asset Prices'!J263/'Asset Prices'!J264-1</f>
        <v>1.9750306999590794E-2</v>
      </c>
      <c r="K263" s="1">
        <f>'Asset Prices'!K263/'Asset Prices'!K264-1</f>
        <v>-8.1017247061410114E-4</v>
      </c>
      <c r="L263" s="1">
        <f>'Asset Prices'!L263/'Asset Prices'!L264-1</f>
        <v>-4.1086419753086356E-2</v>
      </c>
      <c r="M263" s="1">
        <f>'Asset Prices'!M263/'Asset Prices'!M264-1</f>
        <v>-1.6387195121951192E-2</v>
      </c>
      <c r="N263" s="1">
        <f>'Asset Prices'!N263/'Asset Prices'!N264-1</f>
        <v>-2.3512972442796265E-3</v>
      </c>
      <c r="O263" s="1">
        <f>'Asset Prices'!O263/'Asset Prices'!O264-1</f>
        <v>3.945666235446299E-2</v>
      </c>
      <c r="P263" s="1">
        <f>'Asset Prices'!P263/'Asset Prices'!P264-1</f>
        <v>-3.2435939020436511E-4</v>
      </c>
      <c r="Q263" s="1">
        <f>'Asset Prices'!Q263/'Asset Prices'!Q264-1</f>
        <v>7.5348486751236621E-4</v>
      </c>
      <c r="R263" s="1">
        <f>'Asset Prices'!R263/'Asset Prices'!R264-1</f>
        <v>3.1400966183575019E-2</v>
      </c>
      <c r="S263" s="1">
        <f>'Asset Prices'!S263/'Asset Prices'!S264-1</f>
        <v>1.7630282603059433E-2</v>
      </c>
      <c r="T263" s="1">
        <f>'Asset Prices'!T263/'Asset Prices'!T264-1</f>
        <v>-1.8972562755399824E-2</v>
      </c>
      <c r="U263" s="1">
        <f>'Asset Prices'!U263/'Asset Prices'!U264-1</f>
        <v>1.0690613641223035E-2</v>
      </c>
      <c r="V263" s="1">
        <f>'Asset Prices'!V263/'Asset Prices'!V264-1</f>
        <v>4.1065967671472192E-2</v>
      </c>
      <c r="W263" s="1">
        <f>'Asset Prices'!W263/'Asset Prices'!W264-1</f>
        <v>-7.2704867529266748E-2</v>
      </c>
      <c r="X263" s="1">
        <f>'Asset Prices'!X263/'Asset Prices'!X264-1</f>
        <v>4.7901351671804537E-2</v>
      </c>
      <c r="Y263" s="1">
        <f>'Asset Prices'!Y263/'Asset Prices'!Y264-1</f>
        <v>-3.1490552830610863E-2</v>
      </c>
      <c r="Z263" s="1">
        <f>'Asset Prices'!Z263/'Asset Prices'!Z264-1</f>
        <v>6.6098081023454158E-2</v>
      </c>
      <c r="AA263" s="1">
        <f>'Asset Prices'!AA263/'Asset Prices'!AA264-1</f>
        <v>5.4565296471444924E-3</v>
      </c>
      <c r="AB263" s="1">
        <f>'Asset Prices'!AB263/'Asset Prices'!AB264-1</f>
        <v>0</v>
      </c>
      <c r="AC263" s="1">
        <f>'Asset Prices'!AC263/'Asset Prices'!AC264-1</f>
        <v>1.489971346704877E-2</v>
      </c>
      <c r="AD263" s="1">
        <f>'Asset Prices'!AD263/'Asset Prices'!AD264-1</f>
        <v>5.9780686239830239E-2</v>
      </c>
      <c r="AE263" s="1">
        <f>'Asset Prices'!AE263/'Asset Prices'!AE264-1</f>
        <v>1.1552680221811551E-2</v>
      </c>
      <c r="AF263" s="1">
        <f>'Asset Prices'!AF263/'Asset Prices'!AF264-1</f>
        <v>7.3294346978557634E-2</v>
      </c>
      <c r="AG263" s="1">
        <f>'Asset Prices'!AG263/'Asset Prices'!AG264-1</f>
        <v>6.3999999999999613E-3</v>
      </c>
      <c r="AH263" s="1">
        <f>'Asset Prices'!AH263/'Asset Prices'!AH264-1</f>
        <v>-1.8732654949121241E-2</v>
      </c>
      <c r="AI263" s="1">
        <f>'Asset Prices'!AI263/'Asset Prices'!AI264-1</f>
        <v>-1.5657788539144568E-2</v>
      </c>
      <c r="AJ263" s="1">
        <f>'Asset Prices'!AJ263/'Asset Prices'!AJ264-1</f>
        <v>-2.6460859977949336E-2</v>
      </c>
      <c r="AK263" s="1">
        <f>'Asset Prices'!AK263/'Asset Prices'!AK264-1</f>
        <v>2.5598219254312715E-2</v>
      </c>
      <c r="AL263" s="1">
        <f>'Asset Prices'!AL263/'Asset Prices'!AL264-1</f>
        <v>2.6477146042363398E-2</v>
      </c>
      <c r="AM263" s="1">
        <f>'Asset Prices'!AM263/'Asset Prices'!AM264-1</f>
        <v>-5.2117263843654005E-4</v>
      </c>
      <c r="AN263" s="1">
        <f>'Asset Prices'!AN263/'Asset Prices'!AN264-1</f>
        <v>2.3699627196875461E-2</v>
      </c>
      <c r="AO263" s="1">
        <f>'Asset Prices'!AO263/'Asset Prices'!AO264-1</f>
        <v>2.3242072089816768E-2</v>
      </c>
      <c r="AP263" s="1">
        <f>'Asset Prices'!AP263/'Asset Prices'!AP264-1</f>
        <v>4.025974025974044E-3</v>
      </c>
      <c r="AQ263" s="1">
        <f>'Asset Prices'!AQ263/'Asset Prices'!AQ264-1</f>
        <v>9.2355053873780513E-3</v>
      </c>
      <c r="AR263" s="1">
        <f>'Asset Prices'!AR263/'Asset Prices'!AR264-1</f>
        <v>0.10973724884080371</v>
      </c>
      <c r="AS263" s="1">
        <f>'Asset Prices'!AS263/'Asset Prices'!AS264-1</f>
        <v>1.7793594306049654E-2</v>
      </c>
      <c r="AT263" s="1">
        <f>'Asset Prices'!AT263/'Asset Prices'!AT264-1</f>
        <v>4.9220672682526168E-3</v>
      </c>
      <c r="AU263" s="1">
        <f>'Asset Prices'!AU263/'Asset Prices'!AU264-1</f>
        <v>8.7703703703703173E-3</v>
      </c>
      <c r="AV263" s="1">
        <f>'Asset Prices'!AV263/'Asset Prices'!AV264-1</f>
        <v>1.0104338275672697E-2</v>
      </c>
      <c r="AW263" s="1">
        <f>'Asset Prices'!AW263/'Asset Prices'!AW264-1</f>
        <v>7.5425790754257704E-3</v>
      </c>
      <c r="AX263" s="1">
        <f>'Asset Prices'!AX263/'Asset Prices'!AX264-1</f>
        <v>-1.8354055654233425E-2</v>
      </c>
      <c r="AY263" s="1">
        <f>'Asset Prices'!AY263/'Asset Prices'!AY264-1</f>
        <v>0.10203252032520327</v>
      </c>
      <c r="AZ263" s="1">
        <f>'Asset Prices'!AZ263/'Asset Prices'!AZ264-1</f>
        <v>3.7079292641186479E-2</v>
      </c>
      <c r="BA263" s="1">
        <f>'Asset Prices'!BA263/'Asset Prices'!BA264-1</f>
        <v>1.7588860388420668E-2</v>
      </c>
      <c r="BB263" s="1">
        <f>'Asset Prices'!BB263/'Asset Prices'!BB264-1</f>
        <v>7.0348343245539624E-2</v>
      </c>
      <c r="BC263" s="1">
        <f>'Asset Prices'!BC263/'Asset Prices'!BC264-1</f>
        <v>7.3723199658095373E-2</v>
      </c>
      <c r="BD263" s="1">
        <f>'Asset Prices'!BD263/'Asset Prices'!BD264-1</f>
        <v>-7.3537994630558101E-3</v>
      </c>
    </row>
    <row r="264" spans="3:56" x14ac:dyDescent="0.25">
      <c r="C264" s="38">
        <f>'Asset Prices'!C264</f>
        <v>42523</v>
      </c>
      <c r="D264" s="1">
        <f>'Asset Prices'!D264/'Asset Prices'!D265-1</f>
        <v>1.2025316455696267E-2</v>
      </c>
      <c r="E264" s="1">
        <f>'Asset Prices'!E264/'Asset Prices'!E265-1</f>
        <v>-1.0920749423905418E-2</v>
      </c>
      <c r="F264" s="1">
        <f>'Asset Prices'!F264/'Asset Prices'!F265-1</f>
        <v>-2.3459885386819535E-2</v>
      </c>
      <c r="G264" s="1">
        <f>'Asset Prices'!G264/'Asset Prices'!G265-1</f>
        <v>-3.2290362953692253E-2</v>
      </c>
      <c r="H264" s="1">
        <f>'Asset Prices'!H264/'Asset Prices'!H265-1</f>
        <v>2.1365149833518338E-2</v>
      </c>
      <c r="I264" s="1">
        <f>'Asset Prices'!I264/'Asset Prices'!I265-1</f>
        <v>-4.5199631706703824E-3</v>
      </c>
      <c r="J264" s="1">
        <f>'Asset Prices'!J264/'Asset Prices'!J265-1</f>
        <v>-2.6790160342595293E-2</v>
      </c>
      <c r="K264" s="1">
        <f>'Asset Prices'!K264/'Asset Prices'!K265-1</f>
        <v>1.8645703655005619E-2</v>
      </c>
      <c r="L264" s="1">
        <f>'Asset Prices'!L264/'Asset Prices'!L265-1</f>
        <v>-1.5173621243069757E-2</v>
      </c>
      <c r="M264" s="1">
        <f>'Asset Prices'!M264/'Asset Prices'!M265-1</f>
        <v>1.1370206205434608E-2</v>
      </c>
      <c r="N264" s="1">
        <f>'Asset Prices'!N264/'Asset Prices'!N265-1</f>
        <v>9.9602404570311442E-3</v>
      </c>
      <c r="O264" s="1">
        <f>'Asset Prices'!O264/'Asset Prices'!O265-1</f>
        <v>6.6196418882256136E-3</v>
      </c>
      <c r="P264" s="1">
        <f>'Asset Prices'!P264/'Asset Prices'!P265-1</f>
        <v>-2.4058246280468376E-2</v>
      </c>
      <c r="Q264" s="1">
        <f>'Asset Prices'!Q264/'Asset Prices'!Q265-1</f>
        <v>1.1303022606045321E-2</v>
      </c>
      <c r="R264" s="1">
        <f>'Asset Prices'!R264/'Asset Prices'!R265-1</f>
        <v>1.247248716067495E-2</v>
      </c>
      <c r="S264" s="1">
        <f>'Asset Prices'!S264/'Asset Prices'!S265-1</f>
        <v>5.188067444876765E-4</v>
      </c>
      <c r="T264" s="1">
        <f>'Asset Prices'!T264/'Asset Prices'!T265-1</f>
        <v>4.5149481391091983E-2</v>
      </c>
      <c r="U264" s="1">
        <f>'Asset Prices'!U264/'Asset Prices'!U265-1</f>
        <v>2.9722589167767488E-2</v>
      </c>
      <c r="V264" s="1">
        <f>'Asset Prices'!V264/'Asset Prices'!V265-1</f>
        <v>7.0391553013640085E-3</v>
      </c>
      <c r="W264" s="1">
        <f>'Asset Prices'!W264/'Asset Prices'!W265-1</f>
        <v>1.5962441314554043E-2</v>
      </c>
      <c r="X264" s="1">
        <f>'Asset Prices'!X264/'Asset Prices'!X265-1</f>
        <v>9.0930844699690372E-3</v>
      </c>
      <c r="Y264" s="1">
        <f>'Asset Prices'!Y264/'Asset Prices'!Y265-1</f>
        <v>3.4008683051075295E-2</v>
      </c>
      <c r="Z264" s="1">
        <f>'Asset Prices'!Z264/'Asset Prices'!Z265-1</f>
        <v>-4.2462845010614592E-3</v>
      </c>
      <c r="AA264" s="1">
        <f>'Asset Prices'!AA264/'Asset Prices'!AA265-1</f>
        <v>5.3256704980842784E-2</v>
      </c>
      <c r="AB264" s="1">
        <f>'Asset Prices'!AB264/'Asset Prices'!AB265-1</f>
        <v>3.8314176245211051E-3</v>
      </c>
      <c r="AC264" s="1">
        <f>'Asset Prices'!AC264/'Asset Prices'!AC265-1</f>
        <v>2.7830952731556557E-2</v>
      </c>
      <c r="AD264" s="1">
        <f>'Asset Prices'!AD264/'Asset Prices'!AD265-1</f>
        <v>-2.4836150396688517E-2</v>
      </c>
      <c r="AE264" s="1">
        <f>'Asset Prices'!AE264/'Asset Prices'!AE265-1</f>
        <v>-3.0900134348410102E-2</v>
      </c>
      <c r="AF264" s="1">
        <f>'Asset Prices'!AF264/'Asset Prices'!AF265-1</f>
        <v>-1.8369690011481032E-2</v>
      </c>
      <c r="AG264" s="1">
        <f>'Asset Prices'!AG264/'Asset Prices'!AG265-1</f>
        <v>-1.302803000394781E-2</v>
      </c>
      <c r="AH264" s="1">
        <f>'Asset Prices'!AH264/'Asset Prices'!AH265-1</f>
        <v>1.2409271833294433E-2</v>
      </c>
      <c r="AI264" s="1">
        <f>'Asset Prices'!AI264/'Asset Prices'!AI265-1</f>
        <v>6.187864244086394E-2</v>
      </c>
      <c r="AJ264" s="1">
        <f>'Asset Prices'!AJ264/'Asset Prices'!AJ265-1</f>
        <v>3.3618233618233573E-2</v>
      </c>
      <c r="AK264" s="1">
        <f>'Asset Prices'!AK264/'Asset Prices'!AK265-1</f>
        <v>1.6977928692699429E-2</v>
      </c>
      <c r="AL264" s="1">
        <f>'Asset Prices'!AL264/'Asset Prices'!AL265-1</f>
        <v>1.2987012987013102E-2</v>
      </c>
      <c r="AM264" s="1">
        <f>'Asset Prices'!AM264/'Asset Prices'!AM265-1</f>
        <v>6.9535554972448566E-3</v>
      </c>
      <c r="AN264" s="1">
        <f>'Asset Prices'!AN264/'Asset Prices'!AN265-1</f>
        <v>9.6791539702456575E-3</v>
      </c>
      <c r="AO264" s="1">
        <f>'Asset Prices'!AO264/'Asset Prices'!AO265-1</f>
        <v>1.2161084529505706E-2</v>
      </c>
      <c r="AP264" s="1">
        <f>'Asset Prices'!AP264/'Asset Prices'!AP265-1</f>
        <v>1.4225500526870327E-2</v>
      </c>
      <c r="AQ264" s="1">
        <f>'Asset Prices'!AQ264/'Asset Prices'!AQ265-1</f>
        <v>6.4445658110322324E-2</v>
      </c>
      <c r="AR264" s="1">
        <f>'Asset Prices'!AR264/'Asset Prices'!AR265-1</f>
        <v>-3.0816640986132127E-3</v>
      </c>
      <c r="AS264" s="1">
        <f>'Asset Prices'!AS264/'Asset Prices'!AS265-1</f>
        <v>4.8996733551096572E-2</v>
      </c>
      <c r="AT264" s="1">
        <f>'Asset Prices'!AT264/'Asset Prices'!AT265-1</f>
        <v>-1.6380016380017626E-3</v>
      </c>
      <c r="AU264" s="1">
        <f>'Asset Prices'!AU264/'Asset Prices'!AU265-1</f>
        <v>9.3307015969854579E-3</v>
      </c>
      <c r="AV264" s="1">
        <f>'Asset Prices'!AV264/'Asset Prices'!AV265-1</f>
        <v>3.0327034061332858E-2</v>
      </c>
      <c r="AW264" s="1">
        <f>'Asset Prices'!AW264/'Asset Prices'!AW265-1</f>
        <v>-3.6363636363635488E-3</v>
      </c>
      <c r="AX264" s="1">
        <f>'Asset Prices'!AX264/'Asset Prices'!AX265-1</f>
        <v>7.1700507614213205E-2</v>
      </c>
      <c r="AY264" s="1">
        <f>'Asset Prices'!AY264/'Asset Prices'!AY265-1</f>
        <v>5.0832977360102616E-2</v>
      </c>
      <c r="AZ264" s="1">
        <f>'Asset Prices'!AZ264/'Asset Prices'!AZ265-1</f>
        <v>2.0966802562609299E-2</v>
      </c>
      <c r="BA264" s="1">
        <f>'Asset Prices'!BA264/'Asset Prices'!BA265-1</f>
        <v>1.5630815035355461E-2</v>
      </c>
      <c r="BB264" s="1">
        <f>'Asset Prices'!BB264/'Asset Prices'!BB265-1</f>
        <v>2.7261884477765008E-3</v>
      </c>
      <c r="BC264" s="1">
        <f>'Asset Prices'!BC264/'Asset Prices'!BC265-1</f>
        <v>2.8573521869733831E-2</v>
      </c>
      <c r="BD264" s="1">
        <f>'Asset Prices'!BD264/'Asset Prices'!BD265-1</f>
        <v>-1.073903002309462E-2</v>
      </c>
    </row>
    <row r="265" spans="3:56" x14ac:dyDescent="0.25">
      <c r="C265" s="38">
        <f>'Asset Prices'!C265</f>
        <v>42516</v>
      </c>
      <c r="D265" s="1">
        <f>'Asset Prices'!D265/'Asset Prices'!D266-1</f>
        <v>2.7575442247658843E-2</v>
      </c>
      <c r="E265" s="1">
        <f>'Asset Prices'!E265/'Asset Prices'!E266-1</f>
        <v>1.422619652474344E-2</v>
      </c>
      <c r="F265" s="1">
        <f>'Asset Prices'!F265/'Asset Prices'!F266-1</f>
        <v>-2.1037868162692819E-2</v>
      </c>
      <c r="G265" s="1">
        <f>'Asset Prices'!G265/'Asset Prices'!G266-1</f>
        <v>2.8578784757981479E-2</v>
      </c>
      <c r="H265" s="1">
        <f>'Asset Prices'!H265/'Asset Prices'!H266-1</f>
        <v>3.8167938931297662E-2</v>
      </c>
      <c r="I265" s="1">
        <f>'Asset Prices'!I265/'Asset Prices'!I266-1</f>
        <v>2.2772022943241099E-2</v>
      </c>
      <c r="J265" s="1">
        <f>'Asset Prices'!J265/'Asset Prices'!J266-1</f>
        <v>6.5923566878980822E-2</v>
      </c>
      <c r="K265" s="1">
        <f>'Asset Prices'!K265/'Asset Prices'!K266-1</f>
        <v>2.3463895092481257E-2</v>
      </c>
      <c r="L265" s="1">
        <f>'Asset Prices'!L265/'Asset Prices'!L266-1</f>
        <v>0.1480737018425462</v>
      </c>
      <c r="M265" s="1">
        <f>'Asset Prices'!M265/'Asset Prices'!M266-1</f>
        <v>3.1200317965023761E-2</v>
      </c>
      <c r="N265" s="1">
        <f>'Asset Prices'!N265/'Asset Prices'!N266-1</f>
        <v>3.0224657840656421E-2</v>
      </c>
      <c r="O265" s="1">
        <f>'Asset Prices'!O265/'Asset Prices'!O266-1</f>
        <v>1.6659311562224222E-2</v>
      </c>
      <c r="P265" s="1">
        <f>'Asset Prices'!P265/'Asset Prices'!P266-1</f>
        <v>1.1916202191043501E-2</v>
      </c>
      <c r="Q265" s="1">
        <f>'Asset Prices'!Q265/'Asset Prices'!Q266-1</f>
        <v>3.6461761221534772E-2</v>
      </c>
      <c r="R265" s="1">
        <f>'Asset Prices'!R265/'Asset Prices'!R266-1</f>
        <v>9.3803999012589401E-3</v>
      </c>
      <c r="S265" s="1">
        <f>'Asset Prices'!S265/'Asset Prices'!S266-1</f>
        <v>1.715039577836408E-2</v>
      </c>
      <c r="T265" s="1">
        <f>'Asset Prices'!T265/'Asset Prices'!T266-1</f>
        <v>9.0811143604740963E-3</v>
      </c>
      <c r="U265" s="1">
        <f>'Asset Prices'!U265/'Asset Prices'!U266-1</f>
        <v>2.4819494584837676E-2</v>
      </c>
      <c r="V265" s="1">
        <f>'Asset Prices'!V265/'Asset Prices'!V266-1</f>
        <v>4.5297769602207216E-2</v>
      </c>
      <c r="W265" s="1">
        <f>'Asset Prices'!W265/'Asset Prices'!W266-1</f>
        <v>1.3320647002854402E-2</v>
      </c>
      <c r="X265" s="1">
        <f>'Asset Prices'!X265/'Asset Prices'!X266-1</f>
        <v>-9.0111453640029371E-3</v>
      </c>
      <c r="Y265" s="1">
        <f>'Asset Prices'!Y265/'Asset Prices'!Y266-1</f>
        <v>6.6358024710817087E-2</v>
      </c>
      <c r="Z265" s="1">
        <f>'Asset Prices'!Z265/'Asset Prices'!Z266-1</f>
        <v>9.6623981373690437E-2</v>
      </c>
      <c r="AA265" s="1">
        <f>'Asset Prices'!AA265/'Asset Prices'!AA266-1</f>
        <v>4.4000000000000039E-2</v>
      </c>
      <c r="AB265" s="1">
        <f>'Asset Prices'!AB265/'Asset Prices'!AB266-1</f>
        <v>2.7559055118110187E-2</v>
      </c>
      <c r="AC265" s="1">
        <f>'Asset Prices'!AC265/'Asset Prices'!AC266-1</f>
        <v>0.27267616191904054</v>
      </c>
      <c r="AD265" s="1">
        <f>'Asset Prices'!AD265/'Asset Prices'!AD266-1</f>
        <v>0.11628802464381982</v>
      </c>
      <c r="AE265" s="1">
        <f>'Asset Prices'!AE265/'Asset Prices'!AE266-1</f>
        <v>6.6125566961088511E-2</v>
      </c>
      <c r="AF265" s="1">
        <f>'Asset Prices'!AF265/'Asset Prices'!AF266-1</f>
        <v>1.7919750681729463E-2</v>
      </c>
      <c r="AG265" s="1">
        <f>'Asset Prices'!AG265/'Asset Prices'!AG266-1</f>
        <v>8.0170575692963819E-2</v>
      </c>
      <c r="AH265" s="1">
        <f>'Asset Prices'!AH265/'Asset Prices'!AH266-1</f>
        <v>3.2640232108317235E-2</v>
      </c>
      <c r="AI265" s="1">
        <f>'Asset Prices'!AI265/'Asset Prices'!AI266-1</f>
        <v>1.7439832577607284E-2</v>
      </c>
      <c r="AJ265" s="1">
        <f>'Asset Prices'!AJ265/'Asset Prices'!AJ266-1</f>
        <v>2.0942408376963373E-2</v>
      </c>
      <c r="AK265" s="1">
        <f>'Asset Prices'!AK265/'Asset Prices'!AK266-1</f>
        <v>-1.3950892857142905E-2</v>
      </c>
      <c r="AL265" s="1">
        <f>'Asset Prices'!AL265/'Asset Prices'!AL266-1</f>
        <v>1.810865191146882E-2</v>
      </c>
      <c r="AM265" s="1">
        <f>'Asset Prices'!AM265/'Asset Prices'!AM266-1</f>
        <v>5.1818119091975312E-2</v>
      </c>
      <c r="AN265" s="1">
        <f>'Asset Prices'!AN265/'Asset Prices'!AN266-1</f>
        <v>1.908850123298933E-2</v>
      </c>
      <c r="AO265" s="1">
        <f>'Asset Prices'!AO265/'Asset Prices'!AO266-1</f>
        <v>1.0679024783396995E-2</v>
      </c>
      <c r="AP265" s="1">
        <f>'Asset Prices'!AP265/'Asset Prices'!AP266-1</f>
        <v>1.5831134564643357E-3</v>
      </c>
      <c r="AQ265" s="1">
        <f>'Asset Prices'!AQ265/'Asset Prices'!AQ266-1</f>
        <v>8.7507424272421419E-2</v>
      </c>
      <c r="AR265" s="1">
        <f>'Asset Prices'!AR265/'Asset Prices'!AR266-1</f>
        <v>-4.9502050380785145E-2</v>
      </c>
      <c r="AS265" s="1">
        <f>'Asset Prices'!AS265/'Asset Prices'!AS266-1</f>
        <v>4.2315175097276336E-2</v>
      </c>
      <c r="AT265" s="1">
        <f>'Asset Prices'!AT265/'Asset Prices'!AT266-1</f>
        <v>-4.687181577338384E-3</v>
      </c>
      <c r="AU265" s="1">
        <f>'Asset Prices'!AU265/'Asset Prices'!AU266-1</f>
        <v>1.9824325972916945E-2</v>
      </c>
      <c r="AV265" s="1">
        <f>'Asset Prices'!AV265/'Asset Prices'!AV266-1</f>
        <v>0.14900533090625423</v>
      </c>
      <c r="AW265" s="1">
        <f>'Asset Prices'!AW265/'Asset Prices'!AW266-1</f>
        <v>2.8421839940164562E-2</v>
      </c>
      <c r="AX265" s="1">
        <f>'Asset Prices'!AX265/'Asset Prices'!AX266-1</f>
        <v>0.1752423564504102</v>
      </c>
      <c r="AY265" s="1">
        <f>'Asset Prices'!AY265/'Asset Prices'!AY266-1</f>
        <v>4.602323503127792E-2</v>
      </c>
      <c r="AZ265" s="1">
        <f>'Asset Prices'!AZ265/'Asset Prices'!AZ266-1</f>
        <v>9.6040768326146608E-3</v>
      </c>
      <c r="BA265" s="1">
        <f>'Asset Prices'!BA265/'Asset Prices'!BA266-1</f>
        <v>3.3859176606387154E-2</v>
      </c>
      <c r="BB265" s="1">
        <f>'Asset Prices'!BB265/'Asset Prices'!BB266-1</f>
        <v>2.6228361601678518E-2</v>
      </c>
      <c r="BC265" s="1">
        <f>'Asset Prices'!BC265/'Asset Prices'!BC266-1</f>
        <v>-2.9990761139933153E-2</v>
      </c>
      <c r="BD265" s="1">
        <f>'Asset Prices'!BD265/'Asset Prices'!BD266-1</f>
        <v>-6.4249655805415085E-3</v>
      </c>
    </row>
    <row r="266" spans="3:56" x14ac:dyDescent="0.25">
      <c r="C266" s="38">
        <f>'Asset Prices'!C266</f>
        <v>42509</v>
      </c>
      <c r="D266" s="1">
        <f>'Asset Prices'!D266/'Asset Prices'!D267-1</f>
        <v>-1.2967004750288891E-2</v>
      </c>
      <c r="E266" s="1">
        <f>'Asset Prices'!E266/'Asset Prices'!E267-1</f>
        <v>-3.244518729721757E-2</v>
      </c>
      <c r="F266" s="1">
        <f>'Asset Prices'!F266/'Asset Prices'!F267-1</f>
        <v>-1.6382134850836394E-2</v>
      </c>
      <c r="G266" s="1">
        <f>'Asset Prices'!G266/'Asset Prices'!G267-1</f>
        <v>-2.4610748367654312E-2</v>
      </c>
      <c r="H266" s="1">
        <f>'Asset Prices'!H266/'Asset Prices'!H267-1</f>
        <v>-3.1659693165969283E-2</v>
      </c>
      <c r="I266" s="1">
        <f>'Asset Prices'!I266/'Asset Prices'!I267-1</f>
        <v>-2.8849351513136057E-2</v>
      </c>
      <c r="J266" s="1">
        <f>'Asset Prices'!J266/'Asset Prices'!J267-1</f>
        <v>4.2727473987159703E-2</v>
      </c>
      <c r="K266" s="1">
        <f>'Asset Prices'!K266/'Asset Prices'!K267-1</f>
        <v>-2.7036062011616679E-2</v>
      </c>
      <c r="L266" s="1">
        <f>'Asset Prices'!L266/'Asset Prices'!L267-1</f>
        <v>2.0629131524960043E-2</v>
      </c>
      <c r="M266" s="1">
        <f>'Asset Prices'!M266/'Asset Prices'!M267-1</f>
        <v>-2.3102310231023049E-2</v>
      </c>
      <c r="N266" s="1">
        <f>'Asset Prices'!N266/'Asset Prices'!N267-1</f>
        <v>-1.75257873556115E-2</v>
      </c>
      <c r="O266" s="1">
        <f>'Asset Prices'!O266/'Asset Prices'!O267-1</f>
        <v>-2.7050236152855289E-2</v>
      </c>
      <c r="P266" s="1">
        <f>'Asset Prices'!P266/'Asset Prices'!P267-1</f>
        <v>-3.5886349598517664E-2</v>
      </c>
      <c r="Q266" s="1">
        <f>'Asset Prices'!Q266/'Asset Prices'!Q267-1</f>
        <v>3.301637612255659E-3</v>
      </c>
      <c r="R266" s="1">
        <f>'Asset Prices'!R266/'Asset Prices'!R267-1</f>
        <v>-3.201911589008366E-2</v>
      </c>
      <c r="S266" s="1">
        <f>'Asset Prices'!S266/'Asset Prices'!S267-1</f>
        <v>-2.5957337445386752E-2</v>
      </c>
      <c r="T266" s="1">
        <f>'Asset Prices'!T266/'Asset Prices'!T267-1</f>
        <v>-4.4137119317345874E-2</v>
      </c>
      <c r="U266" s="1">
        <f>'Asset Prices'!U266/'Asset Prices'!U267-1</f>
        <v>-2.8921998247151581E-2</v>
      </c>
      <c r="V266" s="1">
        <f>'Asset Prices'!V266/'Asset Prices'!V267-1</f>
        <v>-4.8054919908466776E-3</v>
      </c>
      <c r="W266" s="1">
        <f>'Asset Prices'!W266/'Asset Prices'!W267-1</f>
        <v>8.960000000000079E-3</v>
      </c>
      <c r="X266" s="1">
        <f>'Asset Prices'!X266/'Asset Prices'!X267-1</f>
        <v>2.3047064531780848E-2</v>
      </c>
      <c r="Y266" s="1">
        <f>'Asset Prices'!Y266/'Asset Prices'!Y267-1</f>
        <v>-7.7101001635715427E-4</v>
      </c>
      <c r="Z266" s="1">
        <f>'Asset Prices'!Z266/'Asset Prices'!Z267-1</f>
        <v>-4.7671840354767125E-2</v>
      </c>
      <c r="AA266" s="1">
        <f>'Asset Prices'!AA266/'Asset Prices'!AA267-1</f>
        <v>-2.7237354085603127E-2</v>
      </c>
      <c r="AB266" s="1">
        <f>'Asset Prices'!AB266/'Asset Prices'!AB267-1</f>
        <v>-3.9215686274508554E-3</v>
      </c>
      <c r="AC266" s="1">
        <f>'Asset Prices'!AC266/'Asset Prices'!AC267-1</f>
        <v>8.8863679334467705E-3</v>
      </c>
      <c r="AD266" s="1">
        <f>'Asset Prices'!AD266/'Asset Prices'!AD267-1</f>
        <v>-4.451802796173665E-2</v>
      </c>
      <c r="AE266" s="1">
        <f>'Asset Prices'!AE266/'Asset Prices'!AE267-1</f>
        <v>-7.5811419095000998E-3</v>
      </c>
      <c r="AF266" s="1">
        <f>'Asset Prices'!AF266/'Asset Prices'!AF267-1</f>
        <v>9.040880503144777E-3</v>
      </c>
      <c r="AG266" s="1">
        <f>'Asset Prices'!AG266/'Asset Prices'!AG267-1</f>
        <v>-4.0899795501022518E-2</v>
      </c>
      <c r="AH266" s="1">
        <f>'Asset Prices'!AH266/'Asset Prices'!AH267-1</f>
        <v>-1.6642891107941149E-2</v>
      </c>
      <c r="AI266" s="1">
        <f>'Asset Prices'!AI266/'Asset Prices'!AI267-1</f>
        <v>-1.1549732804688739E-2</v>
      </c>
      <c r="AJ266" s="1">
        <f>'Asset Prices'!AJ266/'Asset Prices'!AJ267-1</f>
        <v>-3.9664804469273562E-2</v>
      </c>
      <c r="AK266" s="1">
        <f>'Asset Prices'!AK266/'Asset Prices'!AK267-1</f>
        <v>-1.3758943313153527E-2</v>
      </c>
      <c r="AL266" s="1">
        <f>'Asset Prices'!AL266/'Asset Prices'!AL267-1</f>
        <v>-3.2805115373922722E-2</v>
      </c>
      <c r="AM266" s="1">
        <f>'Asset Prices'!AM266/'Asset Prices'!AM267-1</f>
        <v>-2.6269819940876071E-2</v>
      </c>
      <c r="AN266" s="1">
        <f>'Asset Prices'!AN266/'Asset Prices'!AN267-1</f>
        <v>-2.0837059560007143E-2</v>
      </c>
      <c r="AO266" s="1">
        <f>'Asset Prices'!AO266/'Asset Prices'!AO267-1</f>
        <v>-3.57489799883427E-2</v>
      </c>
      <c r="AP266" s="1">
        <f>'Asset Prices'!AP266/'Asset Prices'!AP267-1</f>
        <v>2.0463112547118856E-2</v>
      </c>
      <c r="AQ266" s="1">
        <f>'Asset Prices'!AQ266/'Asset Prices'!AQ267-1</f>
        <v>7.3767006802720969E-2</v>
      </c>
      <c r="AR266" s="1">
        <f>'Asset Prices'!AR266/'Asset Prices'!AR267-1</f>
        <v>2.8003613369466995E-2</v>
      </c>
      <c r="AS266" s="1">
        <f>'Asset Prices'!AS266/'Asset Prices'!AS267-1</f>
        <v>6.4733298808907325E-2</v>
      </c>
      <c r="AT266" s="1">
        <f>'Asset Prices'!AT266/'Asset Prices'!AT267-1</f>
        <v>-2.2120366679952208E-2</v>
      </c>
      <c r="AU266" s="1">
        <f>'Asset Prices'!AU266/'Asset Prices'!AU267-1</f>
        <v>-1.9204307508226215E-2</v>
      </c>
      <c r="AV266" s="1">
        <f>'Asset Prices'!AV266/'Asset Prices'!AV267-1</f>
        <v>-4.2097396936106701E-2</v>
      </c>
      <c r="AW266" s="1">
        <f>'Asset Prices'!AW266/'Asset Prices'!AW267-1</f>
        <v>3.2698249227600229E-2</v>
      </c>
      <c r="AX266" s="1">
        <f>'Asset Prices'!AX266/'Asset Prices'!AX267-1</f>
        <v>5.9241706161137442E-2</v>
      </c>
      <c r="AY266" s="1">
        <f>'Asset Prices'!AY266/'Asset Prices'!AY267-1</f>
        <v>-5.3699788583509545E-2</v>
      </c>
      <c r="AZ266" s="1">
        <f>'Asset Prices'!AZ266/'Asset Prices'!AZ267-1</f>
        <v>-2.6893000190730487E-2</v>
      </c>
      <c r="BA266" s="1">
        <f>'Asset Prices'!BA266/'Asset Prices'!BA267-1</f>
        <v>-2.5496812898387788E-2</v>
      </c>
      <c r="BB266" s="1">
        <f>'Asset Prices'!BB266/'Asset Prices'!BB267-1</f>
        <v>-5.1889920424403213E-2</v>
      </c>
      <c r="BC266" s="1">
        <f>'Asset Prices'!BC266/'Asset Prices'!BC267-1</f>
        <v>2.0652328728103519E-3</v>
      </c>
      <c r="BD266" s="1">
        <f>'Asset Prices'!BD266/'Asset Prices'!BD267-1</f>
        <v>-1.489288578302328E-3</v>
      </c>
    </row>
    <row r="267" spans="3:56" x14ac:dyDescent="0.25">
      <c r="C267" s="38">
        <f>'Asset Prices'!C267</f>
        <v>42502</v>
      </c>
      <c r="D267" s="1">
        <f>'Asset Prices'!D267/'Asset Prices'!D268-1</f>
        <v>6.8510858324715151E-3</v>
      </c>
      <c r="E267" s="1">
        <f>'Asset Prices'!E267/'Asset Prices'!E268-1</f>
        <v>-3.0687124749833372E-2</v>
      </c>
      <c r="F267" s="1">
        <f>'Asset Prices'!F267/'Asset Prices'!F268-1</f>
        <v>-3.4370166695307791E-3</v>
      </c>
      <c r="G267" s="1">
        <f>'Asset Prices'!G267/'Asset Prices'!G268-1</f>
        <v>1.5039510578638948E-2</v>
      </c>
      <c r="H267" s="1">
        <f>'Asset Prices'!H267/'Asset Prices'!H268-1</f>
        <v>-1.497458442093702E-2</v>
      </c>
      <c r="I267" s="1">
        <f>'Asset Prices'!I267/'Asset Prices'!I268-1</f>
        <v>2.0965962142432737E-2</v>
      </c>
      <c r="J267" s="1">
        <f>'Asset Prices'!J267/'Asset Prices'!J268-1</f>
        <v>-3.1102531102531028E-2</v>
      </c>
      <c r="K267" s="1">
        <f>'Asset Prices'!K267/'Asset Prices'!K268-1</f>
        <v>8.9274605896008108E-2</v>
      </c>
      <c r="L267" s="1">
        <f>'Asset Prices'!L267/'Asset Prices'!L268-1</f>
        <v>-1.8238782589235836E-2</v>
      </c>
      <c r="M267" s="1">
        <f>'Asset Prices'!M267/'Asset Prices'!M268-1</f>
        <v>3.1437725270324401E-2</v>
      </c>
      <c r="N267" s="1">
        <f>'Asset Prices'!N267/'Asset Prices'!N268-1</f>
        <v>1.8692896419526761E-2</v>
      </c>
      <c r="O267" s="1">
        <f>'Asset Prices'!O267/'Asset Prices'!O268-1</f>
        <v>1.3710554951033682E-2</v>
      </c>
      <c r="P267" s="1">
        <f>'Asset Prices'!P267/'Asset Prices'!P268-1</f>
        <v>1.7023682392110162E-2</v>
      </c>
      <c r="Q267" s="1">
        <f>'Asset Prices'!Q267/'Asset Prices'!Q268-1</f>
        <v>2.1175224986764718E-3</v>
      </c>
      <c r="R267" s="1">
        <f>'Asset Prices'!R267/'Asset Prices'!R268-1</f>
        <v>2.4730656219392744E-2</v>
      </c>
      <c r="S267" s="1">
        <f>'Asset Prices'!S267/'Asset Prices'!S268-1</f>
        <v>1.5396659707724414E-2</v>
      </c>
      <c r="T267" s="1">
        <f>'Asset Prices'!T267/'Asset Prices'!T268-1</f>
        <v>-1.8767143063375125E-2</v>
      </c>
      <c r="U267" s="1">
        <f>'Asset Prices'!U267/'Asset Prices'!U268-1</f>
        <v>2.6771653543307128E-2</v>
      </c>
      <c r="V267" s="1">
        <f>'Asset Prices'!V267/'Asset Prices'!V268-1</f>
        <v>-7.04385366962057E-3</v>
      </c>
      <c r="W267" s="1">
        <f>'Asset Prices'!W267/'Asset Prices'!W268-1</f>
        <v>-1.1388801012337857E-2</v>
      </c>
      <c r="X267" s="1">
        <f>'Asset Prices'!X267/'Asset Prices'!X268-1</f>
        <v>-7.4644835058994552E-3</v>
      </c>
      <c r="Y267" s="1">
        <f>'Asset Prices'!Y267/'Asset Prices'!Y268-1</f>
        <v>2.6107594912788246E-2</v>
      </c>
      <c r="Z267" s="1">
        <f>'Asset Prices'!Z267/'Asset Prices'!Z268-1</f>
        <v>6.2426383981154299E-2</v>
      </c>
      <c r="AA267" s="1">
        <f>'Asset Prices'!AA267/'Asset Prices'!AA268-1</f>
        <v>-1.4192558496356034E-2</v>
      </c>
      <c r="AB267" s="1">
        <f>'Asset Prices'!AB267/'Asset Prices'!AB268-1</f>
        <v>0</v>
      </c>
      <c r="AC267" s="1">
        <f>'Asset Prices'!AC267/'Asset Prices'!AC268-1</f>
        <v>-5.9733333333333305E-2</v>
      </c>
      <c r="AD267" s="1">
        <f>'Asset Prices'!AD267/'Asset Prices'!AD268-1</f>
        <v>4.0183696900114807E-2</v>
      </c>
      <c r="AE267" s="1">
        <f>'Asset Prices'!AE267/'Asset Prices'!AE268-1</f>
        <v>-9.556460252839083E-2</v>
      </c>
      <c r="AF267" s="1">
        <f>'Asset Prices'!AF267/'Asset Prices'!AF268-1</f>
        <v>-2.4539877300613355E-2</v>
      </c>
      <c r="AG267" s="1">
        <f>'Asset Prices'!AG267/'Asset Prices'!AG268-1</f>
        <v>-1.4112903225806495E-2</v>
      </c>
      <c r="AH267" s="1">
        <f>'Asset Prices'!AH267/'Asset Prices'!AH268-1</f>
        <v>-6.2625362157343378E-2</v>
      </c>
      <c r="AI267" s="1">
        <f>'Asset Prices'!AI267/'Asset Prices'!AI268-1</f>
        <v>-3.7976782752902172E-2</v>
      </c>
      <c r="AJ267" s="1">
        <f>'Asset Prices'!AJ267/'Asset Prices'!AJ268-1</f>
        <v>-4.482390608324438E-2</v>
      </c>
      <c r="AK267" s="1">
        <f>'Asset Prices'!AK267/'Asset Prices'!AK268-1</f>
        <v>-6.0010346611484522E-2</v>
      </c>
      <c r="AL267" s="1">
        <f>'Asset Prices'!AL267/'Asset Prices'!AL268-1</f>
        <v>-4.9792531120331773E-3</v>
      </c>
      <c r="AM267" s="1">
        <f>'Asset Prices'!AM267/'Asset Prices'!AM268-1</f>
        <v>1.6180787874650049E-2</v>
      </c>
      <c r="AN267" s="1">
        <f>'Asset Prices'!AN267/'Asset Prices'!AN268-1</f>
        <v>1.5437704322557089E-2</v>
      </c>
      <c r="AO267" s="1">
        <f>'Asset Prices'!AO267/'Asset Prices'!AO268-1</f>
        <v>1.2391817466561594E-2</v>
      </c>
      <c r="AP267" s="1">
        <f>'Asset Prices'!AP267/'Asset Prices'!AP268-1</f>
        <v>-2.9527044682518988E-2</v>
      </c>
      <c r="AQ267" s="1">
        <f>'Asset Prices'!AQ267/'Asset Prices'!AQ268-1</f>
        <v>-1.4662756598240567E-2</v>
      </c>
      <c r="AR267" s="1">
        <f>'Asset Prices'!AR267/'Asset Prices'!AR268-1</f>
        <v>1.065124771758974E-2</v>
      </c>
      <c r="AS267" s="1">
        <f>'Asset Prices'!AS267/'Asset Prices'!AS268-1</f>
        <v>-6.7149758454106312E-2</v>
      </c>
      <c r="AT267" s="1">
        <f>'Asset Prices'!AT267/'Asset Prices'!AT268-1</f>
        <v>2.6805811336198193E-2</v>
      </c>
      <c r="AU267" s="1">
        <f>'Asset Prices'!AU267/'Asset Prices'!AU268-1</f>
        <v>1.1742630591368597E-2</v>
      </c>
      <c r="AV267" s="1">
        <f>'Asset Prices'!AV267/'Asset Prices'!AV268-1</f>
        <v>-4.0932771024559944E-3</v>
      </c>
      <c r="AW267" s="1">
        <f>'Asset Prices'!AW267/'Asset Prices'!AW268-1</f>
        <v>3.8769707934869224E-3</v>
      </c>
      <c r="AX267" s="1">
        <f>'Asset Prices'!AX267/'Asset Prices'!AX268-1</f>
        <v>-0.20775969962453067</v>
      </c>
      <c r="AY267" s="1">
        <f>'Asset Prices'!AY267/'Asset Prices'!AY268-1</f>
        <v>1.1115861479264577E-2</v>
      </c>
      <c r="AZ267" s="1">
        <f>'Asset Prices'!AZ267/'Asset Prices'!AZ268-1</f>
        <v>3.1477473932716826E-2</v>
      </c>
      <c r="BA267" s="1">
        <f>'Asset Prices'!BA267/'Asset Prices'!BA268-1</f>
        <v>-3.9611091105509644E-2</v>
      </c>
      <c r="BB267" s="1">
        <f>'Asset Prices'!BB267/'Asset Prices'!BB268-1</f>
        <v>3.6605657237935851E-3</v>
      </c>
      <c r="BC267" s="1">
        <f>'Asset Prices'!BC267/'Asset Prices'!BC268-1</f>
        <v>-8.7114809517618075E-2</v>
      </c>
      <c r="BD267" s="1">
        <f>'Asset Prices'!BD267/'Asset Prices'!BD268-1</f>
        <v>1.2057971014492797E-2</v>
      </c>
    </row>
    <row r="268" spans="3:56" x14ac:dyDescent="0.25">
      <c r="C268" s="38">
        <f>'Asset Prices'!C268</f>
        <v>42495</v>
      </c>
      <c r="D268" s="1">
        <f>'Asset Prices'!D268/'Asset Prices'!D269-1</f>
        <v>-4.119464469619083E-3</v>
      </c>
      <c r="E268" s="1">
        <f>'Asset Prices'!E268/'Asset Prices'!E269-1</f>
        <v>8.6513505719505446E-3</v>
      </c>
      <c r="F268" s="1">
        <f>'Asset Prices'!F268/'Asset Prices'!F269-1</f>
        <v>-5.9788179022890464E-3</v>
      </c>
      <c r="G268" s="1">
        <f>'Asset Prices'!G268/'Asset Prices'!G269-1</f>
        <v>-2.7274981403421772E-2</v>
      </c>
      <c r="H268" s="1">
        <f>'Asset Prices'!H268/'Asset Prices'!H269-1</f>
        <v>-6.3794212218649449E-2</v>
      </c>
      <c r="I268" s="1">
        <f>'Asset Prices'!I268/'Asset Prices'!I269-1</f>
        <v>9.2521202775635025E-3</v>
      </c>
      <c r="J268" s="1">
        <f>'Asset Prices'!J268/'Asset Prices'!J269-1</f>
        <v>-1.6766845934830799E-2</v>
      </c>
      <c r="K268" s="1">
        <f>'Asset Prices'!K268/'Asset Prices'!K269-1</f>
        <v>9.4833887043189513E-2</v>
      </c>
      <c r="L268" s="1">
        <f>'Asset Prices'!L268/'Asset Prices'!L269-1</f>
        <v>-1.0079751883030563E-2</v>
      </c>
      <c r="M268" s="1">
        <f>'Asset Prices'!M268/'Asset Prices'!M269-1</f>
        <v>8.0160320641287086E-4</v>
      </c>
      <c r="N268" s="1">
        <f>'Asset Prices'!N268/'Asset Prices'!N269-1</f>
        <v>1.3686778430204605E-2</v>
      </c>
      <c r="O268" s="1">
        <f>'Asset Prices'!O268/'Asset Prices'!O269-1</f>
        <v>2.6183722452544078E-3</v>
      </c>
      <c r="P268" s="1">
        <f>'Asset Prices'!P268/'Asset Prices'!P269-1</f>
        <v>2.320349659339227E-2</v>
      </c>
      <c r="Q268" s="1">
        <f>'Asset Prices'!Q268/'Asset Prices'!Q269-1</f>
        <v>2.523744911804604E-2</v>
      </c>
      <c r="R268" s="1">
        <f>'Asset Prices'!R268/'Asset Prices'!R269-1</f>
        <v>2.253380070105182E-2</v>
      </c>
      <c r="S268" s="1">
        <f>'Asset Prices'!S268/'Asset Prices'!S269-1</f>
        <v>2.8172793131204577E-2</v>
      </c>
      <c r="T268" s="1">
        <f>'Asset Prices'!T268/'Asset Prices'!T269-1</f>
        <v>4.332755632583396E-4</v>
      </c>
      <c r="U268" s="1">
        <f>'Asset Prices'!U268/'Asset Prices'!U269-1</f>
        <v>-3.0745747928477951E-2</v>
      </c>
      <c r="V268" s="1">
        <f>'Asset Prices'!V268/'Asset Prices'!V269-1</f>
        <v>-3.9082969432314374E-2</v>
      </c>
      <c r="W268" s="1">
        <f>'Asset Prices'!W268/'Asset Prices'!W269-1</f>
        <v>-3.1852986217457913E-2</v>
      </c>
      <c r="X268" s="1">
        <f>'Asset Prices'!X268/'Asset Prices'!X269-1</f>
        <v>-5.742169768497507E-2</v>
      </c>
      <c r="Y268" s="1">
        <f>'Asset Prices'!Y268/'Asset Prices'!Y269-1</f>
        <v>3.904644475037311E-2</v>
      </c>
      <c r="Z268" s="1">
        <f>'Asset Prices'!Z268/'Asset Prices'!Z269-1</f>
        <v>3.4104750304506659E-2</v>
      </c>
      <c r="AA268" s="1">
        <f>'Asset Prices'!AA268/'Asset Prices'!AA269-1</f>
        <v>-9.8746676794529975E-3</v>
      </c>
      <c r="AB268" s="1">
        <f>'Asset Prices'!AB268/'Asset Prices'!AB269-1</f>
        <v>6.25E-2</v>
      </c>
      <c r="AC268" s="1">
        <f>'Asset Prices'!AC268/'Asset Prices'!AC269-1</f>
        <v>-3.3172911653489123E-2</v>
      </c>
      <c r="AD268" s="1">
        <f>'Asset Prices'!AD268/'Asset Prices'!AD269-1</f>
        <v>-0.16007714561234332</v>
      </c>
      <c r="AE268" s="1">
        <f>'Asset Prices'!AE268/'Asset Prices'!AE269-1</f>
        <v>-3.5743801652892482E-2</v>
      </c>
      <c r="AF268" s="1">
        <f>'Asset Prices'!AF268/'Asset Prices'!AF269-1</f>
        <v>-8.7154357717885933E-2</v>
      </c>
      <c r="AG268" s="1">
        <f>'Asset Prices'!AG268/'Asset Prices'!AG269-1</f>
        <v>-7.1856287425149601E-2</v>
      </c>
      <c r="AH268" s="1">
        <f>'Asset Prices'!AH268/'Asset Prices'!AH269-1</f>
        <v>-3.8362623231890214E-2</v>
      </c>
      <c r="AI268" s="1">
        <f>'Asset Prices'!AI268/'Asset Prices'!AI269-1</f>
        <v>3.1121751025991795E-2</v>
      </c>
      <c r="AJ268" s="1">
        <f>'Asset Prices'!AJ268/'Asset Prices'!AJ269-1</f>
        <v>-0.10463449593884377</v>
      </c>
      <c r="AK268" s="1">
        <f>'Asset Prices'!AK268/'Asset Prices'!AK269-1</f>
        <v>-3.9264413518886765E-2</v>
      </c>
      <c r="AL268" s="1">
        <f>'Asset Prices'!AL268/'Asset Prices'!AL269-1</f>
        <v>3.1236628155755231E-2</v>
      </c>
      <c r="AM268" s="1">
        <f>'Asset Prices'!AM268/'Asset Prices'!AM269-1</f>
        <v>-4.0796899435642242E-3</v>
      </c>
      <c r="AN268" s="1">
        <f>'Asset Prices'!AN268/'Asset Prices'!AN269-1</f>
        <v>5.1113545089449541E-3</v>
      </c>
      <c r="AO268" s="1">
        <f>'Asset Prices'!AO268/'Asset Prices'!AO269-1</f>
        <v>-3.528028224225821E-3</v>
      </c>
      <c r="AP268" s="1">
        <f>'Asset Prices'!AP268/'Asset Prices'!AP269-1</f>
        <v>-4.5519573416568093E-3</v>
      </c>
      <c r="AQ268" s="1">
        <f>'Asset Prices'!AQ268/'Asset Prices'!AQ269-1</f>
        <v>-8.910513260828079E-2</v>
      </c>
      <c r="AR268" s="1">
        <f>'Asset Prices'!AR268/'Asset Prices'!AR269-1</f>
        <v>-3.9405880569868268E-3</v>
      </c>
      <c r="AS268" s="1">
        <f>'Asset Prices'!AS268/'Asset Prices'!AS269-1</f>
        <v>-2.8169014084507116E-2</v>
      </c>
      <c r="AT268" s="1">
        <f>'Asset Prices'!AT268/'Asset Prices'!AT269-1</f>
        <v>5.6420233463035041E-2</v>
      </c>
      <c r="AU268" s="1">
        <f>'Asset Prices'!AU268/'Asset Prices'!AU269-1</f>
        <v>2.0255666028530905E-2</v>
      </c>
      <c r="AV268" s="1">
        <f>'Asset Prices'!AV268/'Asset Prices'!AV269-1</f>
        <v>6.8689896340703438E-3</v>
      </c>
      <c r="AW268" s="1">
        <f>'Asset Prices'!AW268/'Asset Prices'!AW269-1</f>
        <v>1.1238891792995309E-2</v>
      </c>
      <c r="AX268" s="1">
        <f>'Asset Prices'!AX268/'Asset Prices'!AX269-1</f>
        <v>-9.9210822998872517E-2</v>
      </c>
      <c r="AY268" s="1">
        <f>'Asset Prices'!AY268/'Asset Prices'!AY269-1</f>
        <v>-1.3912310286677831E-2</v>
      </c>
      <c r="AZ268" s="1">
        <f>'Asset Prices'!AZ268/'Asset Prices'!AZ269-1</f>
        <v>-4.7413793103448287E-2</v>
      </c>
      <c r="BA268" s="1">
        <f>'Asset Prices'!BA268/'Asset Prices'!BA269-1</f>
        <v>1.0814708002884199E-3</v>
      </c>
      <c r="BB268" s="1">
        <f>'Asset Prices'!BB268/'Asset Prices'!BB269-1</f>
        <v>3.0344591119492614E-2</v>
      </c>
      <c r="BC268" s="1">
        <f>'Asset Prices'!BC268/'Asset Prices'!BC269-1</f>
        <v>-7.2814948764315934E-2</v>
      </c>
      <c r="BD268" s="1">
        <f>'Asset Prices'!BD268/'Asset Prices'!BD269-1</f>
        <v>1.9624069038893355E-2</v>
      </c>
    </row>
    <row r="269" spans="3:56" x14ac:dyDescent="0.25">
      <c r="C269" s="38">
        <f>'Asset Prices'!C269</f>
        <v>42488</v>
      </c>
      <c r="D269" s="1">
        <f>'Asset Prices'!D269/'Asset Prices'!D270-1</f>
        <v>-3.8494863225646769E-2</v>
      </c>
      <c r="E269" s="1">
        <f>'Asset Prices'!E269/'Asset Prices'!E270-1</f>
        <v>1.0883296083956884E-2</v>
      </c>
      <c r="F269" s="1">
        <f>'Asset Prices'!F269/'Asset Prices'!F270-1</f>
        <v>-2.5632490013315579E-2</v>
      </c>
      <c r="G269" s="1">
        <f>'Asset Prices'!G269/'Asset Prices'!G270-1</f>
        <v>-1.6101488167845956E-2</v>
      </c>
      <c r="H269" s="1">
        <f>'Asset Prices'!H269/'Asset Prices'!H270-1</f>
        <v>-1.1568777015001253E-2</v>
      </c>
      <c r="I269" s="1">
        <f>'Asset Prices'!I269/'Asset Prices'!I270-1</f>
        <v>2.9002115655853311E-2</v>
      </c>
      <c r="J269" s="1">
        <f>'Asset Prices'!J269/'Asset Prices'!J270-1</f>
        <v>-0.10512409172407289</v>
      </c>
      <c r="K269" s="1">
        <f>'Asset Prices'!K269/'Asset Prices'!K270-1</f>
        <v>-4.5958795562599075E-2</v>
      </c>
      <c r="L269" s="1">
        <f>'Asset Prices'!L269/'Asset Prices'!L270-1</f>
        <v>-4.9484101916192902E-2</v>
      </c>
      <c r="M269" s="1">
        <f>'Asset Prices'!M269/'Asset Prices'!M270-1</f>
        <v>-0.10541412692721408</v>
      </c>
      <c r="N269" s="1">
        <f>'Asset Prices'!N269/'Asset Prices'!N270-1</f>
        <v>-9.6076923076923171E-2</v>
      </c>
      <c r="O269" s="1">
        <f>'Asset Prices'!O269/'Asset Prices'!O270-1</f>
        <v>2.0940075740699449E-2</v>
      </c>
      <c r="P269" s="1">
        <f>'Asset Prices'!P269/'Asset Prices'!P270-1</f>
        <v>2.706883217324263E-3</v>
      </c>
      <c r="Q269" s="1">
        <f>'Asset Prices'!Q269/'Asset Prices'!Q270-1</f>
        <v>5.4570259208732708E-3</v>
      </c>
      <c r="R269" s="1">
        <f>'Asset Prices'!R269/'Asset Prices'!R270-1</f>
        <v>3.4447034447034452E-2</v>
      </c>
      <c r="S269" s="1">
        <f>'Asset Prices'!S269/'Asset Prices'!S270-1</f>
        <v>2.7570995312930835E-2</v>
      </c>
      <c r="T269" s="1">
        <f>'Asset Prices'!T269/'Asset Prices'!T270-1</f>
        <v>1.4802872636670017E-2</v>
      </c>
      <c r="U269" s="1">
        <f>'Asset Prices'!U269/'Asset Prices'!U270-1</f>
        <v>-3.2285292255750164E-2</v>
      </c>
      <c r="V269" s="1">
        <f>'Asset Prices'!V269/'Asset Prices'!V270-1</f>
        <v>-4.8805815160955279E-2</v>
      </c>
      <c r="W269" s="1">
        <f>'Asset Prices'!W269/'Asset Prices'!W270-1</f>
        <v>-6.3907486305538885E-3</v>
      </c>
      <c r="X269" s="1">
        <f>'Asset Prices'!X269/'Asset Prices'!X270-1</f>
        <v>-7.6890844332704655E-2</v>
      </c>
      <c r="Y269" s="1">
        <f>'Asset Prices'!Y269/'Asset Prices'!Y270-1</f>
        <v>2.8854080537434879E-3</v>
      </c>
      <c r="Z269" s="1">
        <f>'Asset Prices'!Z269/'Asset Prices'!Z270-1</f>
        <v>6.4850843060960006E-2</v>
      </c>
      <c r="AA269" s="1">
        <f>'Asset Prices'!AA269/'Asset Prices'!AA270-1</f>
        <v>3.7993920972634321E-4</v>
      </c>
      <c r="AB269" s="1">
        <f>'Asset Prices'!AB269/'Asset Prices'!AB270-1</f>
        <v>-5.1383399209486091E-2</v>
      </c>
      <c r="AC269" s="1">
        <f>'Asset Prices'!AC269/'Asset Prices'!AC270-1</f>
        <v>-4.7478716437459045E-2</v>
      </c>
      <c r="AD269" s="1">
        <f>'Asset Prices'!AD269/'Asset Prices'!AD270-1</f>
        <v>-5.2391105696009688E-2</v>
      </c>
      <c r="AE269" s="1">
        <f>'Asset Prices'!AE269/'Asset Prices'!AE270-1</f>
        <v>-1.0224948875255602E-2</v>
      </c>
      <c r="AF269" s="1">
        <f>'Asset Prices'!AF269/'Asset Prices'!AF270-1</f>
        <v>-4.8763497039359116E-3</v>
      </c>
      <c r="AG269" s="1">
        <f>'Asset Prices'!AG269/'Asset Prices'!AG270-1</f>
        <v>-1.5112421673424303E-2</v>
      </c>
      <c r="AH269" s="1">
        <f>'Asset Prices'!AH269/'Asset Prices'!AH270-1</f>
        <v>1.258680555555558E-2</v>
      </c>
      <c r="AI269" s="1">
        <f>'Asset Prices'!AI269/'Asset Prices'!AI270-1</f>
        <v>-3.6732004612090363E-2</v>
      </c>
      <c r="AJ269" s="1">
        <f>'Asset Prices'!AJ269/'Asset Prices'!AJ270-1</f>
        <v>-2.9220779220779147E-2</v>
      </c>
      <c r="AK269" s="1">
        <f>'Asset Prices'!AK269/'Asset Prices'!AK270-1</f>
        <v>-1.9970774476376074E-2</v>
      </c>
      <c r="AL269" s="1">
        <f>'Asset Prices'!AL269/'Asset Prices'!AL270-1</f>
        <v>3.1029411764705861E-2</v>
      </c>
      <c r="AM269" s="1">
        <f>'Asset Prices'!AM269/'Asset Prices'!AM270-1</f>
        <v>-1.4936369725385257E-2</v>
      </c>
      <c r="AN269" s="1">
        <f>'Asset Prices'!AN269/'Asset Prices'!AN270-1</f>
        <v>2.2870734607995935E-3</v>
      </c>
      <c r="AO269" s="1">
        <f>'Asset Prices'!AO269/'Asset Prices'!AO270-1</f>
        <v>1.9788127123725907E-2</v>
      </c>
      <c r="AP269" s="1">
        <f>'Asset Prices'!AP269/'Asset Prices'!AP270-1</f>
        <v>-1.5582391897156489E-3</v>
      </c>
      <c r="AQ269" s="1">
        <f>'Asset Prices'!AQ269/'Asset Prices'!AQ270-1</f>
        <v>1.6288539848749117E-2</v>
      </c>
      <c r="AR269" s="1">
        <f>'Asset Prices'!AR269/'Asset Prices'!AR270-1</f>
        <v>2.4852438645541985E-2</v>
      </c>
      <c r="AS269" s="1">
        <f>'Asset Prices'!AS269/'Asset Prices'!AS270-1</f>
        <v>-0.12704918032786883</v>
      </c>
      <c r="AT269" s="1">
        <f>'Asset Prices'!AT269/'Asset Prices'!AT270-1</f>
        <v>1.4918824045633938E-2</v>
      </c>
      <c r="AU269" s="1">
        <f>'Asset Prices'!AU269/'Asset Prices'!AU270-1</f>
        <v>2.0160020160020276E-2</v>
      </c>
      <c r="AV269" s="1">
        <f>'Asset Prices'!AV269/'Asset Prices'!AV270-1</f>
        <v>-2.2344322344322487E-2</v>
      </c>
      <c r="AW269" s="1">
        <f>'Asset Prices'!AW269/'Asset Prices'!AW270-1</f>
        <v>2.1083533493461371E-2</v>
      </c>
      <c r="AX269" s="1">
        <f>'Asset Prices'!AX269/'Asset Prices'!AX270-1</f>
        <v>5.2818991097922652E-2</v>
      </c>
      <c r="AY269" s="1">
        <f>'Asset Prices'!AY269/'Asset Prices'!AY270-1</f>
        <v>5.510809665112415E-3</v>
      </c>
      <c r="AZ269" s="1">
        <f>'Asset Prices'!AZ269/'Asset Prices'!AZ270-1</f>
        <v>1.58004949552637E-2</v>
      </c>
      <c r="BA269" s="1">
        <f>'Asset Prices'!BA269/'Asset Prices'!BA270-1</f>
        <v>3.981179876945351E-3</v>
      </c>
      <c r="BB269" s="1">
        <f>'Asset Prices'!BB269/'Asset Prices'!BB270-1</f>
        <v>2.4231782265144775E-2</v>
      </c>
      <c r="BC269" s="1">
        <f>'Asset Prices'!BC269/'Asset Prices'!BC270-1</f>
        <v>-4.8138160537035901E-2</v>
      </c>
      <c r="BD269" s="1">
        <f>'Asset Prices'!BD269/'Asset Prices'!BD270-1</f>
        <v>7.1030640668523715E-2</v>
      </c>
    </row>
    <row r="270" spans="3:56" x14ac:dyDescent="0.25">
      <c r="C270" s="38">
        <f>'Asset Prices'!C270</f>
        <v>42481</v>
      </c>
      <c r="D270" s="1">
        <f>'Asset Prices'!D270/'Asset Prices'!D271-1</f>
        <v>5.7263786879124812E-3</v>
      </c>
      <c r="E270" s="1">
        <f>'Asset Prices'!E270/'Asset Prices'!E271-1</f>
        <v>4.3394504714589832E-2</v>
      </c>
      <c r="F270" s="1">
        <f>'Asset Prices'!F270/'Asset Prices'!F271-1</f>
        <v>9.9176332156665215E-3</v>
      </c>
      <c r="G270" s="1">
        <f>'Asset Prices'!G270/'Asset Prices'!G271-1</f>
        <v>-6.0620756547041799E-3</v>
      </c>
      <c r="H270" s="1">
        <f>'Asset Prices'!H270/'Asset Prices'!H271-1</f>
        <v>-4.9335863377608646E-3</v>
      </c>
      <c r="I270" s="1">
        <f>'Asset Prices'!I270/'Asset Prices'!I271-1</f>
        <v>2.3457235654998243E-2</v>
      </c>
      <c r="J270" s="1">
        <f>'Asset Prices'!J270/'Asset Prices'!J271-1</f>
        <v>-5.4683318465655661E-2</v>
      </c>
      <c r="K270" s="1">
        <f>'Asset Prices'!K270/'Asset Prices'!K271-1</f>
        <v>1.6512283527990279E-2</v>
      </c>
      <c r="L270" s="1">
        <f>'Asset Prices'!L270/'Asset Prices'!L271-1</f>
        <v>-0.13982974098895129</v>
      </c>
      <c r="M270" s="1">
        <f>'Asset Prices'!M270/'Asset Prices'!M271-1</f>
        <v>7.5867052023121939E-3</v>
      </c>
      <c r="N270" s="1">
        <f>'Asset Prices'!N270/'Asset Prices'!N271-1</f>
        <v>5.9453952204697735E-3</v>
      </c>
      <c r="O270" s="1">
        <f>'Asset Prices'!O270/'Asset Prices'!O271-1</f>
        <v>-2.6141663954875716E-2</v>
      </c>
      <c r="P270" s="1">
        <f>'Asset Prices'!P270/'Asset Prices'!P271-1</f>
        <v>-1.0711553175210442E-2</v>
      </c>
      <c r="Q270" s="1">
        <f>'Asset Prices'!Q270/'Asset Prices'!Q271-1</f>
        <v>2.3246273759058855E-3</v>
      </c>
      <c r="R270" s="1">
        <f>'Asset Prices'!R270/'Asset Prices'!R271-1</f>
        <v>-4.8546081813701347E-2</v>
      </c>
      <c r="S270" s="1">
        <f>'Asset Prices'!S270/'Asset Prices'!S271-1</f>
        <v>-2.1052631578947212E-2</v>
      </c>
      <c r="T270" s="1">
        <f>'Asset Prices'!T270/'Asset Prices'!T271-1</f>
        <v>5.7488207547169434E-3</v>
      </c>
      <c r="U270" s="1">
        <f>'Asset Prices'!U270/'Asset Prices'!U271-1</f>
        <v>-6.5285996055226891E-2</v>
      </c>
      <c r="V270" s="1">
        <f>'Asset Prices'!V270/'Asset Prices'!V271-1</f>
        <v>-3.311943696957198E-3</v>
      </c>
      <c r="W270" s="1">
        <f>'Asset Prices'!W270/'Asset Prices'!W271-1</f>
        <v>1.6393442622950838E-2</v>
      </c>
      <c r="X270" s="1">
        <f>'Asset Prices'!X270/'Asset Prices'!X271-1</f>
        <v>2.1836865767501434E-2</v>
      </c>
      <c r="Y270" s="1">
        <f>'Asset Prices'!Y270/'Asset Prices'!Y271-1</f>
        <v>-8.2372322175028323E-4</v>
      </c>
      <c r="Z270" s="1">
        <f>'Asset Prices'!Z270/'Asset Prices'!Z271-1</f>
        <v>6.1983471074380292E-2</v>
      </c>
      <c r="AA270" s="1">
        <f>'Asset Prices'!AA270/'Asset Prices'!AA271-1</f>
        <v>6.5587044534413108E-2</v>
      </c>
      <c r="AB270" s="1">
        <f>'Asset Prices'!AB270/'Asset Prices'!AB271-1</f>
        <v>4.1152263374485409E-2</v>
      </c>
      <c r="AC270" s="1">
        <f>'Asset Prices'!AC270/'Asset Prices'!AC271-1</f>
        <v>5.5286800276433956E-2</v>
      </c>
      <c r="AD270" s="1">
        <f>'Asset Prices'!AD270/'Asset Prices'!AD271-1</f>
        <v>1.6408668730650167E-2</v>
      </c>
      <c r="AE270" s="1">
        <f>'Asset Prices'!AE270/'Asset Prices'!AE271-1</f>
        <v>-3.0915576694411473E-2</v>
      </c>
      <c r="AF270" s="1">
        <f>'Asset Prices'!AF270/'Asset Prices'!AF271-1</f>
        <v>0.12720848056537104</v>
      </c>
      <c r="AG270" s="1">
        <f>'Asset Prices'!AG270/'Asset Prices'!AG271-1</f>
        <v>3.9065492148601999E-2</v>
      </c>
      <c r="AH270" s="1">
        <f>'Asset Prices'!AH270/'Asset Prices'!AH271-1</f>
        <v>2.2182786157941337E-2</v>
      </c>
      <c r="AI270" s="1">
        <f>'Asset Prices'!AI270/'Asset Prices'!AI271-1</f>
        <v>1.4199799532241819E-2</v>
      </c>
      <c r="AJ270" s="1">
        <f>'Asset Prices'!AJ270/'Asset Prices'!AJ271-1</f>
        <v>2.6178010471204161E-2</v>
      </c>
      <c r="AK270" s="1">
        <f>'Asset Prices'!AK270/'Asset Prices'!AK271-1</f>
        <v>-3.3980582524272274E-3</v>
      </c>
      <c r="AL270" s="1">
        <f>'Asset Prices'!AL270/'Asset Prices'!AL271-1</f>
        <v>-2.9126213592233108E-2</v>
      </c>
      <c r="AM270" s="1">
        <f>'Asset Prices'!AM270/'Asset Prices'!AM271-1</f>
        <v>-1.2304842550939332E-2</v>
      </c>
      <c r="AN270" s="1">
        <f>'Asset Prices'!AN270/'Asset Prices'!AN271-1</f>
        <v>-7.1752951861943082E-3</v>
      </c>
      <c r="AO270" s="1">
        <f>'Asset Prices'!AO270/'Asset Prices'!AO271-1</f>
        <v>-2.5895638629283457E-2</v>
      </c>
      <c r="AP270" s="1">
        <f>'Asset Prices'!AP270/'Asset Prices'!AP271-1</f>
        <v>8.9086859688196629E-3</v>
      </c>
      <c r="AQ270" s="1">
        <f>'Asset Prices'!AQ270/'Asset Prices'!AQ271-1</f>
        <v>4.350465398624026E-2</v>
      </c>
      <c r="AR270" s="1">
        <f>'Asset Prices'!AR270/'Asset Prices'!AR271-1</f>
        <v>0.12238493723849375</v>
      </c>
      <c r="AS270" s="1">
        <f>'Asset Prices'!AS270/'Asset Prices'!AS271-1</f>
        <v>2.5425509560832005E-2</v>
      </c>
      <c r="AT270" s="1">
        <f>'Asset Prices'!AT270/'Asset Prices'!AT271-1</f>
        <v>-2.2098262175498817E-2</v>
      </c>
      <c r="AU270" s="1">
        <f>'Asset Prices'!AU270/'Asset Prices'!AU271-1</f>
        <v>3.4136165370757254E-3</v>
      </c>
      <c r="AV270" s="1">
        <f>'Asset Prices'!AV270/'Asset Prices'!AV271-1</f>
        <v>2.0560747663551426E-2</v>
      </c>
      <c r="AW270" s="1">
        <f>'Asset Prices'!AW270/'Asset Prices'!AW271-1</f>
        <v>6.9044222539229816E-2</v>
      </c>
      <c r="AX270" s="1">
        <f>'Asset Prices'!AX270/'Asset Prices'!AX271-1</f>
        <v>-8.0741953082378415E-2</v>
      </c>
      <c r="AY270" s="1">
        <f>'Asset Prices'!AY270/'Asset Prices'!AY271-1</f>
        <v>4.2571306939123144E-3</v>
      </c>
      <c r="AZ270" s="1">
        <f>'Asset Prices'!AZ270/'Asset Prices'!AZ271-1</f>
        <v>4.6831406935033959E-2</v>
      </c>
      <c r="BA270" s="1">
        <f>'Asset Prices'!BA270/'Asset Prices'!BA271-1</f>
        <v>7.6586433260394937E-3</v>
      </c>
      <c r="BB270" s="1">
        <f>'Asset Prices'!BB270/'Asset Prices'!BB271-1</f>
        <v>-4.3821356615177942E-2</v>
      </c>
      <c r="BC270" s="1">
        <f>'Asset Prices'!BC270/'Asset Prices'!BC271-1</f>
        <v>-3.7444082399072154E-2</v>
      </c>
      <c r="BD270" s="1">
        <f>'Asset Prices'!BD270/'Asset Prices'!BD271-1</f>
        <v>-2.3491592482690282E-2</v>
      </c>
    </row>
    <row r="271" spans="3:56" x14ac:dyDescent="0.25">
      <c r="C271" s="38">
        <f>'Asset Prices'!C271</f>
        <v>42474</v>
      </c>
      <c r="D271" s="1">
        <f>'Asset Prices'!D271/'Asset Prices'!D272-1</f>
        <v>3.544728022686261E-2</v>
      </c>
      <c r="E271" s="1">
        <f>'Asset Prices'!E271/'Asset Prices'!E272-1</f>
        <v>2.5686356073211236E-2</v>
      </c>
      <c r="F271" s="1">
        <f>'Asset Prices'!F271/'Asset Prices'!F272-1</f>
        <v>-1.3432835820895495E-2</v>
      </c>
      <c r="G271" s="1">
        <f>'Asset Prices'!G271/'Asset Prices'!G272-1</f>
        <v>3.1773830372779699E-2</v>
      </c>
      <c r="H271" s="1">
        <f>'Asset Prices'!H271/'Asset Prices'!H272-1</f>
        <v>6.5794795739517298E-2</v>
      </c>
      <c r="I271" s="1">
        <f>'Asset Prices'!I271/'Asset Prices'!I272-1</f>
        <v>-2.4639211545230522E-2</v>
      </c>
      <c r="J271" s="1">
        <f>'Asset Prices'!J271/'Asset Prices'!J272-1</f>
        <v>3.2798968122351058E-2</v>
      </c>
      <c r="K271" s="1">
        <f>'Asset Prices'!K271/'Asset Prices'!K272-1</f>
        <v>4.9574759481257447E-2</v>
      </c>
      <c r="L271" s="1">
        <f>'Asset Prices'!L271/'Asset Prices'!L272-1</f>
        <v>5.7156534226902922E-2</v>
      </c>
      <c r="M271" s="1">
        <f>'Asset Prices'!M271/'Asset Prices'!M272-1</f>
        <v>1.6525890561880363E-2</v>
      </c>
      <c r="N271" s="1">
        <f>'Asset Prices'!N271/'Asset Prices'!N272-1</f>
        <v>2.0088933326316782E-2</v>
      </c>
      <c r="O271" s="1">
        <f>'Asset Prices'!O271/'Asset Prices'!O272-1</f>
        <v>1.2631810193321602E-2</v>
      </c>
      <c r="P271" s="1">
        <f>'Asset Prices'!P271/'Asset Prices'!P272-1</f>
        <v>-3.3678591853593121E-3</v>
      </c>
      <c r="Q271" s="1">
        <f>'Asset Prices'!Q271/'Asset Prices'!Q272-1</f>
        <v>8.8288039729618184E-3</v>
      </c>
      <c r="R271" s="1">
        <f>'Asset Prices'!R271/'Asset Prices'!R272-1</f>
        <v>-5.1483206668301307E-3</v>
      </c>
      <c r="S271" s="1">
        <f>'Asset Prices'!S271/'Asset Prices'!S272-1</f>
        <v>-8.2976445396145682E-3</v>
      </c>
      <c r="T271" s="1">
        <f>'Asset Prices'!T271/'Asset Prices'!T272-1</f>
        <v>3.5251030062566802E-2</v>
      </c>
      <c r="U271" s="1">
        <f>'Asset Prices'!U271/'Asset Prices'!U272-1</f>
        <v>9.5579450418161738E-3</v>
      </c>
      <c r="V271" s="1">
        <f>'Asset Prices'!V271/'Asset Prices'!V272-1</f>
        <v>1.4063811922754077E-2</v>
      </c>
      <c r="W271" s="1">
        <f>'Asset Prices'!W271/'Asset Prices'!W272-1</f>
        <v>6.9821310390469904E-2</v>
      </c>
      <c r="X271" s="1">
        <f>'Asset Prices'!X271/'Asset Prices'!X272-1</f>
        <v>7.0103092783505128E-2</v>
      </c>
      <c r="Y271" s="1">
        <f>'Asset Prices'!Y271/'Asset Prices'!Y272-1</f>
        <v>1.4625992457959924E-2</v>
      </c>
      <c r="Z271" s="1">
        <f>'Asset Prices'!Z271/'Asset Prices'!Z272-1</f>
        <v>3.2716927453769529E-2</v>
      </c>
      <c r="AA271" s="1">
        <f>'Asset Prices'!AA271/'Asset Prices'!AA272-1</f>
        <v>2.8420625253755549E-3</v>
      </c>
      <c r="AB271" s="1">
        <f>'Asset Prices'!AB271/'Asset Prices'!AB272-1</f>
        <v>2.9661016949152685E-2</v>
      </c>
      <c r="AC271" s="1">
        <f>'Asset Prices'!AC271/'Asset Prices'!AC272-1</f>
        <v>7.5436640654032106E-2</v>
      </c>
      <c r="AD271" s="1">
        <f>'Asset Prices'!AD271/'Asset Prices'!AD272-1</f>
        <v>0.13055652782639116</v>
      </c>
      <c r="AE271" s="1">
        <f>'Asset Prices'!AE271/'Asset Prices'!AE272-1</f>
        <v>4.5803108808290194E-2</v>
      </c>
      <c r="AF271" s="1">
        <f>'Asset Prices'!AF271/'Asset Prices'!AF272-1</f>
        <v>2.9090909090909056E-2</v>
      </c>
      <c r="AG271" s="1">
        <f>'Asset Prices'!AG271/'Asset Prices'!AG272-1</f>
        <v>4.2731629392971149E-2</v>
      </c>
      <c r="AH271" s="1">
        <f>'Asset Prices'!AH271/'Asset Prices'!AH272-1</f>
        <v>2.2232103156958338E-3</v>
      </c>
      <c r="AI271" s="1">
        <f>'Asset Prices'!AI271/'Asset Prices'!AI272-1</f>
        <v>3.100241129865644E-2</v>
      </c>
      <c r="AJ271" s="1">
        <f>'Asset Prices'!AJ271/'Asset Prices'!AJ272-1</f>
        <v>-2.3245002324500219E-2</v>
      </c>
      <c r="AK271" s="1">
        <f>'Asset Prices'!AK271/'Asset Prices'!AK272-1</f>
        <v>5.967078189300401E-2</v>
      </c>
      <c r="AL271" s="1">
        <f>'Asset Prices'!AL271/'Asset Prices'!AL272-1</f>
        <v>-2.2792022792021971E-3</v>
      </c>
      <c r="AM271" s="1">
        <f>'Asset Prices'!AM271/'Asset Prices'!AM272-1</f>
        <v>1.9629005059021987E-2</v>
      </c>
      <c r="AN271" s="1">
        <f>'Asset Prices'!AN271/'Asset Prices'!AN272-1</f>
        <v>1.9916628068550102E-2</v>
      </c>
      <c r="AO271" s="1">
        <f>'Asset Prices'!AO271/'Asset Prices'!AO272-1</f>
        <v>-1.2307692307692353E-2</v>
      </c>
      <c r="AP271" s="1">
        <f>'Asset Prices'!AP271/'Asset Prices'!AP272-1</f>
        <v>1.8375114844468854E-3</v>
      </c>
      <c r="AQ271" s="1">
        <f>'Asset Prices'!AQ271/'Asset Prices'!AQ272-1</f>
        <v>2.1285389543294064E-2</v>
      </c>
      <c r="AR271" s="1">
        <f>'Asset Prices'!AR271/'Asset Prices'!AR272-1</f>
        <v>2.5751072961373467E-2</v>
      </c>
      <c r="AS271" s="1">
        <f>'Asset Prices'!AS271/'Asset Prices'!AS272-1</f>
        <v>-9.9854379030579477E-3</v>
      </c>
      <c r="AT271" s="1">
        <f>'Asset Prices'!AT271/'Asset Prices'!AT272-1</f>
        <v>-3.2078699743369743E-3</v>
      </c>
      <c r="AU271" s="1">
        <f>'Asset Prices'!AU271/'Asset Prices'!AU272-1</f>
        <v>2.0383151648068143E-2</v>
      </c>
      <c r="AV271" s="1">
        <f>'Asset Prices'!AV271/'Asset Prices'!AV272-1</f>
        <v>-4.8363095238095344E-3</v>
      </c>
      <c r="AW271" s="1">
        <f>'Asset Prices'!AW271/'Asset Prices'!AW272-1</f>
        <v>2.6354319180087904E-2</v>
      </c>
      <c r="AX271" s="1">
        <f>'Asset Prices'!AX271/'Asset Prices'!AX272-1</f>
        <v>2.5167785234899265E-2</v>
      </c>
      <c r="AY271" s="1">
        <f>'Asset Prices'!AY271/'Asset Prices'!AY272-1</f>
        <v>3.480176211453756E-2</v>
      </c>
      <c r="AZ271" s="1">
        <f>'Asset Prices'!AZ271/'Asset Prices'!AZ272-1</f>
        <v>4.06470344255494E-2</v>
      </c>
      <c r="BA271" s="1">
        <f>'Asset Prices'!BA271/'Asset Prices'!BA272-1</f>
        <v>6.9775982372382028E-3</v>
      </c>
      <c r="BB271" s="1">
        <f>'Asset Prices'!BB271/'Asset Prices'!BB272-1</f>
        <v>-2.6791694574681557E-3</v>
      </c>
      <c r="BC271" s="1">
        <f>'Asset Prices'!BC271/'Asset Prices'!BC272-1</f>
        <v>5.1387759842062453E-2</v>
      </c>
      <c r="BD271" s="1">
        <f>'Asset Prices'!BD271/'Asset Prices'!BD272-1</f>
        <v>4.9163315605136759E-2</v>
      </c>
    </row>
    <row r="272" spans="3:56" x14ac:dyDescent="0.25">
      <c r="C272" s="38">
        <f>'Asset Prices'!C272</f>
        <v>42467</v>
      </c>
      <c r="D272" s="1">
        <f>'Asset Prices'!D272/'Asset Prices'!D273-1</f>
        <v>1.4382845188284366E-2</v>
      </c>
      <c r="E272" s="1">
        <f>'Asset Prices'!E272/'Asset Prices'!E273-1</f>
        <v>-3.1718860134931082E-2</v>
      </c>
      <c r="F272" s="1">
        <f>'Asset Prices'!F272/'Asset Prices'!F273-1</f>
        <v>-1.9033674963396807E-2</v>
      </c>
      <c r="G272" s="1">
        <f>'Asset Prices'!G272/'Asset Prices'!G273-1</f>
        <v>-2.2977267171840565E-2</v>
      </c>
      <c r="H272" s="1">
        <f>'Asset Prices'!H272/'Asset Prices'!H273-1</f>
        <v>-3.0964201724588469E-2</v>
      </c>
      <c r="I272" s="1">
        <f>'Asset Prices'!I272/'Asset Prices'!I273-1</f>
        <v>-4.0315512708150036E-3</v>
      </c>
      <c r="J272" s="1">
        <f>'Asset Prices'!J272/'Asset Prices'!J273-1</f>
        <v>-4.1288191577207867E-3</v>
      </c>
      <c r="K272" s="1">
        <f>'Asset Prices'!K272/'Asset Prices'!K273-1</f>
        <v>-3.7227949599084598E-3</v>
      </c>
      <c r="L272" s="1">
        <f>'Asset Prices'!L272/'Asset Prices'!L273-1</f>
        <v>2.1715739019857239E-2</v>
      </c>
      <c r="M272" s="1">
        <f>'Asset Prices'!M272/'Asset Prices'!M273-1</f>
        <v>-1.3941698352344711E-2</v>
      </c>
      <c r="N272" s="1">
        <f>'Asset Prices'!N272/'Asset Prices'!N273-1</f>
        <v>-3.6439900380128565E-3</v>
      </c>
      <c r="O272" s="1">
        <f>'Asset Prices'!O272/'Asset Prices'!O273-1</f>
        <v>-1.1401889455966985E-2</v>
      </c>
      <c r="P272" s="1">
        <f>'Asset Prices'!P272/'Asset Prices'!P273-1</f>
        <v>4.1564630352769916E-2</v>
      </c>
      <c r="Q272" s="1">
        <f>'Asset Prices'!Q272/'Asset Prices'!Q273-1</f>
        <v>-2.7514100976750999E-3</v>
      </c>
      <c r="R272" s="1">
        <f>'Asset Prices'!R272/'Asset Prices'!R273-1</f>
        <v>-2.4629363940698257E-2</v>
      </c>
      <c r="S272" s="1">
        <f>'Asset Prices'!S272/'Asset Prices'!S273-1</f>
        <v>-1.8649855529288217E-2</v>
      </c>
      <c r="T272" s="1">
        <f>'Asset Prices'!T272/'Asset Prices'!T273-1</f>
        <v>-7.9376229277887123E-2</v>
      </c>
      <c r="U272" s="1">
        <f>'Asset Prices'!U272/'Asset Prices'!U273-1</f>
        <v>-2.8250773993808043E-2</v>
      </c>
      <c r="V272" s="1">
        <f>'Asset Prices'!V272/'Asset Prices'!V273-1</f>
        <v>-1.488833746898266E-2</v>
      </c>
      <c r="W272" s="1">
        <f>'Asset Prices'!W272/'Asset Prices'!W273-1</f>
        <v>-6.8434032059186189E-2</v>
      </c>
      <c r="X272" s="1">
        <f>'Asset Prices'!X272/'Asset Prices'!X273-1</f>
        <v>-2.5669642857142794E-2</v>
      </c>
      <c r="Y272" s="1">
        <f>'Asset Prices'!Y272/'Asset Prices'!Y273-1</f>
        <v>5.5114638480551426E-2</v>
      </c>
      <c r="Z272" s="1">
        <f>'Asset Prices'!Z272/'Asset Prices'!Z273-1</f>
        <v>-4.0927694406548421E-2</v>
      </c>
      <c r="AA272" s="1">
        <f>'Asset Prices'!AA272/'Asset Prices'!AA273-1</f>
        <v>-2.9550827423167836E-2</v>
      </c>
      <c r="AB272" s="1">
        <f>'Asset Prices'!AB272/'Asset Prices'!AB273-1</f>
        <v>3.5087719298245723E-2</v>
      </c>
      <c r="AC272" s="1">
        <f>'Asset Prices'!AC272/'Asset Prices'!AC273-1</f>
        <v>-5.1756007393715109E-3</v>
      </c>
      <c r="AD272" s="1">
        <f>'Asset Prices'!AD272/'Asset Prices'!AD273-1</f>
        <v>-6.9381107491856664E-2</v>
      </c>
      <c r="AE272" s="1">
        <f>'Asset Prices'!AE272/'Asset Prices'!AE273-1</f>
        <v>6.6764030878363467E-3</v>
      </c>
      <c r="AF272" s="1">
        <f>'Asset Prices'!AF272/'Asset Prices'!AF273-1</f>
        <v>-8.333333333333337E-2</v>
      </c>
      <c r="AG272" s="1">
        <f>'Asset Prices'!AG272/'Asset Prices'!AG273-1</f>
        <v>6.8715322236448939E-2</v>
      </c>
      <c r="AH272" s="1">
        <f>'Asset Prices'!AH272/'Asset Prices'!AH273-1</f>
        <v>-3.7860962566845013E-2</v>
      </c>
      <c r="AI272" s="1">
        <f>'Asset Prices'!AI272/'Asset Prices'!AI273-1</f>
        <v>-4.4908702089159314E-2</v>
      </c>
      <c r="AJ272" s="1">
        <f>'Asset Prices'!AJ272/'Asset Prices'!AJ273-1</f>
        <v>-2.7137042062415073E-2</v>
      </c>
      <c r="AK272" s="1">
        <f>'Asset Prices'!AK272/'Asset Prices'!AK273-1</f>
        <v>-7.9545454545454475E-2</v>
      </c>
      <c r="AL272" s="1">
        <f>'Asset Prices'!AL272/'Asset Prices'!AL273-1</f>
        <v>-2.3508137432188048E-2</v>
      </c>
      <c r="AM272" s="1">
        <f>'Asset Prices'!AM272/'Asset Prices'!AM273-1</f>
        <v>-2.1129085506767842E-2</v>
      </c>
      <c r="AN272" s="1">
        <f>'Asset Prices'!AN272/'Asset Prices'!AN273-1</f>
        <v>6.1515518687669246E-3</v>
      </c>
      <c r="AO272" s="1">
        <f>'Asset Prices'!AO272/'Asset Prices'!AO273-1</f>
        <v>-3.8461538461538436E-2</v>
      </c>
      <c r="AP272" s="1">
        <f>'Asset Prices'!AP272/'Asset Prices'!AP273-1</f>
        <v>-2.7568602425015909E-2</v>
      </c>
      <c r="AQ272" s="1">
        <f>'Asset Prices'!AQ272/'Asset Prices'!AQ273-1</f>
        <v>-1.1036174126302867E-2</v>
      </c>
      <c r="AR272" s="1">
        <f>'Asset Prices'!AR272/'Asset Prices'!AR273-1</f>
        <v>5.1918735891647749E-2</v>
      </c>
      <c r="AS272" s="1">
        <f>'Asset Prices'!AS272/'Asset Prices'!AS273-1</f>
        <v>3.710895361380806E-2</v>
      </c>
      <c r="AT272" s="1">
        <f>'Asset Prices'!AT272/'Asset Prices'!AT273-1</f>
        <v>6.4198587631070225E-4</v>
      </c>
      <c r="AU272" s="1">
        <f>'Asset Prices'!AU272/'Asset Prices'!AU273-1</f>
        <v>2.1143459359768135E-2</v>
      </c>
      <c r="AV272" s="1">
        <f>'Asset Prices'!AV272/'Asset Prices'!AV273-1</f>
        <v>-2.2071307300509213E-2</v>
      </c>
      <c r="AW272" s="1">
        <f>'Asset Prices'!AW272/'Asset Prices'!AW273-1</f>
        <v>-4.0730337078651813E-2</v>
      </c>
      <c r="AX272" s="1">
        <f>'Asset Prices'!AX272/'Asset Prices'!AX273-1</f>
        <v>-6.1145080600333301E-3</v>
      </c>
      <c r="AY272" s="1">
        <f>'Asset Prices'!AY272/'Asset Prices'!AY273-1</f>
        <v>6.5727699530516492E-2</v>
      </c>
      <c r="AZ272" s="1">
        <f>'Asset Prices'!AZ272/'Asset Prices'!AZ273-1</f>
        <v>-2.9778672032193088E-2</v>
      </c>
      <c r="BA272" s="1">
        <f>'Asset Prices'!BA272/'Asset Prices'!BA273-1</f>
        <v>-1.9092219020172996E-2</v>
      </c>
      <c r="BB272" s="1">
        <f>'Asset Prices'!BB272/'Asset Prices'!BB273-1</f>
        <v>-2.2585924713584338E-2</v>
      </c>
      <c r="BC272" s="1">
        <f>'Asset Prices'!BC272/'Asset Prices'!BC273-1</f>
        <v>-3.2797933280916514E-2</v>
      </c>
      <c r="BD272" s="1">
        <f>'Asset Prices'!BD272/'Asset Prices'!BD273-1</f>
        <v>-7.7770576798452673E-4</v>
      </c>
    </row>
    <row r="273" spans="3:56" x14ac:dyDescent="0.25">
      <c r="C273" s="38">
        <f>'Asset Prices'!C273</f>
        <v>42460</v>
      </c>
      <c r="D273" s="1">
        <f>'Asset Prices'!D273/'Asset Prices'!D274-1</f>
        <v>3.1561909900188923E-2</v>
      </c>
      <c r="E273" s="1">
        <f>'Asset Prices'!E273/'Asset Prices'!E274-1</f>
        <v>2.1497634231639529E-2</v>
      </c>
      <c r="F273" s="1">
        <f>'Asset Prices'!F273/'Asset Prices'!F274-1</f>
        <v>-2.9197080291970545E-3</v>
      </c>
      <c r="G273" s="1">
        <f>'Asset Prices'!G273/'Asset Prices'!G274-1</f>
        <v>-1.4644862094216338E-3</v>
      </c>
      <c r="H273" s="1">
        <f>'Asset Prices'!H273/'Asset Prices'!H274-1</f>
        <v>1.6602470447602657E-2</v>
      </c>
      <c r="I273" s="1">
        <f>'Asset Prices'!I273/'Asset Prices'!I274-1</f>
        <v>9.2879256965943124E-3</v>
      </c>
      <c r="J273" s="1">
        <f>'Asset Prices'!J273/'Asset Prices'!J274-1</f>
        <v>3.1418567237626593E-2</v>
      </c>
      <c r="K273" s="1">
        <f>'Asset Prices'!K273/'Asset Prices'!K274-1</f>
        <v>1.8337764816879654E-2</v>
      </c>
      <c r="L273" s="1">
        <f>'Asset Prices'!L273/'Asset Prices'!L274-1</f>
        <v>3.9345262301748729E-2</v>
      </c>
      <c r="M273" s="1">
        <f>'Asset Prices'!M273/'Asset Prices'!M274-1</f>
        <v>1.8815716657443193E-2</v>
      </c>
      <c r="N273" s="1">
        <f>'Asset Prices'!N273/'Asset Prices'!N274-1</f>
        <v>1.0677759525197228E-2</v>
      </c>
      <c r="O273" s="1">
        <f>'Asset Prices'!O273/'Asset Prices'!O274-1</f>
        <v>2.2427001221272391E-2</v>
      </c>
      <c r="P273" s="1">
        <f>'Asset Prices'!P273/'Asset Prices'!P274-1</f>
        <v>7.9386257505003055E-3</v>
      </c>
      <c r="Q273" s="1">
        <f>'Asset Prices'!Q273/'Asset Prices'!Q274-1</f>
        <v>3.5027765912003295E-2</v>
      </c>
      <c r="R273" s="1">
        <f>'Asset Prices'!R273/'Asset Prices'!R274-1</f>
        <v>1.4309968469561118E-2</v>
      </c>
      <c r="S273" s="1">
        <f>'Asset Prices'!S273/'Asset Prices'!S274-1</f>
        <v>2.3662274805055228E-2</v>
      </c>
      <c r="T273" s="1">
        <f>'Asset Prices'!T273/'Asset Prices'!T274-1</f>
        <v>3.7004662004662014E-2</v>
      </c>
      <c r="U273" s="1">
        <f>'Asset Prices'!U273/'Asset Prices'!U274-1</f>
        <v>-1.5056222603392344E-2</v>
      </c>
      <c r="V273" s="1">
        <f>'Asset Prices'!V273/'Asset Prices'!V274-1</f>
        <v>4.3365695792880299E-2</v>
      </c>
      <c r="W273" s="1">
        <f>'Asset Prices'!W273/'Asset Prices'!W274-1</f>
        <v>3.6752956216043353E-2</v>
      </c>
      <c r="X273" s="1">
        <f>'Asset Prices'!X273/'Asset Prices'!X274-1</f>
        <v>1.679527916477519E-2</v>
      </c>
      <c r="Y273" s="1">
        <f>'Asset Prices'!Y273/'Asset Prices'!Y274-1</f>
        <v>3.0909090873255218E-2</v>
      </c>
      <c r="Z273" s="1">
        <f>'Asset Prices'!Z273/'Asset Prices'!Z274-1</f>
        <v>2.5174825174825166E-2</v>
      </c>
      <c r="AA273" s="1">
        <f>'Asset Prices'!AA273/'Asset Prices'!AA274-1</f>
        <v>3.8886614817846832E-2</v>
      </c>
      <c r="AB273" s="1">
        <f>'Asset Prices'!AB273/'Asset Prices'!AB274-1</f>
        <v>3.6363636363636154E-2</v>
      </c>
      <c r="AC273" s="1">
        <f>'Asset Prices'!AC273/'Asset Prices'!AC274-1</f>
        <v>4.682662538699689E-2</v>
      </c>
      <c r="AD273" s="1">
        <f>'Asset Prices'!AD273/'Asset Prices'!AD274-1</f>
        <v>-4.0924711027803817E-2</v>
      </c>
      <c r="AE273" s="1">
        <f>'Asset Prices'!AE273/'Asset Prices'!AE274-1</f>
        <v>4.1730058682895033E-2</v>
      </c>
      <c r="AF273" s="1">
        <f>'Asset Prices'!AF273/'Asset Prices'!AF274-1</f>
        <v>-9.5377842993397133E-3</v>
      </c>
      <c r="AG273" s="1">
        <f>'Asset Prices'!AG273/'Asset Prices'!AG274-1</f>
        <v>6.4516129032258007E-2</v>
      </c>
      <c r="AH273" s="1">
        <f>'Asset Prices'!AH273/'Asset Prices'!AH274-1</f>
        <v>8.5634767715681015E-4</v>
      </c>
      <c r="AI273" s="1">
        <f>'Asset Prices'!AI273/'Asset Prices'!AI274-1</f>
        <v>5.1548175056218559E-2</v>
      </c>
      <c r="AJ273" s="1">
        <f>'Asset Prices'!AJ273/'Asset Prices'!AJ274-1</f>
        <v>-9.8522167487684609E-3</v>
      </c>
      <c r="AK273" s="1">
        <f>'Asset Prices'!AK273/'Asset Prices'!AK274-1</f>
        <v>4.347826086956541E-2</v>
      </c>
      <c r="AL273" s="1">
        <f>'Asset Prices'!AL273/'Asset Prices'!AL274-1</f>
        <v>7.7095598542191723E-3</v>
      </c>
      <c r="AM273" s="1">
        <f>'Asset Prices'!AM273/'Asset Prices'!AM274-1</f>
        <v>2.3656640757012459E-2</v>
      </c>
      <c r="AN273" s="1">
        <f>'Asset Prices'!AN273/'Asset Prices'!AN274-1</f>
        <v>1.9673065957042546E-2</v>
      </c>
      <c r="AO273" s="1">
        <f>'Asset Prices'!AO273/'Asset Prices'!AO274-1</f>
        <v>9.7087378640776656E-3</v>
      </c>
      <c r="AP273" s="1">
        <f>'Asset Prices'!AP273/'Asset Prices'!AP274-1</f>
        <v>1.594917012448116E-2</v>
      </c>
      <c r="AQ273" s="1">
        <f>'Asset Prices'!AQ273/'Asset Prices'!AQ274-1</f>
        <v>2.428302281766781E-2</v>
      </c>
      <c r="AR273" s="1">
        <f>'Asset Prices'!AR273/'Asset Prices'!AR274-1</f>
        <v>4.6456692913385833E-2</v>
      </c>
      <c r="AS273" s="1">
        <f>'Asset Prices'!AS273/'Asset Prices'!AS274-1</f>
        <v>1.0244115082824745E-2</v>
      </c>
      <c r="AT273" s="1">
        <f>'Asset Prices'!AT273/'Asset Prices'!AT274-1</f>
        <v>1.059688581314866E-2</v>
      </c>
      <c r="AU273" s="1">
        <f>'Asset Prices'!AU273/'Asset Prices'!AU274-1</f>
        <v>1.8037953463421186E-2</v>
      </c>
      <c r="AV273" s="1">
        <f>'Asset Prices'!AV273/'Asset Prices'!AV274-1</f>
        <v>5.0178298522669307E-2</v>
      </c>
      <c r="AW273" s="1">
        <f>'Asset Prices'!AW273/'Asset Prices'!AW274-1</f>
        <v>5.6379821958457033E-2</v>
      </c>
      <c r="AX273" s="1">
        <f>'Asset Prices'!AX273/'Asset Prices'!AX274-1</f>
        <v>1.0674157303370624E-2</v>
      </c>
      <c r="AY273" s="1">
        <f>'Asset Prices'!AY273/'Asset Prices'!AY274-1</f>
        <v>1.7677974199713287E-2</v>
      </c>
      <c r="AZ273" s="1">
        <f>'Asset Prices'!AZ273/'Asset Prices'!AZ274-1</f>
        <v>-2.5681238972750431E-2</v>
      </c>
      <c r="BA273" s="1">
        <f>'Asset Prices'!BA273/'Asset Prices'!BA274-1</f>
        <v>1.1661807580175099E-2</v>
      </c>
      <c r="BB273" s="1">
        <f>'Asset Prices'!BB273/'Asset Prices'!BB274-1</f>
        <v>1.8672890963654654E-2</v>
      </c>
      <c r="BC273" s="1">
        <f>'Asset Prices'!BC273/'Asset Prices'!BC274-1</f>
        <v>3.0141741394272614E-2</v>
      </c>
      <c r="BD273" s="1">
        <f>'Asset Prices'!BD273/'Asset Prices'!BD274-1</f>
        <v>-3.8870173620109139E-4</v>
      </c>
    </row>
    <row r="274" spans="3:56" x14ac:dyDescent="0.25">
      <c r="C274" s="38">
        <f>'Asset Prices'!C274</f>
        <v>42453</v>
      </c>
      <c r="D274" s="1">
        <f>'Asset Prices'!D274/'Asset Prices'!D275-1</f>
        <v>1.3672409078479664E-2</v>
      </c>
      <c r="E274" s="1">
        <f>'Asset Prices'!E274/'Asset Prices'!E275-1</f>
        <v>-2.3895582329317211E-2</v>
      </c>
      <c r="F274" s="1">
        <f>'Asset Prices'!F274/'Asset Prices'!F275-1</f>
        <v>-2.4216524216524205E-2</v>
      </c>
      <c r="G274" s="1">
        <f>'Asset Prices'!G274/'Asset Prices'!G275-1</f>
        <v>8.8648116227529883E-3</v>
      </c>
      <c r="H274" s="1">
        <f>'Asset Prices'!H274/'Asset Prices'!H275-1</f>
        <v>-8.0368906455863254E-3</v>
      </c>
      <c r="I274" s="1">
        <f>'Asset Prices'!I274/'Asset Prices'!I275-1</f>
        <v>1.8284993694829721E-2</v>
      </c>
      <c r="J274" s="1">
        <f>'Asset Prices'!J274/'Asset Prices'!J275-1</f>
        <v>-1.2287334593572563E-3</v>
      </c>
      <c r="K274" s="1">
        <f>'Asset Prices'!K274/'Asset Prices'!K275-1</f>
        <v>4.2024167024167003E-2</v>
      </c>
      <c r="L274" s="1">
        <f>'Asset Prices'!L274/'Asset Prices'!L275-1</f>
        <v>-1.3638186923385476E-2</v>
      </c>
      <c r="M274" s="1">
        <f>'Asset Prices'!M274/'Asset Prices'!M275-1</f>
        <v>-8.2327113062568014E-3</v>
      </c>
      <c r="N274" s="1">
        <f>'Asset Prices'!N274/'Asset Prices'!N275-1</f>
        <v>-4.7990718278662081E-3</v>
      </c>
      <c r="O274" s="1">
        <f>'Asset Prices'!O274/'Asset Prices'!O275-1</f>
        <v>-2.7741796200345448E-2</v>
      </c>
      <c r="P274" s="1">
        <f>'Asset Prices'!P274/'Asset Prices'!P275-1</f>
        <v>2.0839008444565543E-2</v>
      </c>
      <c r="Q274" s="1">
        <f>'Asset Prices'!Q274/'Asset Prices'!Q275-1</f>
        <v>2.5704688184606361E-2</v>
      </c>
      <c r="R274" s="1">
        <f>'Asset Prices'!R274/'Asset Prices'!R275-1</f>
        <v>-6.5060240963855653E-3</v>
      </c>
      <c r="S274" s="1">
        <f>'Asset Prices'!S274/'Asset Prices'!S275-1</f>
        <v>-1.0114453021027536E-2</v>
      </c>
      <c r="T274" s="1">
        <f>'Asset Prices'!T274/'Asset Prices'!T275-1</f>
        <v>-4.4011142061281316E-2</v>
      </c>
      <c r="U274" s="1">
        <f>'Asset Prices'!U274/'Asset Prices'!U275-1</f>
        <v>-2.9950083194675625E-2</v>
      </c>
      <c r="V274" s="1">
        <f>'Asset Prices'!V274/'Asset Prices'!V275-1</f>
        <v>-1.8632225280541981E-2</v>
      </c>
      <c r="W274" s="1">
        <f>'Asset Prices'!W274/'Asset Prices'!W275-1</f>
        <v>-2.9466501240694831E-2</v>
      </c>
      <c r="X274" s="1">
        <f>'Asset Prices'!X274/'Asset Prices'!X275-1</f>
        <v>1.0550458715596456E-2</v>
      </c>
      <c r="Y274" s="1">
        <f>'Asset Prices'!Y274/'Asset Prices'!Y275-1</f>
        <v>-4.2228994309520651E-2</v>
      </c>
      <c r="Z274" s="1">
        <f>'Asset Prices'!Z274/'Asset Prices'!Z275-1</f>
        <v>-4.6666666666666634E-2</v>
      </c>
      <c r="AA274" s="1">
        <f>'Asset Prices'!AA274/'Asset Prices'!AA275-1</f>
        <v>-2.123397435897445E-2</v>
      </c>
      <c r="AB274" s="1">
        <f>'Asset Prices'!AB274/'Asset Prices'!AB275-1</f>
        <v>-1.3452914798206206E-2</v>
      </c>
      <c r="AC274" s="1">
        <f>'Asset Prices'!AC274/'Asset Prices'!AC275-1</f>
        <v>-3.7078442332774353E-2</v>
      </c>
      <c r="AD274" s="1">
        <f>'Asset Prices'!AD274/'Asset Prices'!AD275-1</f>
        <v>3.1914893617021267E-2</v>
      </c>
      <c r="AE274" s="1">
        <f>'Asset Prices'!AE274/'Asset Prices'!AE275-1</f>
        <v>1.0320597277118981E-2</v>
      </c>
      <c r="AF274" s="1">
        <f>'Asset Prices'!AF274/'Asset Prices'!AF275-1</f>
        <v>-8.737864077669899E-2</v>
      </c>
      <c r="AG274" s="1">
        <f>'Asset Prices'!AG274/'Asset Prices'!AG275-1</f>
        <v>9.633027522935711E-3</v>
      </c>
      <c r="AH274" s="1">
        <f>'Asset Prices'!AH274/'Asset Prices'!AH275-1</f>
        <v>4.2835724994660929E-4</v>
      </c>
      <c r="AI274" s="1">
        <f>'Asset Prices'!AI274/'Asset Prices'!AI275-1</f>
        <v>-6.7129256091657208E-2</v>
      </c>
      <c r="AJ274" s="1">
        <f>'Asset Prices'!AJ274/'Asset Prices'!AJ275-1</f>
        <v>-4.9382716049382713E-2</v>
      </c>
      <c r="AK274" s="1">
        <f>'Asset Prices'!AK274/'Asset Prices'!AK275-1</f>
        <v>1.8621036738801999E-2</v>
      </c>
      <c r="AL274" s="1">
        <f>'Asset Prices'!AL274/'Asset Prices'!AL275-1</f>
        <v>1.2631578947368549E-3</v>
      </c>
      <c r="AM274" s="1">
        <f>'Asset Prices'!AM274/'Asset Prices'!AM275-1</f>
        <v>6.1887921653971389E-3</v>
      </c>
      <c r="AN274" s="1">
        <f>'Asset Prices'!AN274/'Asset Prices'!AN275-1</f>
        <v>1.858664085188777E-2</v>
      </c>
      <c r="AO274" s="1">
        <f>'Asset Prices'!AO274/'Asset Prices'!AO275-1</f>
        <v>-1.3052396046988601E-3</v>
      </c>
      <c r="AP274" s="1">
        <f>'Asset Prices'!AP274/'Asset Prices'!AP275-1</f>
        <v>-1.2950012950012635E-3</v>
      </c>
      <c r="AQ274" s="1">
        <f>'Asset Prices'!AQ274/'Asset Prices'!AQ275-1</f>
        <v>1.0577533319229948E-2</v>
      </c>
      <c r="AR274" s="1">
        <f>'Asset Prices'!AR274/'Asset Prices'!AR275-1</f>
        <v>-7.5018208302986111E-2</v>
      </c>
      <c r="AS274" s="1">
        <f>'Asset Prices'!AS274/'Asset Prices'!AS275-1</f>
        <v>3.7539574853007851E-2</v>
      </c>
      <c r="AT274" s="1">
        <f>'Asset Prices'!AT274/'Asset Prices'!AT275-1</f>
        <v>2.8193450444589097E-3</v>
      </c>
      <c r="AU274" s="1">
        <f>'Asset Prices'!AU274/'Asset Prices'!AU275-1</f>
        <v>9.6134317243246059E-3</v>
      </c>
      <c r="AV274" s="1">
        <f>'Asset Prices'!AV274/'Asset Prices'!AV275-1</f>
        <v>-2.3625963690624308E-2</v>
      </c>
      <c r="AW274" s="1">
        <f>'Asset Prices'!AW274/'Asset Prices'!AW275-1</f>
        <v>6.8718255153870089E-3</v>
      </c>
      <c r="AX274" s="1">
        <f>'Asset Prices'!AX274/'Asset Prices'!AX275-1</f>
        <v>-8.9086859688195519E-3</v>
      </c>
      <c r="AY274" s="1">
        <f>'Asset Prices'!AY274/'Asset Prices'!AY275-1</f>
        <v>-4.0348464007336049E-2</v>
      </c>
      <c r="AZ274" s="1">
        <f>'Asset Prices'!AZ274/'Asset Prices'!AZ275-1</f>
        <v>-3.0228136882129331E-2</v>
      </c>
      <c r="BA274" s="1">
        <f>'Asset Prices'!BA274/'Asset Prices'!BA275-1</f>
        <v>5.4965188713813617E-3</v>
      </c>
      <c r="BB274" s="1">
        <f>'Asset Prices'!BB274/'Asset Prices'!BB275-1</f>
        <v>-2.3286759813706537E-3</v>
      </c>
      <c r="BC274" s="1">
        <f>'Asset Prices'!BC274/'Asset Prices'!BC275-1</f>
        <v>2.1632484189372914E-2</v>
      </c>
      <c r="BD274" s="1">
        <f>'Asset Prices'!BD274/'Asset Prices'!BD275-1</f>
        <v>-1.6815286624203729E-2</v>
      </c>
    </row>
    <row r="275" spans="3:56" x14ac:dyDescent="0.25">
      <c r="C275" s="38">
        <f>'Asset Prices'!C275</f>
        <v>42446</v>
      </c>
      <c r="D275" s="1">
        <f>'Asset Prices'!D275/'Asset Prices'!D276-1</f>
        <v>4.1583594417544889E-2</v>
      </c>
      <c r="E275" s="1">
        <f>'Asset Prices'!E275/'Asset Prices'!E276-1</f>
        <v>2.6380873866446608E-2</v>
      </c>
      <c r="F275" s="1">
        <f>'Asset Prices'!F275/'Asset Prices'!F276-1</f>
        <v>7.3029891304347672E-2</v>
      </c>
      <c r="G275" s="1">
        <f>'Asset Prices'!G275/'Asset Prices'!G276-1</f>
        <v>6.7279894875164281E-2</v>
      </c>
      <c r="H275" s="1">
        <f>'Asset Prices'!H275/'Asset Prices'!H276-1</f>
        <v>6.3621076233183915E-2</v>
      </c>
      <c r="I275" s="1">
        <f>'Asset Prices'!I275/'Asset Prices'!I276-1</f>
        <v>3.4476332463660109E-2</v>
      </c>
      <c r="J275" s="1">
        <f>'Asset Prices'!J275/'Asset Prices'!J276-1</f>
        <v>4.5764554709894156E-2</v>
      </c>
      <c r="K275" s="1">
        <f>'Asset Prices'!K275/'Asset Prices'!K276-1</f>
        <v>9.124577317376481E-4</v>
      </c>
      <c r="L275" s="1">
        <f>'Asset Prices'!L275/'Asset Prices'!L276-1</f>
        <v>2.423993426458515E-2</v>
      </c>
      <c r="M275" s="1">
        <f>'Asset Prices'!M275/'Asset Prices'!M276-1</f>
        <v>5.0144092219020164E-2</v>
      </c>
      <c r="N275" s="1">
        <f>'Asset Prices'!N275/'Asset Prices'!N276-1</f>
        <v>3.5934277558490546E-2</v>
      </c>
      <c r="O275" s="1">
        <f>'Asset Prices'!O275/'Asset Prices'!O276-1</f>
        <v>7.5040783034256986E-3</v>
      </c>
      <c r="P275" s="1">
        <f>'Asset Prices'!P275/'Asset Prices'!P276-1</f>
        <v>4.5124555160142465E-2</v>
      </c>
      <c r="Q275" s="1">
        <f>'Asset Prices'!Q275/'Asset Prices'!Q276-1</f>
        <v>-2.7690996875887608E-2</v>
      </c>
      <c r="R275" s="1">
        <f>'Asset Prices'!R275/'Asset Prices'!R276-1</f>
        <v>1.8654884634266011E-2</v>
      </c>
      <c r="S275" s="1">
        <f>'Asset Prices'!S275/'Asset Prices'!S276-1</f>
        <v>2.7906976744186185E-2</v>
      </c>
      <c r="T275" s="1">
        <f>'Asset Prices'!T275/'Asset Prices'!T276-1</f>
        <v>5.6503825779870676E-2</v>
      </c>
      <c r="U275" s="1">
        <f>'Asset Prices'!U275/'Asset Prices'!U276-1</f>
        <v>6.8972332015810212E-2</v>
      </c>
      <c r="V275" s="1">
        <f>'Asset Prices'!V275/'Asset Prices'!V276-1</f>
        <v>5.2831029870708868E-2</v>
      </c>
      <c r="W275" s="1">
        <f>'Asset Prices'!W275/'Asset Prices'!W276-1</f>
        <v>-4.8904563854224592E-2</v>
      </c>
      <c r="X275" s="1">
        <f>'Asset Prices'!X275/'Asset Prices'!X276-1</f>
        <v>3.170847136772359E-2</v>
      </c>
      <c r="Y275" s="1">
        <f>'Asset Prices'!Y275/'Asset Prices'!Y276-1</f>
        <v>-3.2842105302217761E-2</v>
      </c>
      <c r="Z275" s="1">
        <f>'Asset Prices'!Z275/'Asset Prices'!Z276-1</f>
        <v>-3.8461538461538436E-2</v>
      </c>
      <c r="AA275" s="1">
        <f>'Asset Prices'!AA275/'Asset Prices'!AA276-1</f>
        <v>4.8309178743961567E-3</v>
      </c>
      <c r="AB275" s="1">
        <f>'Asset Prices'!AB275/'Asset Prices'!AB276-1</f>
        <v>1.8264840182648401E-2</v>
      </c>
      <c r="AC275" s="1">
        <f>'Asset Prices'!AC275/'Asset Prices'!AC276-1</f>
        <v>7.4044426655993645E-2</v>
      </c>
      <c r="AD275" s="1">
        <f>'Asset Prices'!AD275/'Asset Prices'!AD276-1</f>
        <v>0.18805055534278048</v>
      </c>
      <c r="AE275" s="1">
        <f>'Asset Prices'!AE275/'Asset Prices'!AE276-1</f>
        <v>7.2791519434628915E-2</v>
      </c>
      <c r="AF275" s="1">
        <f>'Asset Prices'!AF275/'Asset Prices'!AF276-1</f>
        <v>1.3917175831636097E-2</v>
      </c>
      <c r="AG275" s="1">
        <f>'Asset Prices'!AG275/'Asset Prices'!AG276-1</f>
        <v>2.5399811853245469E-2</v>
      </c>
      <c r="AH275" s="1">
        <f>'Asset Prices'!AH275/'Asset Prices'!AH276-1</f>
        <v>2.6830877501649475E-2</v>
      </c>
      <c r="AI275" s="1">
        <f>'Asset Prices'!AI275/'Asset Prices'!AI276-1</f>
        <v>8.6240140227870299E-2</v>
      </c>
      <c r="AJ275" s="1">
        <f>'Asset Prices'!AJ275/'Asset Prices'!AJ276-1</f>
        <v>4.6791443850267234E-2</v>
      </c>
      <c r="AK275" s="1">
        <f>'Asset Prices'!AK275/'Asset Prices'!AK276-1</f>
        <v>-6.4999999999999503E-3</v>
      </c>
      <c r="AL275" s="1">
        <f>'Asset Prices'!AL275/'Asset Prices'!AL276-1</f>
        <v>2.1358944954128267E-2</v>
      </c>
      <c r="AM275" s="1">
        <f>'Asset Prices'!AM275/'Asset Prices'!AM276-1</f>
        <v>4.8862258363649325E-2</v>
      </c>
      <c r="AN275" s="1">
        <f>'Asset Prices'!AN275/'Asset Prices'!AN276-1</f>
        <v>-4.3373493975903399E-3</v>
      </c>
      <c r="AO275" s="1">
        <f>'Asset Prices'!AO275/'Asset Prices'!AO276-1</f>
        <v>2.5038226299694211E-2</v>
      </c>
      <c r="AP275" s="1">
        <f>'Asset Prices'!AP275/'Asset Prices'!AP276-1</f>
        <v>2.2781456953642421E-2</v>
      </c>
      <c r="AQ275" s="1">
        <f>'Asset Prices'!AQ275/'Asset Prices'!AQ276-1</f>
        <v>2.5379609544468495E-2</v>
      </c>
      <c r="AR275" s="1">
        <f>'Asset Prices'!AR275/'Asset Prices'!AR276-1</f>
        <v>4.0219378427788222E-3</v>
      </c>
      <c r="AS275" s="1">
        <f>'Asset Prices'!AS275/'Asset Prices'!AS276-1</f>
        <v>-6.4918587439204867E-2</v>
      </c>
      <c r="AT275" s="1">
        <f>'Asset Prices'!AT275/'Asset Prices'!AT276-1</f>
        <v>2.2394678492239528E-2</v>
      </c>
      <c r="AU275" s="1">
        <f>'Asset Prices'!AU275/'Asset Prices'!AU276-1</f>
        <v>-5.3868426368594013E-3</v>
      </c>
      <c r="AV275" s="1">
        <f>'Asset Prices'!AV275/'Asset Prices'!AV276-1</f>
        <v>7.5169130543724094E-3</v>
      </c>
      <c r="AW275" s="1">
        <f>'Asset Prices'!AW275/'Asset Prices'!AW276-1</f>
        <v>5.9848005066497789E-2</v>
      </c>
      <c r="AX275" s="1">
        <f>'Asset Prices'!AX275/'Asset Prices'!AX276-1</f>
        <v>2.8048082427017951E-2</v>
      </c>
      <c r="AY275" s="1">
        <f>'Asset Prices'!AY275/'Asset Prices'!AY276-1</f>
        <v>7.1744471744471738E-2</v>
      </c>
      <c r="AZ275" s="1">
        <f>'Asset Prices'!AZ275/'Asset Prices'!AZ276-1</f>
        <v>2.255054432348369E-2</v>
      </c>
      <c r="BA275" s="1">
        <f>'Asset Prices'!BA275/'Asset Prices'!BA276-1</f>
        <v>-2.0810907786150024E-2</v>
      </c>
      <c r="BB275" s="1">
        <f>'Asset Prices'!BB275/'Asset Prices'!BB276-1</f>
        <v>3.3377837116153053E-3</v>
      </c>
      <c r="BC275" s="1">
        <f>'Asset Prices'!BC275/'Asset Prices'!BC276-1</f>
        <v>1.0692951015531582E-2</v>
      </c>
      <c r="BD275" s="1">
        <f>'Asset Prices'!BD275/'Asset Prices'!BD276-1</f>
        <v>2.2401667100807376E-2</v>
      </c>
    </row>
    <row r="276" spans="3:56" x14ac:dyDescent="0.25">
      <c r="C276" s="38">
        <f>'Asset Prices'!C276</f>
        <v>42439</v>
      </c>
      <c r="D276" s="1">
        <f>'Asset Prices'!D276/'Asset Prices'!D277-1</f>
        <v>-4.9925585171154085E-2</v>
      </c>
      <c r="E276" s="1">
        <f>'Asset Prices'!E276/'Asset Prices'!E277-1</f>
        <v>-1.8012548067192768E-2</v>
      </c>
      <c r="F276" s="1">
        <f>'Asset Prices'!F276/'Asset Prices'!F277-1</f>
        <v>-4.2134374491621829E-2</v>
      </c>
      <c r="G276" s="1">
        <f>'Asset Prices'!G276/'Asset Prices'!G277-1</f>
        <v>4.2227500659803852E-3</v>
      </c>
      <c r="H276" s="1">
        <f>'Asset Prices'!H276/'Asset Prices'!H277-1</f>
        <v>-5.4355400696863843E-3</v>
      </c>
      <c r="I276" s="1">
        <f>'Asset Prices'!I276/'Asset Prices'!I277-1</f>
        <v>-2.0624201496623473E-2</v>
      </c>
      <c r="J276" s="1">
        <f>'Asset Prices'!J276/'Asset Prices'!J277-1</f>
        <v>-3.2512315270936121E-3</v>
      </c>
      <c r="K276" s="1">
        <f>'Asset Prices'!K276/'Asset Prices'!K277-1</f>
        <v>-3.2139084659474682E-2</v>
      </c>
      <c r="L276" s="1">
        <f>'Asset Prices'!L276/'Asset Prices'!L277-1</f>
        <v>-5.8204840191974361E-3</v>
      </c>
      <c r="M276" s="1">
        <f>'Asset Prices'!M276/'Asset Prices'!M277-1</f>
        <v>-5.7306590257880652E-3</v>
      </c>
      <c r="N276" s="1">
        <f>'Asset Prices'!N276/'Asset Prices'!N277-1</f>
        <v>7.9279377793572969E-4</v>
      </c>
      <c r="O276" s="1">
        <f>'Asset Prices'!O276/'Asset Prices'!O277-1</f>
        <v>-1.5102827763496141E-2</v>
      </c>
      <c r="P276" s="1">
        <f>'Asset Prices'!P276/'Asset Prices'!P277-1</f>
        <v>-2.7345102111457131E-2</v>
      </c>
      <c r="Q276" s="1">
        <f>'Asset Prices'!Q276/'Asset Prices'!Q277-1</f>
        <v>1.4112903225806495E-2</v>
      </c>
      <c r="R276" s="1">
        <f>'Asset Prices'!R276/'Asset Prices'!R277-1</f>
        <v>2.8787878787878807E-2</v>
      </c>
      <c r="S276" s="1">
        <f>'Asset Prices'!S276/'Asset Prices'!S277-1</f>
        <v>3.6585365853658569E-2</v>
      </c>
      <c r="T276" s="1">
        <f>'Asset Prices'!T276/'Asset Prices'!T277-1</f>
        <v>-1.0483401281304761E-2</v>
      </c>
      <c r="U276" s="1">
        <f>'Asset Prices'!U276/'Asset Prices'!U277-1</f>
        <v>-3.802281368821292E-2</v>
      </c>
      <c r="V276" s="1">
        <f>'Asset Prices'!V276/'Asset Prices'!V277-1</f>
        <v>-1.7090271691498682E-2</v>
      </c>
      <c r="W276" s="1">
        <f>'Asset Prices'!W276/'Asset Prices'!W277-1</f>
        <v>2.5059665871121739E-2</v>
      </c>
      <c r="X276" s="1">
        <f>'Asset Prices'!X276/'Asset Prices'!X277-1</f>
        <v>5.4722817035450788E-3</v>
      </c>
      <c r="Y276" s="1">
        <f>'Asset Prices'!Y276/'Asset Prices'!Y277-1</f>
        <v>-5.6041335425824235E-2</v>
      </c>
      <c r="Z276" s="1">
        <f>'Asset Prices'!Z276/'Asset Prices'!Z277-1</f>
        <v>0.10169491525423724</v>
      </c>
      <c r="AA276" s="1">
        <f>'Asset Prices'!AA276/'Asset Prices'!AA277-1</f>
        <v>-2.2047244094488105E-2</v>
      </c>
      <c r="AB276" s="1">
        <f>'Asset Prices'!AB276/'Asset Prices'!AB277-1</f>
        <v>-3.524229074889873E-2</v>
      </c>
      <c r="AC276" s="1">
        <f>'Asset Prices'!AC276/'Asset Prices'!AC277-1</f>
        <v>1.7926257893664532E-2</v>
      </c>
      <c r="AD276" s="1">
        <f>'Asset Prices'!AD276/'Asset Prices'!AD277-1</f>
        <v>6.789366053169732E-2</v>
      </c>
      <c r="AE276" s="1">
        <f>'Asset Prices'!AE276/'Asset Prices'!AE277-1</f>
        <v>-3.5884624119918218E-2</v>
      </c>
      <c r="AF276" s="1">
        <f>'Asset Prices'!AF276/'Asset Prices'!AF277-1</f>
        <v>3.4047034047034241E-2</v>
      </c>
      <c r="AG276" s="1">
        <f>'Asset Prices'!AG276/'Asset Prices'!AG277-1</f>
        <v>4.780680137999016E-2</v>
      </c>
      <c r="AH276" s="1">
        <f>'Asset Prices'!AH276/'Asset Prices'!AH277-1</f>
        <v>4.5527707518969729E-2</v>
      </c>
      <c r="AI276" s="1">
        <f>'Asset Prices'!AI276/'Asset Prices'!AI277-1</f>
        <v>-7.5963718820861725E-2</v>
      </c>
      <c r="AJ276" s="1">
        <f>'Asset Prices'!AJ276/'Asset Prices'!AJ277-1</f>
        <v>4.0268456375838202E-3</v>
      </c>
      <c r="AK276" s="1">
        <f>'Asset Prices'!AK276/'Asset Prices'!AK277-1</f>
        <v>-0.101123595505618</v>
      </c>
      <c r="AL276" s="1">
        <f>'Asset Prices'!AL276/'Asset Prices'!AL277-1</f>
        <v>3.4707801839216845E-2</v>
      </c>
      <c r="AM276" s="1">
        <f>'Asset Prices'!AM276/'Asset Prices'!AM277-1</f>
        <v>1.7343976777938863E-2</v>
      </c>
      <c r="AN276" s="1">
        <f>'Asset Prices'!AN276/'Asset Prices'!AN277-1</f>
        <v>8.2604470359570747E-3</v>
      </c>
      <c r="AO276" s="1">
        <f>'Asset Prices'!AO276/'Asset Prices'!AO277-1</f>
        <v>8.2867604548082507E-3</v>
      </c>
      <c r="AP276" s="1">
        <f>'Asset Prices'!AP276/'Asset Prices'!AP277-1</f>
        <v>3.7224142515288605E-3</v>
      </c>
      <c r="AQ276" s="1">
        <f>'Asset Prices'!AQ276/'Asset Prices'!AQ277-1</f>
        <v>-8.6692674469002196E-4</v>
      </c>
      <c r="AR276" s="1">
        <f>'Asset Prices'!AR276/'Asset Prices'!AR277-1</f>
        <v>1.9761372110365327E-2</v>
      </c>
      <c r="AS276" s="1">
        <f>'Asset Prices'!AS276/'Asset Prices'!AS277-1</f>
        <v>3.4113273562212942E-2</v>
      </c>
      <c r="AT276" s="1">
        <f>'Asset Prices'!AT276/'Asset Prices'!AT277-1</f>
        <v>2.2222222222223476E-3</v>
      </c>
      <c r="AU276" s="1">
        <f>'Asset Prices'!AU276/'Asset Prices'!AU277-1</f>
        <v>-6.6220735785953444E-3</v>
      </c>
      <c r="AV276" s="1">
        <f>'Asset Prices'!AV276/'Asset Prices'!AV277-1</f>
        <v>3.060038734667514E-2</v>
      </c>
      <c r="AW276" s="1">
        <f>'Asset Prices'!AW276/'Asset Prices'!AW277-1</f>
        <v>-3.2178976402084114E-2</v>
      </c>
      <c r="AX276" s="1">
        <f>'Asset Prices'!AX276/'Asset Prices'!AX277-1</f>
        <v>-4.0109890109890189E-2</v>
      </c>
      <c r="AY276" s="1">
        <f>'Asset Prices'!AY276/'Asset Prices'!AY277-1</f>
        <v>1.1934361014420691E-2</v>
      </c>
      <c r="AZ276" s="1">
        <f>'Asset Prices'!AZ276/'Asset Prices'!AZ277-1</f>
        <v>7.4422248335292984E-3</v>
      </c>
      <c r="BA276" s="1">
        <f>'Asset Prices'!BA276/'Asset Prices'!BA277-1</f>
        <v>-2.3817863397548211E-2</v>
      </c>
      <c r="BB276" s="1">
        <f>'Asset Prices'!BB276/'Asset Prices'!BB277-1</f>
        <v>2.4623803009576006E-2</v>
      </c>
      <c r="BC276" s="1">
        <f>'Asset Prices'!BC276/'Asset Prices'!BC277-1</f>
        <v>-3.0857407514618074E-2</v>
      </c>
      <c r="BD276" s="1">
        <f>'Asset Prices'!BD276/'Asset Prices'!BD277-1</f>
        <v>3.5468644639244706E-2</v>
      </c>
    </row>
    <row r="277" spans="3:56" x14ac:dyDescent="0.25">
      <c r="C277" s="38">
        <f>'Asset Prices'!C277</f>
        <v>42432</v>
      </c>
      <c r="D277" s="1">
        <f>'Asset Prices'!D277/'Asset Prices'!D278-1</f>
        <v>8.7348164323735045E-3</v>
      </c>
      <c r="E277" s="1">
        <f>'Asset Prices'!E277/'Asset Prices'!E278-1</f>
        <v>3.314166231050697E-2</v>
      </c>
      <c r="F277" s="1">
        <f>'Asset Prices'!F277/'Asset Prices'!F278-1</f>
        <v>-1.4588008977236333E-2</v>
      </c>
      <c r="G277" s="1">
        <f>'Asset Prices'!G277/'Asset Prices'!G278-1</f>
        <v>1.6090104585679832E-2</v>
      </c>
      <c r="H277" s="1">
        <f>'Asset Prices'!H277/'Asset Prices'!H278-1</f>
        <v>7.9434331277268067E-2</v>
      </c>
      <c r="I277" s="1">
        <f>'Asset Prices'!I277/'Asset Prices'!I278-1</f>
        <v>1.397242527991116E-2</v>
      </c>
      <c r="J277" s="1">
        <f>'Asset Prices'!J277/'Asset Prices'!J278-1</f>
        <v>4.8987184787101956E-2</v>
      </c>
      <c r="K277" s="1">
        <f>'Asset Prices'!K277/'Asset Prices'!K278-1</f>
        <v>4.024137620462942E-2</v>
      </c>
      <c r="L277" s="1">
        <f>'Asset Prices'!L277/'Asset Prices'!L278-1</f>
        <v>3.5967417750978559E-2</v>
      </c>
      <c r="M277" s="1">
        <f>'Asset Prices'!M277/'Asset Prices'!M278-1</f>
        <v>4.7984644913627861E-3</v>
      </c>
      <c r="N277" s="1">
        <f>'Asset Prices'!N277/'Asset Prices'!N278-1</f>
        <v>3.3876453807328843E-3</v>
      </c>
      <c r="O277" s="1">
        <f>'Asset Prices'!O277/'Asset Prices'!O278-1</f>
        <v>1.5444855340439378E-2</v>
      </c>
      <c r="P277" s="1">
        <f>'Asset Prices'!P277/'Asset Prices'!P278-1</f>
        <v>5.6390977443609991E-3</v>
      </c>
      <c r="Q277" s="1">
        <f>'Asset Prices'!Q277/'Asset Prices'!Q278-1</f>
        <v>7.7257213775985267E-2</v>
      </c>
      <c r="R277" s="1">
        <f>'Asset Prices'!R277/'Asset Prices'!R278-1</f>
        <v>-1.4925373134328401E-2</v>
      </c>
      <c r="S277" s="1">
        <f>'Asset Prices'!S277/'Asset Prices'!S278-1</f>
        <v>-2.9986244841815779E-2</v>
      </c>
      <c r="T277" s="1">
        <f>'Asset Prices'!T277/'Asset Prices'!T278-1</f>
        <v>5.5636896046853401E-3</v>
      </c>
      <c r="U277" s="1">
        <f>'Asset Prices'!U277/'Asset Prices'!U278-1</f>
        <v>0.10876897133220909</v>
      </c>
      <c r="V277" s="1">
        <f>'Asset Prices'!V277/'Asset Prices'!V278-1</f>
        <v>8.0492424242424088E-2</v>
      </c>
      <c r="W277" s="1">
        <f>'Asset Prices'!W277/'Asset Prices'!W278-1</f>
        <v>3.9702233250620278E-2</v>
      </c>
      <c r="X277" s="1">
        <f>'Asset Prices'!X277/'Asset Prices'!X278-1</f>
        <v>-1.3148626438131084E-2</v>
      </c>
      <c r="Y277" s="1">
        <f>'Asset Prices'!Y277/'Asset Prices'!Y278-1</f>
        <v>8.9649198788184226E-2</v>
      </c>
      <c r="Z277" s="1">
        <f>'Asset Prices'!Z277/'Asset Prices'!Z278-1</f>
        <v>5.6716417910447792E-2</v>
      </c>
      <c r="AA277" s="1">
        <f>'Asset Prices'!AA277/'Asset Prices'!AA278-1</f>
        <v>9.9091302466464803E-2</v>
      </c>
      <c r="AB277" s="1">
        <f>'Asset Prices'!AB277/'Asset Prices'!AB278-1</f>
        <v>6.0747663551401709E-2</v>
      </c>
      <c r="AC277" s="1">
        <f>'Asset Prices'!AC277/'Asset Prices'!AC278-1</f>
        <v>-1.1876006441223774E-2</v>
      </c>
      <c r="AD277" s="1">
        <f>'Asset Prices'!AD277/'Asset Prices'!AD278-1</f>
        <v>-5.3059643687064284E-2</v>
      </c>
      <c r="AE277" s="1">
        <f>'Asset Prices'!AE277/'Asset Prices'!AE278-1</f>
        <v>3.356807511737081E-2</v>
      </c>
      <c r="AF277" s="1">
        <f>'Asset Prices'!AF277/'Asset Prices'!AF278-1</f>
        <v>0.12077104642014147</v>
      </c>
      <c r="AG277" s="1">
        <f>'Asset Prices'!AG277/'Asset Prices'!AG278-1</f>
        <v>-1.9806763285024176E-2</v>
      </c>
      <c r="AH277" s="1">
        <f>'Asset Prices'!AH277/'Asset Prices'!AH278-1</f>
        <v>1.5646893974778253E-2</v>
      </c>
      <c r="AI277" s="1">
        <f>'Asset Prices'!AI277/'Asset Prices'!AI278-1</f>
        <v>6.5585088022091842E-2</v>
      </c>
      <c r="AJ277" s="1">
        <f>'Asset Prices'!AJ277/'Asset Prices'!AJ278-1</f>
        <v>2.4289642529789157E-2</v>
      </c>
      <c r="AK277" s="1">
        <f>'Asset Prices'!AK277/'Asset Prices'!AK278-1</f>
        <v>-4.094827586206895E-2</v>
      </c>
      <c r="AL277" s="1">
        <f>'Asset Prices'!AL277/'Asset Prices'!AL278-1</f>
        <v>-1.991568541939237E-2</v>
      </c>
      <c r="AM277" s="1">
        <f>'Asset Prices'!AM277/'Asset Prices'!AM278-1</f>
        <v>2.4535315985130257E-2</v>
      </c>
      <c r="AN277" s="1">
        <f>'Asset Prices'!AN277/'Asset Prices'!AN278-1</f>
        <v>1.080550098231825E-2</v>
      </c>
      <c r="AO277" s="1">
        <f>'Asset Prices'!AO277/'Asset Prices'!AO278-1</f>
        <v>1.5261201330463825E-2</v>
      </c>
      <c r="AP277" s="1">
        <f>'Asset Prices'!AP277/'Asset Prices'!AP278-1</f>
        <v>1.8646776771444884E-3</v>
      </c>
      <c r="AQ277" s="1">
        <f>'Asset Prices'!AQ277/'Asset Prices'!AQ278-1</f>
        <v>0.19750843498572546</v>
      </c>
      <c r="AR277" s="1">
        <f>'Asset Prices'!AR277/'Asset Prices'!AR278-1</f>
        <v>3.7524177949709969E-2</v>
      </c>
      <c r="AS277" s="1">
        <f>'Asset Prices'!AS277/'Asset Prices'!AS278-1</f>
        <v>-3.5638970898355216E-2</v>
      </c>
      <c r="AT277" s="1">
        <f>'Asset Prices'!AT277/'Asset Prices'!AT278-1</f>
        <v>3.3057851239669311E-2</v>
      </c>
      <c r="AU277" s="1">
        <f>'Asset Prices'!AU277/'Asset Prices'!AU278-1</f>
        <v>5.5828344655950435E-3</v>
      </c>
      <c r="AV277" s="1">
        <f>'Asset Prices'!AV277/'Asset Prices'!AV278-1</f>
        <v>-5.8930741190765468E-2</v>
      </c>
      <c r="AW277" s="1">
        <f>'Asset Prices'!AW277/'Asset Prices'!AW278-1</f>
        <v>7.8321216126900239E-2</v>
      </c>
      <c r="AX277" s="1">
        <f>'Asset Prices'!AX277/'Asset Prices'!AX278-1</f>
        <v>0.15335868187579216</v>
      </c>
      <c r="AY277" s="1">
        <f>'Asset Prices'!AY277/'Asset Prices'!AY278-1</f>
        <v>7.0820021299254465E-2</v>
      </c>
      <c r="AZ277" s="1">
        <f>'Asset Prices'!AZ277/'Asset Prices'!AZ278-1</f>
        <v>6.5748278021289908E-2</v>
      </c>
      <c r="BA277" s="1">
        <f>'Asset Prices'!BA277/'Asset Prices'!BA278-1</f>
        <v>1.2770485987938951E-2</v>
      </c>
      <c r="BB277" s="1">
        <f>'Asset Prices'!BB277/'Asset Prices'!BB278-1</f>
        <v>-2.1255230125523106E-2</v>
      </c>
      <c r="BC277" s="1">
        <f>'Asset Prices'!BC277/'Asset Prices'!BC278-1</f>
        <v>2.0259893679858143E-2</v>
      </c>
      <c r="BD277" s="1">
        <f>'Asset Prices'!BD277/'Asset Prices'!BD278-1</f>
        <v>2.3182006347454154E-2</v>
      </c>
    </row>
    <row r="278" spans="3:56" x14ac:dyDescent="0.25">
      <c r="C278" s="38">
        <f>'Asset Prices'!C278</f>
        <v>42425</v>
      </c>
      <c r="D278" s="1">
        <f>'Asset Prices'!D278/'Asset Prices'!D279-1</f>
        <v>2.8495227400336942E-2</v>
      </c>
      <c r="E278" s="1">
        <f>'Asset Prices'!E278/'Asset Prices'!E279-1</f>
        <v>5.0436061784175923E-3</v>
      </c>
      <c r="F278" s="1">
        <f>'Asset Prices'!F278/'Asset Prices'!F279-1</f>
        <v>6.4505119453925008E-2</v>
      </c>
      <c r="G278" s="1">
        <f>'Asset Prices'!G278/'Asset Prices'!G279-1</f>
        <v>1.8018018018017834E-2</v>
      </c>
      <c r="H278" s="1">
        <f>'Asset Prices'!H278/'Asset Prices'!H279-1</f>
        <v>5.2934059286144919E-3</v>
      </c>
      <c r="I278" s="1">
        <f>'Asset Prices'!I278/'Asset Prices'!I279-1</f>
        <v>4.4457330627234892E-2</v>
      </c>
      <c r="J278" s="1">
        <f>'Asset Prices'!J278/'Asset Prices'!J279-1</f>
        <v>5.1942655308538921E-3</v>
      </c>
      <c r="K278" s="1">
        <f>'Asset Prices'!K278/'Asset Prices'!K279-1</f>
        <v>5.7428571428571384E-2</v>
      </c>
      <c r="L278" s="1">
        <f>'Asset Prices'!L278/'Asset Prices'!L279-1</f>
        <v>4.4645817217372263E-2</v>
      </c>
      <c r="M278" s="1">
        <f>'Asset Prices'!M278/'Asset Prices'!M279-1</f>
        <v>-1.7244682889441254E-3</v>
      </c>
      <c r="N278" s="1">
        <f>'Asset Prices'!N278/'Asset Prices'!N279-1</f>
        <v>1.6180959150395191E-2</v>
      </c>
      <c r="O278" s="1">
        <f>'Asset Prices'!O278/'Asset Prices'!O279-1</f>
        <v>1.6023870040888566E-2</v>
      </c>
      <c r="P278" s="1">
        <f>'Asset Prices'!P278/'Asset Prices'!P279-1</f>
        <v>2.3587258604717221E-2</v>
      </c>
      <c r="Q278" s="1">
        <f>'Asset Prices'!Q278/'Asset Prices'!Q279-1</f>
        <v>2.5127226463104169E-2</v>
      </c>
      <c r="R278" s="1">
        <f>'Asset Prices'!R278/'Asset Prices'!R279-1</f>
        <v>1.4127144298688332E-2</v>
      </c>
      <c r="S278" s="1">
        <f>'Asset Prices'!S278/'Asset Prices'!S279-1</f>
        <v>-4.6549835706463094E-3</v>
      </c>
      <c r="T278" s="1">
        <f>'Asset Prices'!T278/'Asset Prices'!T279-1</f>
        <v>5.1740067754850516E-2</v>
      </c>
      <c r="U278" s="1">
        <f>'Asset Prices'!U278/'Asset Prices'!U279-1</f>
        <v>3.0856149500217089E-2</v>
      </c>
      <c r="V278" s="1">
        <f>'Asset Prices'!V278/'Asset Prices'!V279-1</f>
        <v>5.600000000000005E-2</v>
      </c>
      <c r="W278" s="1">
        <f>'Asset Prices'!W278/'Asset Prices'!W279-1</f>
        <v>4.8455284552845646E-2</v>
      </c>
      <c r="X278" s="1">
        <f>'Asset Prices'!X278/'Asset Prices'!X279-1</f>
        <v>9.2051282051282213E-2</v>
      </c>
      <c r="Y278" s="1">
        <f>'Asset Prices'!Y278/'Asset Prices'!Y279-1</f>
        <v>1.4945054927795853E-2</v>
      </c>
      <c r="Z278" s="1">
        <f>'Asset Prices'!Z278/'Asset Prices'!Z279-1</f>
        <v>-4.6941678520625918E-2</v>
      </c>
      <c r="AA278" s="1">
        <f>'Asset Prices'!AA278/'Asset Prices'!AA279-1</f>
        <v>7.4883720930232434E-2</v>
      </c>
      <c r="AB278" s="1">
        <f>'Asset Prices'!AB278/'Asset Prices'!AB279-1</f>
        <v>0.15053763440860224</v>
      </c>
      <c r="AC278" s="1">
        <f>'Asset Prices'!AC278/'Asset Prices'!AC279-1</f>
        <v>2.3485784919653918E-2</v>
      </c>
      <c r="AD278" s="1">
        <f>'Asset Prices'!AD278/'Asset Prices'!AD279-1</f>
        <v>-2.2340022718667196E-2</v>
      </c>
      <c r="AE278" s="1">
        <f>'Asset Prices'!AE278/'Asset Prices'!AE279-1</f>
        <v>0.23478260869565215</v>
      </c>
      <c r="AF278" s="1">
        <f>'Asset Prices'!AF278/'Asset Prices'!AF279-1</f>
        <v>-1.1664074650077683E-2</v>
      </c>
      <c r="AG278" s="1">
        <f>'Asset Prices'!AG278/'Asset Prices'!AG279-1</f>
        <v>-9.095260890378265E-3</v>
      </c>
      <c r="AH278" s="1">
        <f>'Asset Prices'!AH278/'Asset Prices'!AH279-1</f>
        <v>8.5424588086185027E-2</v>
      </c>
      <c r="AI278" s="1">
        <f>'Asset Prices'!AI278/'Asset Prices'!AI279-1</f>
        <v>4.3024302430243022E-2</v>
      </c>
      <c r="AJ278" s="1">
        <f>'Asset Prices'!AJ278/'Asset Prices'!AJ279-1</f>
        <v>3.0703826169107051E-2</v>
      </c>
      <c r="AK278" s="1">
        <f>'Asset Prices'!AK278/'Asset Prices'!AK279-1</f>
        <v>8.9201877934272256E-2</v>
      </c>
      <c r="AL278" s="1">
        <f>'Asset Prices'!AL278/'Asset Prices'!AL279-1</f>
        <v>7.990580847723705E-2</v>
      </c>
      <c r="AM278" s="1">
        <f>'Asset Prices'!AM278/'Asset Prices'!AM279-1</f>
        <v>1.5477538693846826E-2</v>
      </c>
      <c r="AN278" s="1">
        <f>'Asset Prices'!AN278/'Asset Prices'!AN279-1</f>
        <v>5.0134103569217991E-2</v>
      </c>
      <c r="AO278" s="1">
        <f>'Asset Prices'!AO278/'Asset Prices'!AO279-1</f>
        <v>3.3372595210050537E-3</v>
      </c>
      <c r="AP278" s="1">
        <f>'Asset Prices'!AP278/'Asset Prices'!AP279-1</f>
        <v>4.8456919424661349E-2</v>
      </c>
      <c r="AQ278" s="1">
        <f>'Asset Prices'!AQ278/'Asset Prices'!AQ279-1</f>
        <v>0.1419679905157083</v>
      </c>
      <c r="AR278" s="1">
        <f>'Asset Prices'!AR278/'Asset Prices'!AR279-1</f>
        <v>3.1112883925009882E-2</v>
      </c>
      <c r="AS278" s="1">
        <f>'Asset Prices'!AS278/'Asset Prices'!AS279-1</f>
        <v>6.0612838291210114E-2</v>
      </c>
      <c r="AT278" s="1">
        <f>'Asset Prices'!AT278/'Asset Prices'!AT279-1</f>
        <v>-2.1563342318059342E-2</v>
      </c>
      <c r="AU278" s="1">
        <f>'Asset Prices'!AU278/'Asset Prices'!AU279-1</f>
        <v>3.8343344042463867E-2</v>
      </c>
      <c r="AV278" s="1">
        <f>'Asset Prices'!AV278/'Asset Prices'!AV279-1</f>
        <v>3.7961911968722228E-2</v>
      </c>
      <c r="AW278" s="1">
        <f>'Asset Prices'!AW278/'Asset Prices'!AW279-1</f>
        <v>8.8097806544408686E-2</v>
      </c>
      <c r="AX278" s="1">
        <f>'Asset Prices'!AX278/'Asset Prices'!AX279-1</f>
        <v>0.17149220489977712</v>
      </c>
      <c r="AY278" s="1">
        <f>'Asset Prices'!AY278/'Asset Prices'!AY279-1</f>
        <v>2.3433242506812224E-2</v>
      </c>
      <c r="AZ278" s="1">
        <f>'Asset Prices'!AZ278/'Asset Prices'!AZ279-1</f>
        <v>3.1407035175878839E-3</v>
      </c>
      <c r="BA278" s="1">
        <f>'Asset Prices'!BA278/'Asset Prices'!BA279-1</f>
        <v>7.3904761904761918E-2</v>
      </c>
      <c r="BB278" s="1">
        <f>'Asset Prices'!BB278/'Asset Prices'!BB279-1</f>
        <v>1.997268692386478E-2</v>
      </c>
      <c r="BC278" s="1">
        <f>'Asset Prices'!BC278/'Asset Prices'!BC279-1</f>
        <v>7.5261987932677243E-2</v>
      </c>
      <c r="BD278" s="1">
        <f>'Asset Prices'!BD278/'Asset Prices'!BD279-1</f>
        <v>5.9038433435627535E-2</v>
      </c>
    </row>
    <row r="279" spans="3:56" x14ac:dyDescent="0.25">
      <c r="C279" s="38">
        <f>'Asset Prices'!C279</f>
        <v>42418</v>
      </c>
      <c r="D279" s="1">
        <f>'Asset Prices'!D279/'Asset Prices'!D280-1</f>
        <v>4.0455674017817911E-2</v>
      </c>
      <c r="E279" s="1">
        <f>'Asset Prices'!E279/'Asset Prices'!E280-1</f>
        <v>5.3814638467500897E-2</v>
      </c>
      <c r="F279" s="1">
        <f>'Asset Prices'!F279/'Asset Prices'!F280-1</f>
        <v>4.6428571428571486E-2</v>
      </c>
      <c r="G279" s="1">
        <f>'Asset Prices'!G279/'Asset Prices'!G280-1</f>
        <v>5.1377726750861052E-2</v>
      </c>
      <c r="H279" s="1">
        <f>'Asset Prices'!H279/'Asset Prices'!H280-1</f>
        <v>7.669760625305333E-2</v>
      </c>
      <c r="I279" s="1">
        <f>'Asset Prices'!I279/'Asset Prices'!I280-1</f>
        <v>1.5307624374448103E-2</v>
      </c>
      <c r="J279" s="1">
        <f>'Asset Prices'!J279/'Asset Prices'!J280-1</f>
        <v>2.7321237993596537E-2</v>
      </c>
      <c r="K279" s="1">
        <f>'Asset Prices'!K279/'Asset Prices'!K280-1</f>
        <v>4.2038823389305646E-2</v>
      </c>
      <c r="L279" s="1">
        <f>'Asset Prices'!L279/'Asset Prices'!L280-1</f>
        <v>4.7944412275622517E-2</v>
      </c>
      <c r="M279" s="1">
        <f>'Asset Prices'!M279/'Asset Prices'!M280-1</f>
        <v>5.0311933990742519E-2</v>
      </c>
      <c r="N279" s="1">
        <f>'Asset Prices'!N279/'Asset Prices'!N280-1</f>
        <v>1.5785152047114837E-2</v>
      </c>
      <c r="O279" s="1">
        <f>'Asset Prices'!O279/'Asset Prices'!O280-1</f>
        <v>2.2601423889704986E-2</v>
      </c>
      <c r="P279" s="1">
        <f>'Asset Prices'!P279/'Asset Prices'!P280-1</f>
        <v>3.4805692795516485E-2</v>
      </c>
      <c r="Q279" s="1">
        <f>'Asset Prices'!Q279/'Asset Prices'!Q280-1</f>
        <v>6.9569654703180772E-2</v>
      </c>
      <c r="R279" s="1">
        <f>'Asset Prices'!R279/'Asset Prices'!R280-1</f>
        <v>1.6670941266991424E-2</v>
      </c>
      <c r="S279" s="1">
        <f>'Asset Prices'!S279/'Asset Prices'!S280-1</f>
        <v>1.7270194986072518E-2</v>
      </c>
      <c r="T279" s="1">
        <f>'Asset Prices'!T279/'Asset Prices'!T280-1</f>
        <v>5.4391946744601238E-2</v>
      </c>
      <c r="U279" s="1">
        <f>'Asset Prices'!U279/'Asset Prices'!U280-1</f>
        <v>0.14335403726708074</v>
      </c>
      <c r="V279" s="1">
        <f>'Asset Prices'!V279/'Asset Prices'!V280-1</f>
        <v>5.8201058201058142E-2</v>
      </c>
      <c r="W279" s="1">
        <f>'Asset Prices'!W279/'Asset Prices'!W280-1</f>
        <v>0.14184923876717415</v>
      </c>
      <c r="X279" s="1">
        <f>'Asset Prices'!X279/'Asset Prices'!X280-1</f>
        <v>0.10356536502546687</v>
      </c>
      <c r="Y279" s="1">
        <f>'Asset Prices'!Y279/'Asset Prices'!Y280-1</f>
        <v>3.2214156091676438E-2</v>
      </c>
      <c r="Z279" s="1">
        <f>'Asset Prices'!Z279/'Asset Prices'!Z280-1</f>
        <v>0.10361067503924648</v>
      </c>
      <c r="AA279" s="1">
        <f>'Asset Prices'!AA279/'Asset Prices'!AA280-1</f>
        <v>3.7144235407621684E-2</v>
      </c>
      <c r="AB279" s="1">
        <f>'Asset Prices'!AB279/'Asset Prices'!AB280-1</f>
        <v>2.7624309392265234E-2</v>
      </c>
      <c r="AC279" s="1">
        <f>'Asset Prices'!AC279/'Asset Prices'!AC280-1</f>
        <v>0.1215341959334566</v>
      </c>
      <c r="AD279" s="1">
        <f>'Asset Prices'!AD279/'Asset Prices'!AD280-1</f>
        <v>0.17534490431686689</v>
      </c>
      <c r="AE279" s="1">
        <f>'Asset Prices'!AE279/'Asset Prices'!AE280-1</f>
        <v>6.1538461538461542E-2</v>
      </c>
      <c r="AF279" s="1">
        <f>'Asset Prices'!AF279/'Asset Prices'!AF280-1</f>
        <v>3.9191919191919222E-2</v>
      </c>
      <c r="AG279" s="1">
        <f>'Asset Prices'!AG279/'Asset Prices'!AG280-1</f>
        <v>5.3985872855701222E-2</v>
      </c>
      <c r="AH279" s="1">
        <f>'Asset Prices'!AH279/'Asset Prices'!AH280-1</f>
        <v>7.8753076292042756E-2</v>
      </c>
      <c r="AI279" s="1">
        <f>'Asset Prices'!AI279/'Asset Prices'!AI280-1</f>
        <v>4.0457014422176307E-2</v>
      </c>
      <c r="AJ279" s="1">
        <f>'Asset Prices'!AJ279/'Asset Prices'!AJ280-1</f>
        <v>4.8538880633977266E-2</v>
      </c>
      <c r="AK279" s="1">
        <f>'Asset Prices'!AK279/'Asset Prices'!AK280-1</f>
        <v>3.9531478770131967E-2</v>
      </c>
      <c r="AL279" s="1">
        <f>'Asset Prices'!AL279/'Asset Prices'!AL280-1</f>
        <v>2.1651964715316829E-2</v>
      </c>
      <c r="AM279" s="1">
        <f>'Asset Prices'!AM279/'Asset Prices'!AM280-1</f>
        <v>0.1238862961391598</v>
      </c>
      <c r="AN279" s="1">
        <f>'Asset Prices'!AN279/'Asset Prices'!AN280-1</f>
        <v>8.1114808652247294E-3</v>
      </c>
      <c r="AO279" s="1">
        <f>'Asset Prices'!AO279/'Asset Prices'!AO280-1</f>
        <v>3.1382871026523596E-2</v>
      </c>
      <c r="AP279" s="1">
        <f>'Asset Prices'!AP279/'Asset Prices'!AP280-1</f>
        <v>5.448387571786184E-2</v>
      </c>
      <c r="AQ279" s="1">
        <f>'Asset Prices'!AQ279/'Asset Prices'!AQ280-1</f>
        <v>9.332469215813366E-2</v>
      </c>
      <c r="AR279" s="1">
        <f>'Asset Prices'!AR279/'Asset Prices'!AR280-1</f>
        <v>1.1980830670925702E-3</v>
      </c>
      <c r="AS279" s="1">
        <f>'Asset Prices'!AS279/'Asset Prices'!AS280-1</f>
        <v>7.9430226943505433E-2</v>
      </c>
      <c r="AT279" s="1">
        <f>'Asset Prices'!AT279/'Asset Prices'!AT280-1</f>
        <v>4.4825158413517974E-2</v>
      </c>
      <c r="AU279" s="1">
        <f>'Asset Prices'!AU279/'Asset Prices'!AU280-1</f>
        <v>5.800635483632588E-2</v>
      </c>
      <c r="AV279" s="1">
        <f>'Asset Prices'!AV279/'Asset Prices'!AV280-1</f>
        <v>7.9803894865858593E-2</v>
      </c>
      <c r="AW279" s="1">
        <f>'Asset Prices'!AW279/'Asset Prices'!AW280-1</f>
        <v>0.14162561576354671</v>
      </c>
      <c r="AX279" s="1">
        <f>'Asset Prices'!AX279/'Asset Prices'!AX280-1</f>
        <v>8.5414987912973528E-2</v>
      </c>
      <c r="AY279" s="1">
        <f>'Asset Prices'!AY279/'Asset Prices'!AY280-1</f>
        <v>5.4525627044710312E-4</v>
      </c>
      <c r="AZ279" s="1">
        <f>'Asset Prices'!AZ279/'Asset Prices'!AZ280-1</f>
        <v>4.5534150612959623E-2</v>
      </c>
      <c r="BA279" s="1">
        <f>'Asset Prices'!BA279/'Asset Prices'!BA280-1</f>
        <v>7.1866067782768495E-2</v>
      </c>
      <c r="BB279" s="1">
        <f>'Asset Prices'!BB279/'Asset Prices'!BB280-1</f>
        <v>1.9846796657381649E-2</v>
      </c>
      <c r="BC279" s="1">
        <f>'Asset Prices'!BC279/'Asset Prices'!BC280-1</f>
        <v>2.9421379535796044E-2</v>
      </c>
      <c r="BD279" s="1">
        <f>'Asset Prices'!BD279/'Asset Prices'!BD280-1</f>
        <v>2.2717082648333831E-2</v>
      </c>
    </row>
    <row r="280" spans="3:56" x14ac:dyDescent="0.25">
      <c r="C280" s="38">
        <f>'Asset Prices'!C280</f>
        <v>42411</v>
      </c>
      <c r="D280" s="1">
        <f>'Asset Prices'!D280/'Asset Prices'!D281-1</f>
        <v>-7.071118349619987E-2</v>
      </c>
      <c r="E280" s="1">
        <f>'Asset Prices'!E280/'Asset Prices'!E281-1</f>
        <v>-5.3651891438750932E-2</v>
      </c>
      <c r="F280" s="1">
        <f>'Asset Prices'!F280/'Asset Prices'!F281-1</f>
        <v>-6.9303639687551932E-2</v>
      </c>
      <c r="G280" s="1">
        <f>'Asset Prices'!G280/'Asset Prices'!G281-1</f>
        <v>-4.417009602194788E-2</v>
      </c>
      <c r="H280" s="1">
        <f>'Asset Prices'!H280/'Asset Prices'!H281-1</f>
        <v>-6.8981200727713743E-2</v>
      </c>
      <c r="I280" s="1">
        <f>'Asset Prices'!I280/'Asset Prices'!I281-1</f>
        <v>-7.7654086342655471E-2</v>
      </c>
      <c r="J280" s="1">
        <f>'Asset Prices'!J280/'Asset Prices'!J281-1</f>
        <v>-3.0020703933747339E-2</v>
      </c>
      <c r="K280" s="1">
        <f>'Asset Prices'!K280/'Asset Prices'!K281-1</f>
        <v>-6.049304441875214E-2</v>
      </c>
      <c r="L280" s="1">
        <f>'Asset Prices'!L280/'Asset Prices'!L281-1</f>
        <v>-3.7454018504068709E-2</v>
      </c>
      <c r="M280" s="1">
        <f>'Asset Prices'!M280/'Asset Prices'!M281-1</f>
        <v>-4.442307692307701E-2</v>
      </c>
      <c r="N280" s="1">
        <f>'Asset Prices'!N280/'Asset Prices'!N281-1</f>
        <v>-3.242332506883272E-2</v>
      </c>
      <c r="O280" s="1">
        <f>'Asset Prices'!O280/'Asset Prices'!O281-1</f>
        <v>-1.6922382671480385E-3</v>
      </c>
      <c r="P280" s="1">
        <f>'Asset Prices'!P280/'Asset Prices'!P281-1</f>
        <v>-7.7169105137801841E-2</v>
      </c>
      <c r="Q280" s="1">
        <f>'Asset Prices'!Q280/'Asset Prices'!Q281-1</f>
        <v>-0.12748590086078948</v>
      </c>
      <c r="R280" s="1">
        <f>'Asset Prices'!R280/'Asset Prices'!R281-1</f>
        <v>-2.0476068594829089E-3</v>
      </c>
      <c r="S280" s="1">
        <f>'Asset Prices'!S280/'Asset Prices'!S281-1</f>
        <v>-2.0731042007637646E-2</v>
      </c>
      <c r="T280" s="1">
        <f>'Asset Prices'!T280/'Asset Prices'!T281-1</f>
        <v>1.4495140833470588E-2</v>
      </c>
      <c r="U280" s="1">
        <f>'Asset Prices'!U280/'Asset Prices'!U281-1</f>
        <v>-5.6935332708528574E-2</v>
      </c>
      <c r="V280" s="1">
        <f>'Asset Prices'!V280/'Asset Prices'!V281-1</f>
        <v>-6.7127344521224153E-2</v>
      </c>
      <c r="W280" s="1">
        <f>'Asset Prices'!W280/'Asset Prices'!W281-1</f>
        <v>-5.0423131170662994E-2</v>
      </c>
      <c r="X280" s="1">
        <f>'Asset Prices'!X280/'Asset Prices'!X281-1</f>
        <v>-5.8854860186417945E-2</v>
      </c>
      <c r="Y280" s="1">
        <f>'Asset Prices'!Y280/'Asset Prices'!Y281-1</f>
        <v>-9.1508656223839191E-2</v>
      </c>
      <c r="Z280" s="1">
        <f>'Asset Prices'!Z280/'Asset Prices'!Z281-1</f>
        <v>4.4262295081967329E-2</v>
      </c>
      <c r="AA280" s="1">
        <f>'Asset Prices'!AA280/'Asset Prices'!AA281-1</f>
        <v>-0.11824755423224165</v>
      </c>
      <c r="AB280" s="1">
        <f>'Asset Prices'!AB280/'Asset Prices'!AB281-1</f>
        <v>-0.23949579831932766</v>
      </c>
      <c r="AC280" s="1">
        <f>'Asset Prices'!AC280/'Asset Prices'!AC281-1</f>
        <v>-0.10281923714759533</v>
      </c>
      <c r="AD280" s="1">
        <f>'Asset Prices'!AD280/'Asset Prices'!AD281-1</f>
        <v>-3.4379028792436594E-2</v>
      </c>
      <c r="AE280" s="1">
        <f>'Asset Prices'!AE280/'Asset Prices'!AE281-1</f>
        <v>-0.11468264777989645</v>
      </c>
      <c r="AF280" s="1">
        <f>'Asset Prices'!AF280/'Asset Prices'!AF281-1</f>
        <v>-2.0161290322581182E-3</v>
      </c>
      <c r="AG280" s="1">
        <f>'Asset Prices'!AG280/'Asset Prices'!AG281-1</f>
        <v>-4.3897732754462182E-2</v>
      </c>
      <c r="AH280" s="1">
        <f>'Asset Prices'!AH280/'Asset Prices'!AH281-1</f>
        <v>-6.1826577732170263E-2</v>
      </c>
      <c r="AI280" s="1">
        <f>'Asset Prices'!AI280/'Asset Prices'!AI281-1</f>
        <v>-4.7627541919372129E-2</v>
      </c>
      <c r="AJ280" s="1">
        <f>'Asset Prices'!AJ280/'Asset Prices'!AJ281-1</f>
        <v>-6.8297185048454057E-2</v>
      </c>
      <c r="AK280" s="1">
        <f>'Asset Prices'!AK280/'Asset Prices'!AK281-1</f>
        <v>-1.3005780346820983E-2</v>
      </c>
      <c r="AL280" s="1">
        <f>'Asset Prices'!AL280/'Asset Prices'!AL281-1</f>
        <v>-1.1415887109560763E-2</v>
      </c>
      <c r="AM280" s="1">
        <f>'Asset Prices'!AM280/'Asset Prices'!AM281-1</f>
        <v>-7.6772424598511635E-2</v>
      </c>
      <c r="AN280" s="1">
        <f>'Asset Prices'!AN280/'Asset Prices'!AN281-1</f>
        <v>-3.3956198513160674E-2</v>
      </c>
      <c r="AO280" s="1">
        <f>'Asset Prices'!AO280/'Asset Prices'!AO281-1</f>
        <v>-2.0622645250842786E-2</v>
      </c>
      <c r="AP280" s="1">
        <f>'Asset Prices'!AP280/'Asset Prices'!AP281-1</f>
        <v>-4.0276992651215537E-2</v>
      </c>
      <c r="AQ280" s="1">
        <f>'Asset Prices'!AQ280/'Asset Prices'!AQ281-1</f>
        <v>-0.3446591633043109</v>
      </c>
      <c r="AR280" s="1">
        <f>'Asset Prices'!AR280/'Asset Prices'!AR281-1</f>
        <v>7.1000855431993193E-2</v>
      </c>
      <c r="AS280" s="1">
        <f>'Asset Prices'!AS280/'Asset Prices'!AS281-1</f>
        <v>-0.20818199197094245</v>
      </c>
      <c r="AT280" s="1">
        <f>'Asset Prices'!AT280/'Asset Prices'!AT281-1</f>
        <v>-1.9106813996316752E-2</v>
      </c>
      <c r="AU280" s="1">
        <f>'Asset Prices'!AU280/'Asset Prices'!AU281-1</f>
        <v>-1.8707852947574377E-2</v>
      </c>
      <c r="AV280" s="1">
        <f>'Asset Prices'!AV280/'Asset Prices'!AV281-1</f>
        <v>-4.2259032215990588E-2</v>
      </c>
      <c r="AW280" s="1">
        <f>'Asset Prices'!AW280/'Asset Prices'!AW281-1</f>
        <v>-0.21343235389086213</v>
      </c>
      <c r="AX280" s="1">
        <f>'Asset Prices'!AX280/'Asset Prices'!AX281-1</f>
        <v>-0.15635622025832774</v>
      </c>
      <c r="AY280" s="1">
        <f>'Asset Prices'!AY280/'Asset Prices'!AY281-1</f>
        <v>-0.13121743249644724</v>
      </c>
      <c r="AZ280" s="1">
        <f>'Asset Prices'!AZ280/'Asset Prices'!AZ281-1</f>
        <v>-3.1793132683340386E-2</v>
      </c>
      <c r="BA280" s="1">
        <f>'Asset Prices'!BA280/'Asset Prices'!BA281-1</f>
        <v>-6.4553093964858754E-2</v>
      </c>
      <c r="BB280" s="1">
        <f>'Asset Prices'!BB280/'Asset Prices'!BB281-1</f>
        <v>1.2336975678533646E-2</v>
      </c>
      <c r="BC280" s="1">
        <f>'Asset Prices'!BC280/'Asset Prices'!BC281-1</f>
        <v>-3.4589408571608971E-2</v>
      </c>
      <c r="BD280" s="1">
        <f>'Asset Prices'!BD280/'Asset Prices'!BD281-1</f>
        <v>-0.1491607324516786</v>
      </c>
    </row>
    <row r="281" spans="3:56" x14ac:dyDescent="0.25">
      <c r="C281" s="38">
        <f>'Asset Prices'!C281</f>
        <v>42404</v>
      </c>
      <c r="D281" s="1">
        <f>'Asset Prices'!D281/'Asset Prices'!D282-1</f>
        <v>6.2743401125054277E-2</v>
      </c>
      <c r="E281" s="1">
        <f>'Asset Prices'!E281/'Asset Prices'!E282-1</f>
        <v>2.031433764567514E-2</v>
      </c>
      <c r="F281" s="1">
        <f>'Asset Prices'!F281/'Asset Prices'!F282-1</f>
        <v>-1.6830065359477175E-2</v>
      </c>
      <c r="G281" s="1">
        <f>'Asset Prices'!G281/'Asset Prices'!G282-1</f>
        <v>3.1701103877724401E-2</v>
      </c>
      <c r="H281" s="1">
        <f>'Asset Prices'!H281/'Asset Prices'!H282-1</f>
        <v>7.9895219384413796E-2</v>
      </c>
      <c r="I281" s="1">
        <f>'Asset Prices'!I281/'Asset Prices'!I282-1</f>
        <v>1.2647786637338454E-2</v>
      </c>
      <c r="J281" s="1">
        <f>'Asset Prices'!J281/'Asset Prices'!J282-1</f>
        <v>2.6676586247210032E-2</v>
      </c>
      <c r="K281" s="1">
        <f>'Asset Prices'!K281/'Asset Prices'!K282-1</f>
        <v>-0.15596128118359964</v>
      </c>
      <c r="L281" s="1">
        <f>'Asset Prices'!L281/'Asset Prices'!L282-1</f>
        <v>-4.9782861984959292E-2</v>
      </c>
      <c r="M281" s="1">
        <f>'Asset Prices'!M281/'Asset Prices'!M282-1</f>
        <v>-1.0565747766785316E-3</v>
      </c>
      <c r="N281" s="1">
        <f>'Asset Prices'!N281/'Asset Prices'!N282-1</f>
        <v>-2.4415341440598648E-2</v>
      </c>
      <c r="O281" s="1">
        <f>'Asset Prices'!O281/'Asset Prices'!O282-1</f>
        <v>1.8850574712643731E-2</v>
      </c>
      <c r="P281" s="1">
        <f>'Asset Prices'!P281/'Asset Prices'!P282-1</f>
        <v>-3.2077460150177872E-2</v>
      </c>
      <c r="Q281" s="1">
        <f>'Asset Prices'!Q281/'Asset Prices'!Q282-1</f>
        <v>0.13224668123004535</v>
      </c>
      <c r="R281" s="1">
        <f>'Asset Prices'!R281/'Asset Prices'!R282-1</f>
        <v>3.9925472451423971E-2</v>
      </c>
      <c r="S281" s="1">
        <f>'Asset Prices'!S281/'Asset Prices'!S282-1</f>
        <v>6.8181818181818121E-2</v>
      </c>
      <c r="T281" s="1">
        <f>'Asset Prices'!T281/'Asset Prices'!T282-1</f>
        <v>2.5333558520520105E-2</v>
      </c>
      <c r="U281" s="1">
        <f>'Asset Prices'!U281/'Asset Prices'!U282-1</f>
        <v>-2.5706940874036244E-3</v>
      </c>
      <c r="V281" s="1">
        <f>'Asset Prices'!V281/'Asset Prices'!V282-1</f>
        <v>-1.8410852713178327E-2</v>
      </c>
      <c r="W281" s="1">
        <f>'Asset Prices'!W281/'Asset Prices'!W282-1</f>
        <v>5.1538746755654508E-2</v>
      </c>
      <c r="X281" s="1">
        <f>'Asset Prices'!X281/'Asset Prices'!X282-1</f>
        <v>3.7579441834761029E-2</v>
      </c>
      <c r="Y281" s="1">
        <f>'Asset Prices'!Y281/'Asset Prices'!Y282-1</f>
        <v>4.123711303891664E-4</v>
      </c>
      <c r="Z281" s="1">
        <f>'Asset Prices'!Z281/'Asset Prices'!Z282-1</f>
        <v>3.5653650254668934E-2</v>
      </c>
      <c r="AA281" s="1">
        <f>'Asset Prices'!AA281/'Asset Prices'!AA282-1</f>
        <v>1.7748917748917847E-2</v>
      </c>
      <c r="AB281" s="1">
        <f>'Asset Prices'!AB281/'Asset Prices'!AB282-1</f>
        <v>-1.6528925619834767E-2</v>
      </c>
      <c r="AC281" s="1">
        <f>'Asset Prices'!AC281/'Asset Prices'!AC282-1</f>
        <v>8.8939051918736078E-2</v>
      </c>
      <c r="AD281" s="1">
        <f>'Asset Prices'!AD281/'Asset Prices'!AD282-1</f>
        <v>9.919697685403861E-2</v>
      </c>
      <c r="AE281" s="1">
        <f>'Asset Prices'!AE281/'Asset Prices'!AE282-1</f>
        <v>3.1759415401911184E-2</v>
      </c>
      <c r="AF281" s="1">
        <f>'Asset Prices'!AF281/'Asset Prices'!AF282-1</f>
        <v>7.8260869565217384E-2</v>
      </c>
      <c r="AG281" s="1">
        <f>'Asset Prices'!AG281/'Asset Prices'!AG282-1</f>
        <v>-3.0402245088868018E-2</v>
      </c>
      <c r="AH281" s="1">
        <f>'Asset Prices'!AH281/'Asset Prices'!AH282-1</f>
        <v>3.2036007413290823E-2</v>
      </c>
      <c r="AI281" s="1">
        <f>'Asset Prices'!AI281/'Asset Prices'!AI282-1</f>
        <v>-3.2614322691975839E-2</v>
      </c>
      <c r="AJ281" s="1">
        <f>'Asset Prices'!AJ281/'Asset Prices'!AJ282-1</f>
        <v>-3.688888888888886E-2</v>
      </c>
      <c r="AK281" s="1">
        <f>'Asset Prices'!AK281/'Asset Prices'!AK282-1</f>
        <v>4.2168674698795261E-2</v>
      </c>
      <c r="AL281" s="1">
        <f>'Asset Prices'!AL281/'Asset Prices'!AL282-1</f>
        <v>2.452891487979203E-2</v>
      </c>
      <c r="AM281" s="1">
        <f>'Asset Prices'!AM281/'Asset Prices'!AM282-1</f>
        <v>4.4428080510554802E-2</v>
      </c>
      <c r="AN281" s="1">
        <f>'Asset Prices'!AN281/'Asset Prices'!AN282-1</f>
        <v>2.2916452574247348E-2</v>
      </c>
      <c r="AO281" s="1">
        <f>'Asset Prices'!AO281/'Asset Prices'!AO282-1</f>
        <v>2.8973678841052841E-2</v>
      </c>
      <c r="AP281" s="1">
        <f>'Asset Prices'!AP281/'Asset Prices'!AP282-1</f>
        <v>1.9743478887447763E-2</v>
      </c>
      <c r="AQ281" s="1">
        <f>'Asset Prices'!AQ281/'Asset Prices'!AQ282-1</f>
        <v>6.2020748759584965E-2</v>
      </c>
      <c r="AR281" s="1">
        <f>'Asset Prices'!AR281/'Asset Prices'!AR282-1</f>
        <v>0.19713261648745539</v>
      </c>
      <c r="AS281" s="1">
        <f>'Asset Prices'!AS281/'Asset Prices'!AS282-1</f>
        <v>3.7279397184215801E-2</v>
      </c>
      <c r="AT281" s="1">
        <f>'Asset Prices'!AT281/'Asset Prices'!AT282-1</f>
        <v>9.9746835443037973E-2</v>
      </c>
      <c r="AU281" s="1">
        <f>'Asset Prices'!AU281/'Asset Prices'!AU282-1</f>
        <v>-3.0714084903008199E-2</v>
      </c>
      <c r="AV281" s="1">
        <f>'Asset Prices'!AV281/'Asset Prices'!AV282-1</f>
        <v>-2.8386769737675732E-2</v>
      </c>
      <c r="AW281" s="1">
        <f>'Asset Prices'!AW281/'Asset Prices'!AW282-1</f>
        <v>5.9890485968514762E-2</v>
      </c>
      <c r="AX281" s="1">
        <f>'Asset Prices'!AX281/'Asset Prices'!AX282-1</f>
        <v>6.8264342774146725E-2</v>
      </c>
      <c r="AY281" s="1">
        <f>'Asset Prices'!AY281/'Asset Prices'!AY282-1</f>
        <v>2.3741690408358718E-3</v>
      </c>
      <c r="AZ281" s="1">
        <f>'Asset Prices'!AZ281/'Asset Prices'!AZ282-1</f>
        <v>6.3626723223753068E-4</v>
      </c>
      <c r="BA281" s="1">
        <f>'Asset Prices'!BA281/'Asset Prices'!BA282-1</f>
        <v>4.2194092827003704E-3</v>
      </c>
      <c r="BB281" s="1">
        <f>'Asset Prices'!BB281/'Asset Prices'!BB282-1</f>
        <v>3.7484000731395239E-2</v>
      </c>
      <c r="BC281" s="1">
        <f>'Asset Prices'!BC281/'Asset Prices'!BC282-1</f>
        <v>3.7049158866269583E-2</v>
      </c>
      <c r="BD281" s="1">
        <f>'Asset Prices'!BD281/'Asset Prices'!BD282-1</f>
        <v>-1.0195091252359956E-2</v>
      </c>
    </row>
    <row r="282" spans="3:56" x14ac:dyDescent="0.25">
      <c r="C282" s="38">
        <f>'Asset Prices'!C282</f>
        <v>42397</v>
      </c>
      <c r="D282" s="1">
        <f>'Asset Prices'!D282/'Asset Prices'!D283-1</f>
        <v>-3.1162660704304179E-2</v>
      </c>
      <c r="E282" s="1">
        <f>'Asset Prices'!E282/'Asset Prices'!E283-1</f>
        <v>-5.2116570942352114E-3</v>
      </c>
      <c r="F282" s="1">
        <f>'Asset Prices'!F282/'Asset Prices'!F283-1</f>
        <v>1.0568031704095038E-2</v>
      </c>
      <c r="G282" s="1">
        <f>'Asset Prices'!G282/'Asset Prices'!G283-1</f>
        <v>3.546307151230943E-2</v>
      </c>
      <c r="H282" s="1">
        <f>'Asset Prices'!H282/'Asset Prices'!H283-1</f>
        <v>2.3286982744178175E-2</v>
      </c>
      <c r="I282" s="1">
        <f>'Asset Prices'!I282/'Asset Prices'!I283-1</f>
        <v>0.15877230246389118</v>
      </c>
      <c r="J282" s="1">
        <f>'Asset Prices'!J282/'Asset Prices'!J283-1</f>
        <v>-2.2949117341640624E-2</v>
      </c>
      <c r="K282" s="1">
        <f>'Asset Prices'!K282/'Asset Prices'!K283-1</f>
        <v>0.10491808980557216</v>
      </c>
      <c r="L282" s="1">
        <f>'Asset Prices'!L282/'Asset Prices'!L283-1</f>
        <v>-7.757694186614561E-2</v>
      </c>
      <c r="M282" s="1">
        <f>'Asset Prices'!M282/'Asset Prices'!M283-1</f>
        <v>3.1200475435816166E-2</v>
      </c>
      <c r="N282" s="1">
        <f>'Asset Prices'!N282/'Asset Prices'!N283-1</f>
        <v>2.976591850496102E-2</v>
      </c>
      <c r="O282" s="1">
        <f>'Asset Prices'!O282/'Asset Prices'!O283-1</f>
        <v>2.7639971651311157E-2</v>
      </c>
      <c r="P282" s="1">
        <f>'Asset Prices'!P282/'Asset Prices'!P283-1</f>
        <v>5.8347856395956743E-2</v>
      </c>
      <c r="Q282" s="1">
        <f>'Asset Prices'!Q282/'Asset Prices'!Q283-1</f>
        <v>-2.0088918162357916E-2</v>
      </c>
      <c r="R282" s="1">
        <f>'Asset Prices'!R282/'Asset Prices'!R283-1</f>
        <v>3.9856075283697612E-2</v>
      </c>
      <c r="S282" s="1">
        <f>'Asset Prices'!S282/'Asset Prices'!S283-1</f>
        <v>3.2801685224195021E-2</v>
      </c>
      <c r="T282" s="1">
        <f>'Asset Prices'!T282/'Asset Prices'!T283-1</f>
        <v>-3.9578264395782603E-2</v>
      </c>
      <c r="U282" s="1">
        <f>'Asset Prices'!U282/'Asset Prices'!U283-1</f>
        <v>0.13682252922422955</v>
      </c>
      <c r="V282" s="1">
        <f>'Asset Prices'!V282/'Asset Prices'!V283-1</f>
        <v>2.1849963583393528E-3</v>
      </c>
      <c r="W282" s="1">
        <f>'Asset Prices'!W282/'Asset Prices'!W283-1</f>
        <v>-1.1363636363636354E-2</v>
      </c>
      <c r="X282" s="1">
        <f>'Asset Prices'!X282/'Asset Prices'!X283-1</f>
        <v>-8.3797468354430471E-2</v>
      </c>
      <c r="Y282" s="1">
        <f>'Asset Prices'!Y282/'Asset Prices'!Y283-1</f>
        <v>-5.0509005494952408E-2</v>
      </c>
      <c r="Z282" s="1">
        <f>'Asset Prices'!Z282/'Asset Prices'!Z283-1</f>
        <v>-0.1413994169096211</v>
      </c>
      <c r="AA282" s="1">
        <f>'Asset Prices'!AA282/'Asset Prices'!AA283-1</f>
        <v>-2.6958719460825509E-2</v>
      </c>
      <c r="AB282" s="1">
        <f>'Asset Prices'!AB282/'Asset Prices'!AB283-1</f>
        <v>3.8626609442059978E-2</v>
      </c>
      <c r="AC282" s="1">
        <f>'Asset Prices'!AC282/'Asset Prices'!AC283-1</f>
        <v>-8.9485458612976743E-3</v>
      </c>
      <c r="AD282" s="1">
        <f>'Asset Prices'!AD282/'Asset Prices'!AD283-1</f>
        <v>2.9168692270296726E-2</v>
      </c>
      <c r="AE282" s="1">
        <f>'Asset Prices'!AE282/'Asset Prices'!AE283-1</f>
        <v>5.4534676941315752E-2</v>
      </c>
      <c r="AF282" s="1">
        <f>'Asset Prices'!AF282/'Asset Prices'!AF283-1</f>
        <v>-6.5800162469537016E-2</v>
      </c>
      <c r="AG282" s="1">
        <f>'Asset Prices'!AG282/'Asset Prices'!AG283-1</f>
        <v>0.14209401709401703</v>
      </c>
      <c r="AH282" s="1">
        <f>'Asset Prices'!AH282/'Asset Prices'!AH283-1</f>
        <v>2.2745735174654946E-2</v>
      </c>
      <c r="AI282" s="1">
        <f>'Asset Prices'!AI282/'Asset Prices'!AI283-1</f>
        <v>2.1865632163639681E-2</v>
      </c>
      <c r="AJ282" s="1">
        <f>'Asset Prices'!AJ282/'Asset Prices'!AJ283-1</f>
        <v>1.0781671159029615E-2</v>
      </c>
      <c r="AK282" s="1">
        <f>'Asset Prices'!AK282/'Asset Prices'!AK283-1</f>
        <v>-4.3227665706051854E-2</v>
      </c>
      <c r="AL282" s="1">
        <f>'Asset Prices'!AL282/'Asset Prices'!AL283-1</f>
        <v>4.8365122615803946E-2</v>
      </c>
      <c r="AM282" s="1">
        <f>'Asset Prices'!AM282/'Asset Prices'!AM283-1</f>
        <v>-5.6138638027825039E-3</v>
      </c>
      <c r="AN282" s="1">
        <f>'Asset Prices'!AN282/'Asset Prices'!AN283-1</f>
        <v>5.898356730873866E-2</v>
      </c>
      <c r="AO282" s="1">
        <f>'Asset Prices'!AO282/'Asset Prices'!AO283-1</f>
        <v>6.8454327447133201E-2</v>
      </c>
      <c r="AP282" s="1">
        <f>'Asset Prices'!AP282/'Asset Prices'!AP283-1</f>
        <v>2.2697126013264679E-2</v>
      </c>
      <c r="AQ282" s="1">
        <f>'Asset Prices'!AQ282/'Asset Prices'!AQ283-1</f>
        <v>-8.5584656630232958E-2</v>
      </c>
      <c r="AR282" s="1">
        <f>'Asset Prices'!AR282/'Asset Prices'!AR283-1</f>
        <v>0.17016177351707595</v>
      </c>
      <c r="AS282" s="1">
        <f>'Asset Prices'!AS282/'Asset Prices'!AS283-1</f>
        <v>-1.9634525660964242E-2</v>
      </c>
      <c r="AT282" s="1">
        <f>'Asset Prices'!AT282/'Asset Prices'!AT283-1</f>
        <v>2.5380710659899108E-3</v>
      </c>
      <c r="AU282" s="1">
        <f>'Asset Prices'!AU282/'Asset Prices'!AU283-1</f>
        <v>4.4475820684786171E-3</v>
      </c>
      <c r="AV282" s="1">
        <f>'Asset Prices'!AV282/'Asset Prices'!AV283-1</f>
        <v>2.4406075554978424E-2</v>
      </c>
      <c r="AW282" s="1">
        <f>'Asset Prices'!AW282/'Asset Prices'!AW283-1</f>
        <v>-7.0019096117122981E-2</v>
      </c>
      <c r="AX282" s="1">
        <f>'Asset Prices'!AX282/'Asset Prices'!AX283-1</f>
        <v>-6.8965517241379337E-2</v>
      </c>
      <c r="AY282" s="1">
        <f>'Asset Prices'!AY282/'Asset Prices'!AY283-1</f>
        <v>1.6900048285852121E-2</v>
      </c>
      <c r="AZ282" s="1">
        <f>'Asset Prices'!AZ282/'Asset Prices'!AZ283-1</f>
        <v>6.601853945286007E-2</v>
      </c>
      <c r="BA282" s="1">
        <f>'Asset Prices'!BA282/'Asset Prices'!BA283-1</f>
        <v>-7.6657723265616262E-4</v>
      </c>
      <c r="BB282" s="1">
        <f>'Asset Prices'!BB282/'Asset Prices'!BB283-1</f>
        <v>6.8164062499999956E-2</v>
      </c>
      <c r="BC282" s="1">
        <f>'Asset Prices'!BC282/'Asset Prices'!BC283-1</f>
        <v>-3.4018337021814671E-2</v>
      </c>
      <c r="BD282" s="1">
        <f>'Asset Prices'!BD282/'Asset Prices'!BD283-1</f>
        <v>2.9145077720207357E-2</v>
      </c>
    </row>
    <row r="283" spans="3:56" x14ac:dyDescent="0.25">
      <c r="C283" s="38">
        <f>'Asset Prices'!C283</f>
        <v>42390</v>
      </c>
      <c r="D283" s="1">
        <f>'Asset Prices'!D283/'Asset Prices'!D284-1</f>
        <v>-3.0352303523035196E-2</v>
      </c>
      <c r="E283" s="1">
        <f>'Asset Prices'!E283/'Asset Prices'!E284-1</f>
        <v>-5.1357077994147904E-2</v>
      </c>
      <c r="F283" s="1">
        <f>'Asset Prices'!F283/'Asset Prices'!F284-1</f>
        <v>3.5036745855409501E-2</v>
      </c>
      <c r="G283" s="1">
        <f>'Asset Prices'!G283/'Asset Prices'!G284-1</f>
        <v>-1.9258407588387483E-2</v>
      </c>
      <c r="H283" s="1">
        <f>'Asset Prices'!H283/'Asset Prices'!H284-1</f>
        <v>-4.1432471495102097E-2</v>
      </c>
      <c r="I283" s="1">
        <f>'Asset Prices'!I283/'Asset Prices'!I284-1</f>
        <v>-4.2797600894581733E-2</v>
      </c>
      <c r="J283" s="1">
        <f>'Asset Prices'!J283/'Asset Prices'!J284-1</f>
        <v>-3.2355305466237883E-2</v>
      </c>
      <c r="K283" s="1">
        <f>'Asset Prices'!K283/'Asset Prices'!K284-1</f>
        <v>-3.0320404721753791E-2</v>
      </c>
      <c r="L283" s="1">
        <f>'Asset Prices'!L283/'Asset Prices'!L284-1</f>
        <v>-4.3994022043713832E-2</v>
      </c>
      <c r="M283" s="1">
        <f>'Asset Prices'!M283/'Asset Prices'!M284-1</f>
        <v>-4.9519864432310379E-2</v>
      </c>
      <c r="N283" s="1">
        <f>'Asset Prices'!N283/'Asset Prices'!N284-1</f>
        <v>-6.4534653194602276E-3</v>
      </c>
      <c r="O283" s="1">
        <f>'Asset Prices'!O283/'Asset Prices'!O284-1</f>
        <v>1.0642071656616903E-3</v>
      </c>
      <c r="P283" s="1">
        <f>'Asset Prices'!P283/'Asset Prices'!P284-1</f>
        <v>1.3961605584642545E-3</v>
      </c>
      <c r="Q283" s="1">
        <f>'Asset Prices'!Q283/'Asset Prices'!Q284-1</f>
        <v>1.233538923153854E-2</v>
      </c>
      <c r="R283" s="1">
        <f>'Asset Prices'!R283/'Asset Prices'!R284-1</f>
        <v>-1.5799509670389456E-2</v>
      </c>
      <c r="S283" s="1">
        <f>'Asset Prices'!S283/'Asset Prices'!S284-1</f>
        <v>-2.7224824355971844E-2</v>
      </c>
      <c r="T283" s="1">
        <f>'Asset Prices'!T283/'Asset Prices'!T284-1</f>
        <v>1.4981890023048949E-2</v>
      </c>
      <c r="U283" s="1">
        <f>'Asset Prices'!U283/'Asset Prices'!U284-1</f>
        <v>5.0734312416553795E-3</v>
      </c>
      <c r="V283" s="1">
        <f>'Asset Prices'!V283/'Asset Prices'!V284-1</f>
        <v>3.410475030450888E-3</v>
      </c>
      <c r="W283" s="1">
        <f>'Asset Prices'!W283/'Asset Prices'!W284-1</f>
        <v>3.216042376087791E-2</v>
      </c>
      <c r="X283" s="1">
        <f>'Asset Prices'!X283/'Asset Prices'!X284-1</f>
        <v>-2.3968371633308561E-2</v>
      </c>
      <c r="Y283" s="1">
        <f>'Asset Prices'!Y283/'Asset Prices'!Y284-1</f>
        <v>6.906655503366177E-2</v>
      </c>
      <c r="Z283" s="1">
        <f>'Asset Prices'!Z283/'Asset Prices'!Z284-1</f>
        <v>-1.4367816091953922E-2</v>
      </c>
      <c r="AA283" s="1">
        <f>'Asset Prices'!AA283/'Asset Prices'!AA284-1</f>
        <v>-2.665026650266511E-2</v>
      </c>
      <c r="AB283" s="1">
        <f>'Asset Prices'!AB283/'Asset Prices'!AB284-1</f>
        <v>-2.9166666666666563E-2</v>
      </c>
      <c r="AC283" s="1">
        <f>'Asset Prices'!AC283/'Asset Prices'!AC284-1</f>
        <v>-0.10510510510510507</v>
      </c>
      <c r="AD283" s="1">
        <f>'Asset Prices'!AD283/'Asset Prices'!AD284-1</f>
        <v>-1.390220517737295E-2</v>
      </c>
      <c r="AE283" s="1">
        <f>'Asset Prices'!AE283/'Asset Prices'!AE284-1</f>
        <v>1.9643396796615198E-2</v>
      </c>
      <c r="AF283" s="1">
        <f>'Asset Prices'!AF283/'Asset Prices'!AF284-1</f>
        <v>-1.7557861133280062E-2</v>
      </c>
      <c r="AG283" s="1">
        <f>'Asset Prices'!AG283/'Asset Prices'!AG284-1</f>
        <v>5.5837563451776484E-2</v>
      </c>
      <c r="AH283" s="1">
        <f>'Asset Prices'!AH283/'Asset Prices'!AH284-1</f>
        <v>7.6048951048951041E-2</v>
      </c>
      <c r="AI283" s="1">
        <f>'Asset Prices'!AI283/'Asset Prices'!AI284-1</f>
        <v>-8.5617542728152252E-2</v>
      </c>
      <c r="AJ283" s="1">
        <f>'Asset Prices'!AJ283/'Asset Prices'!AJ284-1</f>
        <v>1.6438356164383716E-2</v>
      </c>
      <c r="AK283" s="1">
        <f>'Asset Prices'!AK283/'Asset Prices'!AK284-1</f>
        <v>6.7698259187620735E-3</v>
      </c>
      <c r="AL283" s="1">
        <f>'Asset Prices'!AL283/'Asset Prices'!AL284-1</f>
        <v>-1.3937867338371102E-2</v>
      </c>
      <c r="AM283" s="1">
        <f>'Asset Prices'!AM283/'Asset Prices'!AM284-1</f>
        <v>-7.5238883454969541E-2</v>
      </c>
      <c r="AN283" s="1">
        <f>'Asset Prices'!AN283/'Asset Prices'!AN284-1</f>
        <v>1.0668719753629485E-2</v>
      </c>
      <c r="AO283" s="1">
        <f>'Asset Prices'!AO283/'Asset Prices'!AO284-1</f>
        <v>2.2286605749944233E-2</v>
      </c>
      <c r="AP283" s="1">
        <f>'Asset Prices'!AP283/'Asset Prices'!AP284-1</f>
        <v>-9.0550606104864428E-3</v>
      </c>
      <c r="AQ283" s="1">
        <f>'Asset Prices'!AQ283/'Asset Prices'!AQ284-1</f>
        <v>-4.4720252167060548E-2</v>
      </c>
      <c r="AR283" s="1">
        <f>'Asset Prices'!AR283/'Asset Prices'!AR284-1</f>
        <v>-3.3584250144759742E-2</v>
      </c>
      <c r="AS283" s="1">
        <f>'Asset Prices'!AS283/'Asset Prices'!AS284-1</f>
        <v>1.45956607495068E-2</v>
      </c>
      <c r="AT283" s="1">
        <f>'Asset Prices'!AT283/'Asset Prices'!AT284-1</f>
        <v>-1.819087964116628E-2</v>
      </c>
      <c r="AU283" s="1">
        <f>'Asset Prices'!AU283/'Asset Prices'!AU284-1</f>
        <v>-2.5857918987689965E-2</v>
      </c>
      <c r="AV283" s="1">
        <f>'Asset Prices'!AV283/'Asset Prices'!AV284-1</f>
        <v>1.7569352708058039E-2</v>
      </c>
      <c r="AW283" s="1">
        <f>'Asset Prices'!AW283/'Asset Prices'!AW284-1</f>
        <v>-1.2260295504558205E-2</v>
      </c>
      <c r="AX283" s="1">
        <f>'Asset Prices'!AX283/'Asset Prices'!AX284-1</f>
        <v>-0.11437125748502996</v>
      </c>
      <c r="AY283" s="1">
        <f>'Asset Prices'!AY283/'Asset Prices'!AY284-1</f>
        <v>1.6691212567501168E-2</v>
      </c>
      <c r="AZ283" s="1">
        <f>'Asset Prices'!AZ283/'Asset Prices'!AZ284-1</f>
        <v>-1.9725177304964481E-2</v>
      </c>
      <c r="BA283" s="1">
        <f>'Asset Prices'!BA283/'Asset Prices'!BA284-1</f>
        <v>1.7550702028081178E-2</v>
      </c>
      <c r="BB283" s="1">
        <f>'Asset Prices'!BB283/'Asset Prices'!BB284-1</f>
        <v>-4.084808403034268E-3</v>
      </c>
      <c r="BC283" s="1">
        <f>'Asset Prices'!BC283/'Asset Prices'!BC284-1</f>
        <v>-1.9650384329283344E-2</v>
      </c>
      <c r="BD283" s="1">
        <f>'Asset Prices'!BD283/'Asset Prices'!BD284-1</f>
        <v>-2.6849867641497438E-2</v>
      </c>
    </row>
    <row r="284" spans="3:56" x14ac:dyDescent="0.25">
      <c r="C284" s="38">
        <f>'Asset Prices'!C284</f>
        <v>42383</v>
      </c>
      <c r="D284" s="1">
        <f>'Asset Prices'!D284/'Asset Prices'!D285-1</f>
        <v>1.3551971811875951E-4</v>
      </c>
      <c r="E284" s="1">
        <f>'Asset Prices'!E284/'Asset Prices'!E285-1</f>
        <v>-3.9195979899497857E-3</v>
      </c>
      <c r="F284" s="1">
        <f>'Asset Prices'!F284/'Asset Prices'!F285-1</f>
        <v>-2.2389306599832959E-2</v>
      </c>
      <c r="G284" s="1">
        <f>'Asset Prices'!G284/'Asset Prices'!G285-1</f>
        <v>-7.1347031963470142E-3</v>
      </c>
      <c r="H284" s="1">
        <f>'Asset Prices'!H284/'Asset Prices'!H285-1</f>
        <v>-2.611823584610562E-2</v>
      </c>
      <c r="I284" s="1">
        <f>'Asset Prices'!I284/'Asset Prices'!I285-1</f>
        <v>4.5955882352941568E-3</v>
      </c>
      <c r="J284" s="1">
        <f>'Asset Prices'!J284/'Asset Prices'!J285-1</f>
        <v>3.1829963711767606E-2</v>
      </c>
      <c r="K284" s="1">
        <f>'Asset Prices'!K284/'Asset Prices'!K285-1</f>
        <v>-2.4574793565154573E-2</v>
      </c>
      <c r="L284" s="1">
        <f>'Asset Prices'!L284/'Asset Prices'!L285-1</f>
        <v>-6.5467877094972038E-2</v>
      </c>
      <c r="M284" s="1">
        <f>'Asset Prices'!M284/'Asset Prices'!M285-1</f>
        <v>1.8018018018018056E-2</v>
      </c>
      <c r="N284" s="1">
        <f>'Asset Prices'!N284/'Asset Prices'!N285-1</f>
        <v>-1.2968960863697698E-2</v>
      </c>
      <c r="O284" s="1">
        <f>'Asset Prices'!O284/'Asset Prices'!O285-1</f>
        <v>-1.3185530921820399E-2</v>
      </c>
      <c r="P284" s="1">
        <f>'Asset Prices'!P284/'Asset Prices'!P285-1</f>
        <v>-4.2510527371165119E-2</v>
      </c>
      <c r="Q284" s="1">
        <f>'Asset Prices'!Q284/'Asset Prices'!Q285-1</f>
        <v>-5.5275590551181031E-2</v>
      </c>
      <c r="R284" s="1">
        <f>'Asset Prices'!R284/'Asset Prices'!R285-1</f>
        <v>3.5538545653364118E-3</v>
      </c>
      <c r="S284" s="1">
        <f>'Asset Prices'!S284/'Asset Prices'!S285-1</f>
        <v>1.8485390578413696E-2</v>
      </c>
      <c r="T284" s="1">
        <f>'Asset Prices'!T284/'Asset Prices'!T285-1</f>
        <v>-1.7470074409576153E-2</v>
      </c>
      <c r="U284" s="1">
        <f>'Asset Prices'!U284/'Asset Prices'!U285-1</f>
        <v>-3.4296028880866358E-2</v>
      </c>
      <c r="V284" s="1">
        <f>'Asset Prices'!V284/'Asset Prices'!V285-1</f>
        <v>-5.4800828920101297E-2</v>
      </c>
      <c r="W284" s="1">
        <f>'Asset Prices'!W284/'Asset Prices'!W285-1</f>
        <v>-0.12570294409526961</v>
      </c>
      <c r="X284" s="1">
        <f>'Asset Prices'!X284/'Asset Prices'!X285-1</f>
        <v>-3.5280095351609142E-2</v>
      </c>
      <c r="Y284" s="1">
        <f>'Asset Prices'!Y284/'Asset Prices'!Y285-1</f>
        <v>8.5909090920901487E-2</v>
      </c>
      <c r="Z284" s="1">
        <f>'Asset Prices'!Z284/'Asset Prices'!Z285-1</f>
        <v>-0.14601226993865035</v>
      </c>
      <c r="AA284" s="1">
        <f>'Asset Prices'!AA284/'Asset Prices'!AA285-1</f>
        <v>-5.0972762645914327E-2</v>
      </c>
      <c r="AB284" s="1">
        <f>'Asset Prices'!AB284/'Asset Prices'!AB285-1</f>
        <v>-3.2258064516129115E-2</v>
      </c>
      <c r="AC284" s="1">
        <f>'Asset Prices'!AC284/'Asset Prices'!AC285-1</f>
        <v>6.8534569643217136E-3</v>
      </c>
      <c r="AD284" s="1">
        <f>'Asset Prices'!AD284/'Asset Prices'!AD285-1</f>
        <v>-0.10395189003436434</v>
      </c>
      <c r="AE284" s="1">
        <f>'Asset Prices'!AE284/'Asset Prices'!AE285-1</f>
        <v>-3.8360941586747854E-2</v>
      </c>
      <c r="AF284" s="1">
        <f>'Asset Prices'!AF284/'Asset Prices'!AF285-1</f>
        <v>-1.8409714061888072E-2</v>
      </c>
      <c r="AG284" s="1">
        <f>'Asset Prices'!AG284/'Asset Prices'!AG285-1</f>
        <v>-3.3260632497273734E-2</v>
      </c>
      <c r="AH284" s="1">
        <f>'Asset Prices'!AH284/'Asset Prices'!AH285-1</f>
        <v>-4.2143455205135294E-2</v>
      </c>
      <c r="AI284" s="1">
        <f>'Asset Prices'!AI284/'Asset Prices'!AI285-1</f>
        <v>-5.6012176560121807E-2</v>
      </c>
      <c r="AJ284" s="1">
        <f>'Asset Prices'!AJ284/'Asset Prices'!AJ285-1</f>
        <v>-2.4064171122994749E-2</v>
      </c>
      <c r="AK284" s="1">
        <f>'Asset Prices'!AK284/'Asset Prices'!AK285-1</f>
        <v>-4.8123195380174177E-3</v>
      </c>
      <c r="AL284" s="1">
        <f>'Asset Prices'!AL284/'Asset Prices'!AL285-1</f>
        <v>2.1616057642820374E-2</v>
      </c>
      <c r="AM284" s="1">
        <f>'Asset Prices'!AM284/'Asset Prices'!AM285-1</f>
        <v>3.763359927742016E-4</v>
      </c>
      <c r="AN284" s="1">
        <f>'Asset Prices'!AN284/'Asset Prices'!AN285-1</f>
        <v>2.8041610131162464E-2</v>
      </c>
      <c r="AO284" s="1">
        <f>'Asset Prices'!AO284/'Asset Prices'!AO285-1</f>
        <v>-8.8358736470069976E-3</v>
      </c>
      <c r="AP284" s="1">
        <f>'Asset Prices'!AP284/'Asset Prices'!AP285-1</f>
        <v>-2.1717388198314036E-2</v>
      </c>
      <c r="AQ284" s="1">
        <f>'Asset Prices'!AQ284/'Asset Prices'!AQ285-1</f>
        <v>-4.1902604756511863E-2</v>
      </c>
      <c r="AR284" s="1">
        <f>'Asset Prices'!AR284/'Asset Prices'!AR285-1</f>
        <v>-8.4305408271473925E-2</v>
      </c>
      <c r="AS284" s="1">
        <f>'Asset Prices'!AS284/'Asset Prices'!AS285-1</f>
        <v>-1.7632241813601901E-2</v>
      </c>
      <c r="AT284" s="1">
        <f>'Asset Prices'!AT284/'Asset Prices'!AT285-1</f>
        <v>8.5448605177180781E-3</v>
      </c>
      <c r="AU284" s="1">
        <f>'Asset Prices'!AU284/'Asset Prices'!AU285-1</f>
        <v>6.0887013076869057E-3</v>
      </c>
      <c r="AV284" s="1">
        <f>'Asset Prices'!AV284/'Asset Prices'!AV285-1</f>
        <v>-3.505417463352456E-2</v>
      </c>
      <c r="AW284" s="1">
        <f>'Asset Prices'!AW284/'Asset Prices'!AW285-1</f>
        <v>-0.10495216657287565</v>
      </c>
      <c r="AX284" s="1">
        <f>'Asset Prices'!AX284/'Asset Prices'!AX285-1</f>
        <v>-0.12151499210941619</v>
      </c>
      <c r="AY284" s="1">
        <f>'Asset Prices'!AY284/'Asset Prices'!AY285-1</f>
        <v>-4.9463369108725952E-2</v>
      </c>
      <c r="AZ284" s="1">
        <f>'Asset Prices'!AZ284/'Asset Prices'!AZ285-1</f>
        <v>-3.0932390631904783E-3</v>
      </c>
      <c r="BA284" s="1">
        <f>'Asset Prices'!BA284/'Asset Prices'!BA285-1</f>
        <v>8.2579630357844103E-3</v>
      </c>
      <c r="BB284" s="1">
        <f>'Asset Prices'!BB284/'Asset Prices'!BB285-1</f>
        <v>6.2190082644627998E-2</v>
      </c>
      <c r="BC284" s="1">
        <f>'Asset Prices'!BC284/'Asset Prices'!BC285-1</f>
        <v>7.168006377466285E-2</v>
      </c>
      <c r="BD284" s="1">
        <f>'Asset Prices'!BD284/'Asset Prices'!BD285-1</f>
        <v>3.0125957667835213E-2</v>
      </c>
    </row>
    <row r="285" spans="3:56" x14ac:dyDescent="0.25">
      <c r="C285" s="38">
        <f>'Asset Prices'!C285</f>
        <v>42376</v>
      </c>
      <c r="D285" s="1">
        <f>'Asset Prices'!D285/'Asset Prices'!D286-1</f>
        <v>-4.8484848484848353E-2</v>
      </c>
      <c r="E285" s="1">
        <f>'Asset Prices'!E285/'Asset Prices'!E286-1</f>
        <v>-5.3102398172820697E-2</v>
      </c>
      <c r="F285" s="1">
        <f>'Asset Prices'!F285/'Asset Prices'!F286-1</f>
        <v>-4.2399999999999993E-2</v>
      </c>
      <c r="G285" s="1">
        <f>'Asset Prices'!G285/'Asset Prices'!G286-1</f>
        <v>-4.0788393101560461E-2</v>
      </c>
      <c r="H285" s="1">
        <f>'Asset Prices'!H285/'Asset Prices'!H286-1</f>
        <v>-5.9152442613301881E-2</v>
      </c>
      <c r="I285" s="1">
        <f>'Asset Prices'!I285/'Asset Prices'!I286-1</f>
        <v>-6.4399006306134154E-2</v>
      </c>
      <c r="J285" s="1">
        <f>'Asset Prices'!J285/'Asset Prices'!J286-1</f>
        <v>-8.3697510925327734E-2</v>
      </c>
      <c r="K285" s="1">
        <f>'Asset Prices'!K285/'Asset Prices'!K286-1</f>
        <v>-0.10053411058012385</v>
      </c>
      <c r="L285" s="1">
        <f>'Asset Prices'!L285/'Asset Prices'!L286-1</f>
        <v>1.5737016961008266E-3</v>
      </c>
      <c r="M285" s="1">
        <f>'Asset Prices'!M285/'Asset Prices'!M286-1</f>
        <v>-5.966113914924287E-2</v>
      </c>
      <c r="N285" s="1">
        <f>'Asset Prices'!N285/'Asset Prices'!N286-1</f>
        <v>-4.7570082646752554E-2</v>
      </c>
      <c r="O285" s="1">
        <f>'Asset Prices'!O285/'Asset Prices'!O286-1</f>
        <v>-3.9991038422762304E-2</v>
      </c>
      <c r="P285" s="1">
        <f>'Asset Prices'!P285/'Asset Prices'!P286-1</f>
        <v>5.0336983993260365E-2</v>
      </c>
      <c r="Q285" s="1">
        <f>'Asset Prices'!Q285/'Asset Prices'!Q286-1</f>
        <v>-3.5687167805618758E-2</v>
      </c>
      <c r="R285" s="1">
        <f>'Asset Prices'!R285/'Asset Prices'!R286-1</f>
        <v>1.8657755499860817E-2</v>
      </c>
      <c r="S285" s="1">
        <f>'Asset Prices'!S285/'Asset Prices'!S286-1</f>
        <v>-1.7286844418400338E-2</v>
      </c>
      <c r="T285" s="1">
        <f>'Asset Prices'!T285/'Asset Prices'!T286-1</f>
        <v>-7.7863961813842586E-2</v>
      </c>
      <c r="U285" s="1">
        <f>'Asset Prices'!U285/'Asset Prices'!U286-1</f>
        <v>-0.1154197080291971</v>
      </c>
      <c r="V285" s="1">
        <f>'Asset Prices'!V285/'Asset Prices'!V286-1</f>
        <v>-0.11204252709057461</v>
      </c>
      <c r="W285" s="1">
        <f>'Asset Prices'!W285/'Asset Prices'!W286-1</f>
        <v>-7.2249589490969157E-3</v>
      </c>
      <c r="X285" s="1">
        <f>'Asset Prices'!X285/'Asset Prices'!X286-1</f>
        <v>-2.577798420808175E-2</v>
      </c>
      <c r="Y285" s="1">
        <f>'Asset Prices'!Y285/'Asset Prices'!Y286-1</f>
        <v>-3.551074087635897E-2</v>
      </c>
      <c r="Z285" s="1">
        <f>'Asset Prices'!Z285/'Asset Prices'!Z286-1</f>
        <v>-4.00471142520612E-2</v>
      </c>
      <c r="AA285" s="1">
        <f>'Asset Prices'!AA285/'Asset Prices'!AA286-1</f>
        <v>-6.5454545454545432E-2</v>
      </c>
      <c r="AB285" s="1">
        <f>'Asset Prices'!AB285/'Asset Prices'!AB286-1</f>
        <v>-7.4626865671641895E-2</v>
      </c>
      <c r="AC285" s="1">
        <f>'Asset Prices'!AC285/'Asset Prices'!AC286-1</f>
        <v>-8.8721528288023488E-2</v>
      </c>
      <c r="AD285" s="1">
        <f>'Asset Prices'!AD285/'Asset Prices'!AD286-1</f>
        <v>-0.14568807339449541</v>
      </c>
      <c r="AE285" s="1">
        <f>'Asset Prices'!AE285/'Asset Prices'!AE286-1</f>
        <v>-9.5425867507886508E-2</v>
      </c>
      <c r="AF285" s="1">
        <f>'Asset Prices'!AF285/'Asset Prices'!AF286-1</f>
        <v>-7.4664733599130062E-2</v>
      </c>
      <c r="AG285" s="1">
        <f>'Asset Prices'!AG285/'Asset Prices'!AG286-1</f>
        <v>7.8189300411522611E-2</v>
      </c>
      <c r="AH285" s="1">
        <f>'Asset Prices'!AH285/'Asset Prices'!AH286-1</f>
        <v>1.3578500707213559E-2</v>
      </c>
      <c r="AI285" s="1">
        <f>'Asset Prices'!AI285/'Asset Prices'!AI286-1</f>
        <v>-6.7556060175986254E-2</v>
      </c>
      <c r="AJ285" s="1">
        <f>'Asset Prices'!AJ285/'Asset Prices'!AJ286-1</f>
        <v>-8.8339222614840507E-3</v>
      </c>
      <c r="AK285" s="1">
        <f>'Asset Prices'!AK285/'Asset Prices'!AK286-1</f>
        <v>-8.2560706401765938E-2</v>
      </c>
      <c r="AL285" s="1">
        <f>'Asset Prices'!AL285/'Asset Prices'!AL286-1</f>
        <v>-1.5537915892585685E-2</v>
      </c>
      <c r="AM285" s="1">
        <f>'Asset Prices'!AM285/'Asset Prices'!AM286-1</f>
        <v>-3.4587995930823956E-2</v>
      </c>
      <c r="AN285" s="1">
        <f>'Asset Prices'!AN285/'Asset Prices'!AN286-1</f>
        <v>-4.8418334409296326E-2</v>
      </c>
      <c r="AO285" s="1">
        <f>'Asset Prices'!AO285/'Asset Prices'!AO286-1</f>
        <v>-2.0553872782345217E-2</v>
      </c>
      <c r="AP285" s="1">
        <f>'Asset Prices'!AP285/'Asset Prices'!AP286-1</f>
        <v>-1.2974192638555926E-2</v>
      </c>
      <c r="AQ285" s="1">
        <f>'Asset Prices'!AQ285/'Asset Prices'!AQ286-1</f>
        <v>-9.913280054412521E-2</v>
      </c>
      <c r="AR285" s="1">
        <f>'Asset Prices'!AR285/'Asset Prices'!AR286-1</f>
        <v>4.8360200111172924E-2</v>
      </c>
      <c r="AS285" s="1">
        <f>'Asset Prices'!AS285/'Asset Prices'!AS286-1</f>
        <v>-4.5496578509339747E-2</v>
      </c>
      <c r="AT285" s="1">
        <f>'Asset Prices'!AT285/'Asset Prices'!AT286-1</f>
        <v>-2.9512195121951246E-2</v>
      </c>
      <c r="AU285" s="1">
        <f>'Asset Prices'!AU285/'Asset Prices'!AU286-1</f>
        <v>-6.2041663962619231E-2</v>
      </c>
      <c r="AV285" s="1">
        <f>'Asset Prices'!AV285/'Asset Prices'!AV286-1</f>
        <v>1.5928515928516074E-2</v>
      </c>
      <c r="AW285" s="1">
        <f>'Asset Prices'!AW285/'Asset Prices'!AW286-1</f>
        <v>-5.5540791921339427E-2</v>
      </c>
      <c r="AX285" s="1">
        <f>'Asset Prices'!AX285/'Asset Prices'!AX286-1</f>
        <v>-8.3413693346190754E-2</v>
      </c>
      <c r="AY285" s="1">
        <f>'Asset Prices'!AY285/'Asset Prices'!AY286-1</f>
        <v>-0.10819808572617573</v>
      </c>
      <c r="AZ285" s="1">
        <f>'Asset Prices'!AZ285/'Asset Prices'!AZ286-1</f>
        <v>-2.8640669751045511E-3</v>
      </c>
      <c r="BA285" s="1">
        <f>'Asset Prices'!BA285/'Asset Prices'!BA286-1</f>
        <v>-8.8857040487280603E-2</v>
      </c>
      <c r="BB285" s="1">
        <f>'Asset Prices'!BB285/'Asset Prices'!BB286-1</f>
        <v>-3.5280047837353057E-2</v>
      </c>
      <c r="BC285" s="1">
        <f>'Asset Prices'!BC285/'Asset Prices'!BC286-1</f>
        <v>-0.10308049812310083</v>
      </c>
      <c r="BD285" s="1">
        <f>'Asset Prices'!BD285/'Asset Prices'!BD286-1</f>
        <v>-4.3829153215793393E-2</v>
      </c>
    </row>
    <row r="286" spans="3:56" x14ac:dyDescent="0.25">
      <c r="C286" s="38">
        <f>'Asset Prices'!C286</f>
        <v>42369</v>
      </c>
      <c r="D286" s="1">
        <f>'Asset Prices'!D286/'Asset Prices'!D287-1</f>
        <v>-9.0723230258115128E-3</v>
      </c>
      <c r="E286" s="1">
        <f>'Asset Prices'!E286/'Asset Prices'!E287-1</f>
        <v>-7.3682221802380266E-3</v>
      </c>
      <c r="F286" s="1">
        <f>'Asset Prices'!F286/'Asset Prices'!F287-1</f>
        <v>-1.076289965178856E-2</v>
      </c>
      <c r="G286" s="1">
        <f>'Asset Prices'!G286/'Asset Prices'!G287-1</f>
        <v>-1.2969467711429261E-2</v>
      </c>
      <c r="H286" s="1">
        <f>'Asset Prices'!H286/'Asset Prices'!H287-1</f>
        <v>-2.0466993369847253E-2</v>
      </c>
      <c r="I286" s="1">
        <f>'Asset Prices'!I286/'Asset Prices'!I287-1</f>
        <v>-3.4279184917158645E-3</v>
      </c>
      <c r="J286" s="1">
        <f>'Asset Prices'!J286/'Asset Prices'!J287-1</f>
        <v>-2.564102564102555E-2</v>
      </c>
      <c r="K286" s="1">
        <f>'Asset Prices'!K286/'Asset Prices'!K287-1</f>
        <v>1.9764933085894443E-2</v>
      </c>
      <c r="L286" s="1">
        <f>'Asset Prices'!L286/'Asset Prices'!L287-1</f>
        <v>-2.5142759737492582E-2</v>
      </c>
      <c r="M286" s="1">
        <f>'Asset Prices'!M286/'Asset Prices'!M287-1</f>
        <v>-3.4129692832765013E-3</v>
      </c>
      <c r="N286" s="1">
        <f>'Asset Prices'!N286/'Asset Prices'!N287-1</f>
        <v>1.5891047738430863E-2</v>
      </c>
      <c r="O286" s="1">
        <f>'Asset Prices'!O286/'Asset Prices'!O287-1</f>
        <v>-1.1625332152347179E-2</v>
      </c>
      <c r="P286" s="1">
        <f>'Asset Prices'!P286/'Asset Prices'!P287-1</f>
        <v>-4.1250087394253399E-3</v>
      </c>
      <c r="Q286" s="1">
        <f>'Asset Prices'!Q286/'Asset Prices'!Q287-1</f>
        <v>7.03471478819373E-3</v>
      </c>
      <c r="R286" s="1">
        <f>'Asset Prices'!R286/'Asset Prices'!R287-1</f>
        <v>4.756575265808527E-3</v>
      </c>
      <c r="S286" s="1">
        <f>'Asset Prices'!S286/'Asset Prices'!S287-1</f>
        <v>-3.7945125510798761E-3</v>
      </c>
      <c r="T286" s="1">
        <f>'Asset Prices'!T286/'Asset Prices'!T287-1</f>
        <v>-2.5156318161989044E-2</v>
      </c>
      <c r="U286" s="1">
        <f>'Asset Prices'!U286/'Asset Prices'!U287-1</f>
        <v>-1.1722272317402971E-2</v>
      </c>
      <c r="V286" s="1">
        <f>'Asset Prices'!V286/'Asset Prices'!V287-1</f>
        <v>6.1374795417346029E-4</v>
      </c>
      <c r="W286" s="1">
        <f>'Asset Prices'!W286/'Asset Prices'!W287-1</f>
        <v>-1.6393442622950616E-3</v>
      </c>
      <c r="X286" s="1">
        <f>'Asset Prices'!X286/'Asset Prices'!X287-1</f>
        <v>-1.9134396355352967E-2</v>
      </c>
      <c r="Y286" s="1">
        <f>'Asset Prices'!Y286/'Asset Prices'!Y287-1</f>
        <v>1.1081560243545674E-2</v>
      </c>
      <c r="Z286" s="1">
        <f>'Asset Prices'!Z286/'Asset Prices'!Z287-1</f>
        <v>-4.4994375703037104E-2</v>
      </c>
      <c r="AA286" s="1">
        <f>'Asset Prices'!AA286/'Asset Prices'!AA287-1</f>
        <v>-2.1352313167259829E-2</v>
      </c>
      <c r="AB286" s="1">
        <f>'Asset Prices'!AB286/'Asset Prices'!AB287-1</f>
        <v>-1.1070110701106972E-2</v>
      </c>
      <c r="AC286" s="1">
        <f>'Asset Prices'!AC286/'Asset Prices'!AC287-1</f>
        <v>3.4194528875379993E-2</v>
      </c>
      <c r="AD286" s="1">
        <f>'Asset Prices'!AD286/'Asset Prices'!AD287-1</f>
        <v>-2.224614280588455E-2</v>
      </c>
      <c r="AE286" s="1">
        <f>'Asset Prices'!AE286/'Asset Prices'!AE287-1</f>
        <v>-2.2359290670778686E-2</v>
      </c>
      <c r="AF286" s="1">
        <f>'Asset Prices'!AF286/'Asset Prices'!AF287-1</f>
        <v>-7.2605042016806731E-2</v>
      </c>
      <c r="AG286" s="1">
        <f>'Asset Prices'!AG286/'Asset Prices'!AG287-1</f>
        <v>4.1322314049587749E-3</v>
      </c>
      <c r="AH286" s="1">
        <f>'Asset Prices'!AH286/'Asset Prices'!AH287-1</f>
        <v>-4.22649688431318E-2</v>
      </c>
      <c r="AI286" s="1">
        <f>'Asset Prices'!AI286/'Asset Prices'!AI287-1</f>
        <v>-1.6471245114461297E-2</v>
      </c>
      <c r="AJ286" s="1">
        <f>'Asset Prices'!AJ286/'Asset Prices'!AJ287-1</f>
        <v>1.9360648356596011E-2</v>
      </c>
      <c r="AK286" s="1">
        <f>'Asset Prices'!AK286/'Asset Prices'!AK287-1</f>
        <v>-2.9147021003000373E-2</v>
      </c>
      <c r="AL286" s="1">
        <f>'Asset Prices'!AL286/'Asset Prices'!AL287-1</f>
        <v>-1.9052352551358509E-2</v>
      </c>
      <c r="AM286" s="1">
        <f>'Asset Prices'!AM286/'Asset Prices'!AM287-1</f>
        <v>-4.5569620253164134E-3</v>
      </c>
      <c r="AN286" s="1">
        <f>'Asset Prices'!AN286/'Asset Prices'!AN287-1</f>
        <v>-1.5048749470114475E-2</v>
      </c>
      <c r="AO286" s="1">
        <f>'Asset Prices'!AO286/'Asset Prices'!AO287-1</f>
        <v>-1.0490259045172423E-2</v>
      </c>
      <c r="AP286" s="1">
        <f>'Asset Prices'!AP286/'Asset Prices'!AP287-1</f>
        <v>2.8212723938492168E-4</v>
      </c>
      <c r="AQ286" s="1">
        <f>'Asset Prices'!AQ286/'Asset Prices'!AQ287-1</f>
        <v>3.5752025361042605E-2</v>
      </c>
      <c r="AR286" s="1">
        <f>'Asset Prices'!AR286/'Asset Prices'!AR287-1</f>
        <v>-2.9665587918015213E-2</v>
      </c>
      <c r="AS286" s="1">
        <f>'Asset Prices'!AS286/'Asset Prices'!AS287-1</f>
        <v>-1.3681138270704163E-2</v>
      </c>
      <c r="AT286" s="1">
        <f>'Asset Prices'!AT286/'Asset Prices'!AT287-1</f>
        <v>-7.2639225181597711E-3</v>
      </c>
      <c r="AU286" s="1">
        <f>'Asset Prices'!AU286/'Asset Prices'!AU287-1</f>
        <v>-1.1673401321275034E-2</v>
      </c>
      <c r="AV286" s="1">
        <f>'Asset Prices'!AV286/'Asset Prices'!AV287-1</f>
        <v>7.0422535211267512E-3</v>
      </c>
      <c r="AW286" s="1">
        <f>'Asset Prices'!AW286/'Asset Prices'!AW287-1</f>
        <v>-2.2597402597402505E-2</v>
      </c>
      <c r="AX286" s="1">
        <f>'Asset Prices'!AX286/'Asset Prices'!AX287-1</f>
        <v>-3.8924930491195497E-2</v>
      </c>
      <c r="AY286" s="1">
        <f>'Asset Prices'!AY286/'Asset Prices'!AY287-1</f>
        <v>-2.0764119601328623E-3</v>
      </c>
      <c r="AZ286" s="1">
        <f>'Asset Prices'!AZ286/'Asset Prices'!AZ287-1</f>
        <v>-1.4332247557003353E-2</v>
      </c>
      <c r="BA286" s="1">
        <f>'Asset Prices'!BA286/'Asset Prices'!BA287-1</f>
        <v>-1.0283687943262398E-2</v>
      </c>
      <c r="BB286" s="1">
        <f>'Asset Prices'!BB286/'Asset Prices'!BB287-1</f>
        <v>-3.5749751737834679E-3</v>
      </c>
      <c r="BC286" s="1">
        <f>'Asset Prices'!BC286/'Asset Prices'!BC287-1</f>
        <v>-3.1228353728930958E-2</v>
      </c>
      <c r="BD286" s="1">
        <f>'Asset Prices'!BD286/'Asset Prices'!BD287-1</f>
        <v>-4.2037586547970518E-3</v>
      </c>
    </row>
    <row r="287" spans="3:56" x14ac:dyDescent="0.25">
      <c r="C287" s="38">
        <f>'Asset Prices'!C287</f>
        <v>42362</v>
      </c>
      <c r="D287" s="1">
        <f>'Asset Prices'!D287/'Asset Prices'!D288-1</f>
        <v>-5.4644808743168349E-3</v>
      </c>
      <c r="E287" s="1">
        <f>'Asset Prices'!E287/'Asset Prices'!E288-1</f>
        <v>-5.4905811981073138E-2</v>
      </c>
      <c r="F287" s="1">
        <f>'Asset Prices'!F287/'Asset Prices'!F288-1</f>
        <v>-2.9642144063891873E-2</v>
      </c>
      <c r="G287" s="1">
        <f>'Asset Prices'!G287/'Asset Prices'!G288-1</f>
        <v>2.1662604928243123E-3</v>
      </c>
      <c r="H287" s="1">
        <f>'Asset Prices'!H287/'Asset Prices'!H288-1</f>
        <v>6.9029275808936585E-2</v>
      </c>
      <c r="I287" s="1">
        <f>'Asset Prices'!I287/'Asset Prices'!I288-1</f>
        <v>-1.1297307475051754E-2</v>
      </c>
      <c r="J287" s="1">
        <f>'Asset Prices'!J287/'Asset Prices'!J288-1</f>
        <v>-8.7171958157460372E-3</v>
      </c>
      <c r="K287" s="1">
        <f>'Asset Prices'!K287/'Asset Prices'!K288-1</f>
        <v>-1.1719973160366881E-2</v>
      </c>
      <c r="L287" s="1">
        <f>'Asset Prices'!L287/'Asset Prices'!L288-1</f>
        <v>-4.2282262672434956E-2</v>
      </c>
      <c r="M287" s="1">
        <f>'Asset Prices'!M287/'Asset Prices'!M288-1</f>
        <v>-5.3859964093361246E-4</v>
      </c>
      <c r="N287" s="1">
        <f>'Asset Prices'!N287/'Asset Prices'!N288-1</f>
        <v>-5.1829624722341539E-3</v>
      </c>
      <c r="O287" s="1">
        <f>'Asset Prices'!O287/'Asset Prices'!O288-1</f>
        <v>5.4547478570632357E-3</v>
      </c>
      <c r="P287" s="1">
        <f>'Asset Prices'!P287/'Asset Prices'!P288-1</f>
        <v>2.2446207734648782E-2</v>
      </c>
      <c r="Q287" s="1">
        <f>'Asset Prices'!Q287/'Asset Prices'!Q288-1</f>
        <v>9.5723328701560195E-3</v>
      </c>
      <c r="R287" s="1">
        <f>'Asset Prices'!R287/'Asset Prices'!R288-1</f>
        <v>-1.8131868131868067E-2</v>
      </c>
      <c r="S287" s="1">
        <f>'Asset Prices'!S287/'Asset Prices'!S288-1</f>
        <v>1.0023584905660243E-2</v>
      </c>
      <c r="T287" s="1">
        <f>'Asset Prices'!T287/'Asset Prices'!T288-1</f>
        <v>4.1496289565349009E-2</v>
      </c>
      <c r="U287" s="1">
        <f>'Asset Prices'!U287/'Asset Prices'!U288-1</f>
        <v>6.0736489717838404E-2</v>
      </c>
      <c r="V287" s="1">
        <f>'Asset Prices'!V287/'Asset Prices'!V288-1</f>
        <v>4.1084634346755244E-3</v>
      </c>
      <c r="W287" s="1">
        <f>'Asset Prices'!W287/'Asset Prices'!W288-1</f>
        <v>2.3489932885905951E-2</v>
      </c>
      <c r="X287" s="1">
        <f>'Asset Prices'!X287/'Asset Prices'!X288-1</f>
        <v>8.9634566766261248E-3</v>
      </c>
      <c r="Y287" s="1">
        <f>'Asset Prices'!Y287/'Asset Prices'!Y288-1</f>
        <v>6.2444246238273493E-3</v>
      </c>
      <c r="Z287" s="1">
        <f>'Asset Prices'!Z287/'Asset Prices'!Z288-1</f>
        <v>9.4827586206896797E-2</v>
      </c>
      <c r="AA287" s="1">
        <f>'Asset Prices'!AA287/'Asset Prices'!AA288-1</f>
        <v>2.3679417122040247E-2</v>
      </c>
      <c r="AB287" s="1">
        <f>'Asset Prices'!AB287/'Asset Prices'!AB288-1</f>
        <v>4.2307692307692157E-2</v>
      </c>
      <c r="AC287" s="1">
        <f>'Asset Prices'!AC287/'Asset Prices'!AC288-1</f>
        <v>3.296703296703285E-2</v>
      </c>
      <c r="AD287" s="1">
        <f>'Asset Prices'!AD287/'Asset Prices'!AD288-1</f>
        <v>1.3823208439432522E-2</v>
      </c>
      <c r="AE287" s="1">
        <f>'Asset Prices'!AE287/'Asset Prices'!AE288-1</f>
        <v>-1.393816523061342E-2</v>
      </c>
      <c r="AF287" s="1">
        <f>'Asset Prices'!AF287/'Asset Prices'!AF288-1</f>
        <v>3.1553398058252524E-2</v>
      </c>
      <c r="AG287" s="1">
        <f>'Asset Prices'!AG287/'Asset Prices'!AG288-1</f>
        <v>0</v>
      </c>
      <c r="AH287" s="1">
        <f>'Asset Prices'!AH287/'Asset Prices'!AH288-1</f>
        <v>1.9894998618402937E-2</v>
      </c>
      <c r="AI287" s="1">
        <f>'Asset Prices'!AI287/'Asset Prices'!AI288-1</f>
        <v>-3.0319436924742704E-2</v>
      </c>
      <c r="AJ287" s="1">
        <f>'Asset Prices'!AJ287/'Asset Prices'!AJ288-1</f>
        <v>1.8340210912425547E-2</v>
      </c>
      <c r="AK287" s="1">
        <f>'Asset Prices'!AK287/'Asset Prices'!AK288-1</f>
        <v>2.5494505494505493E-2</v>
      </c>
      <c r="AL287" s="1">
        <f>'Asset Prices'!AL287/'Asset Prices'!AL288-1</f>
        <v>-8.8669950738916592E-3</v>
      </c>
      <c r="AM287" s="1">
        <f>'Asset Prices'!AM287/'Asset Prices'!AM288-1</f>
        <v>1.0968921389396646E-2</v>
      </c>
      <c r="AN287" s="1">
        <f>'Asset Prices'!AN287/'Asset Prices'!AN288-1</f>
        <v>1.7797432855139794E-2</v>
      </c>
      <c r="AO287" s="1">
        <f>'Asset Prices'!AO287/'Asset Prices'!AO288-1</f>
        <v>1.323210412147513E-2</v>
      </c>
      <c r="AP287" s="1">
        <f>'Asset Prices'!AP287/'Asset Prices'!AP288-1</f>
        <v>3.3970276008492561E-3</v>
      </c>
      <c r="AQ287" s="1">
        <f>'Asset Prices'!AQ287/'Asset Prices'!AQ288-1</f>
        <v>4.5672191528545181E-2</v>
      </c>
      <c r="AR287" s="1">
        <f>'Asset Prices'!AR287/'Asset Prices'!AR288-1</f>
        <v>5.2810902896081924E-2</v>
      </c>
      <c r="AS287" s="1">
        <f>'Asset Prices'!AS287/'Asset Prices'!AS288-1</f>
        <v>3.4925429488389614E-2</v>
      </c>
      <c r="AT287" s="1">
        <f>'Asset Prices'!AT287/'Asset Prices'!AT288-1</f>
        <v>1.2121212121212199E-3</v>
      </c>
      <c r="AU287" s="1">
        <f>'Asset Prices'!AU287/'Asset Prices'!AU288-1</f>
        <v>0</v>
      </c>
      <c r="AV287" s="1">
        <f>'Asset Prices'!AV287/'Asset Prices'!AV288-1</f>
        <v>1.3058239749283995E-3</v>
      </c>
      <c r="AW287" s="1">
        <f>'Asset Prices'!AW287/'Asset Prices'!AW288-1</f>
        <v>1.5563175943023033E-2</v>
      </c>
      <c r="AX287" s="1">
        <f>'Asset Prices'!AX287/'Asset Prices'!AX288-1</f>
        <v>2.0330969267139398E-2</v>
      </c>
      <c r="AY287" s="1">
        <f>'Asset Prices'!AY287/'Asset Prices'!AY288-1</f>
        <v>5.3368328958880218E-2</v>
      </c>
      <c r="AZ287" s="1">
        <f>'Asset Prices'!AZ287/'Asset Prices'!AZ288-1</f>
        <v>3.2974427994616473E-2</v>
      </c>
      <c r="BA287" s="1">
        <f>'Asset Prices'!BA287/'Asset Prices'!BA288-1</f>
        <v>-1.3296011196640922E-2</v>
      </c>
      <c r="BB287" s="1">
        <f>'Asset Prices'!BB287/'Asset Prices'!BB288-1</f>
        <v>2.5876120619396925E-2</v>
      </c>
      <c r="BC287" s="1">
        <f>'Asset Prices'!BC287/'Asset Prices'!BC288-1</f>
        <v>5.4556006964596726E-3</v>
      </c>
      <c r="BD287" s="1">
        <f>'Asset Prices'!BD287/'Asset Prices'!BD288-1</f>
        <v>-1.2362467548532319E-4</v>
      </c>
    </row>
    <row r="288" spans="3:56" x14ac:dyDescent="0.25">
      <c r="C288" s="38">
        <f>'Asset Prices'!C288</f>
        <v>42355</v>
      </c>
      <c r="D288" s="1">
        <f>'Asset Prices'!D288/'Asset Prices'!D289-1</f>
        <v>7.2964669738861954E-3</v>
      </c>
      <c r="E288" s="1">
        <f>'Asset Prices'!E288/'Asset Prices'!E289-1</f>
        <v>1.1285662694113352E-2</v>
      </c>
      <c r="F288" s="1">
        <f>'Asset Prices'!F288/'Asset Prices'!F289-1</f>
        <v>1.2282338308457819E-2</v>
      </c>
      <c r="G288" s="1">
        <f>'Asset Prices'!G288/'Asset Prices'!G289-1</f>
        <v>-3.2992930086410022E-2</v>
      </c>
      <c r="H288" s="1">
        <f>'Asset Prices'!H288/'Asset Prices'!H289-1</f>
        <v>-2.2295872250677751E-2</v>
      </c>
      <c r="I288" s="1">
        <f>'Asset Prices'!I288/'Asset Prices'!I289-1</f>
        <v>7.5886928476569526E-3</v>
      </c>
      <c r="J288" s="1">
        <f>'Asset Prices'!J288/'Asset Prices'!J289-1</f>
        <v>-6.1892054747353042E-2</v>
      </c>
      <c r="K288" s="1">
        <f>'Asset Prices'!K288/'Asset Prices'!K289-1</f>
        <v>1.2577002053387965E-2</v>
      </c>
      <c r="L288" s="1">
        <f>'Asset Prices'!L288/'Asset Prices'!L289-1</f>
        <v>-3.254413798714384E-3</v>
      </c>
      <c r="M288" s="1">
        <f>'Asset Prices'!M288/'Asset Prices'!M289-1</f>
        <v>7.7799891442011937E-3</v>
      </c>
      <c r="N288" s="1">
        <f>'Asset Prices'!N288/'Asset Prices'!N289-1</f>
        <v>1.2880901005210443E-2</v>
      </c>
      <c r="O288" s="1">
        <f>'Asset Prices'!O288/'Asset Prices'!O289-1</f>
        <v>3.526564480811345E-2</v>
      </c>
      <c r="P288" s="1">
        <f>'Asset Prices'!P288/'Asset Prices'!P289-1</f>
        <v>-6.4294899271322148E-4</v>
      </c>
      <c r="Q288" s="1">
        <f>'Asset Prices'!Q288/'Asset Prices'!Q289-1</f>
        <v>-3.9981546978318239E-3</v>
      </c>
      <c r="R288" s="1">
        <f>'Asset Prices'!R288/'Asset Prices'!R289-1</f>
        <v>4.6277665995975825E-2</v>
      </c>
      <c r="S288" s="1">
        <f>'Asset Prices'!S288/'Asset Prices'!S289-1</f>
        <v>3.0063771636805514E-2</v>
      </c>
      <c r="T288" s="1">
        <f>'Asset Prices'!T288/'Asset Prices'!T289-1</f>
        <v>-3.2243880990766582E-2</v>
      </c>
      <c r="U288" s="1">
        <f>'Asset Prices'!U288/'Asset Prices'!U289-1</f>
        <v>-2.2897196261682184E-2</v>
      </c>
      <c r="V288" s="1">
        <f>'Asset Prices'!V288/'Asset Prices'!V289-1</f>
        <v>-2.2097227802330366E-2</v>
      </c>
      <c r="W288" s="1">
        <f>'Asset Prices'!W288/'Asset Prices'!W289-1</f>
        <v>-1.715039577836408E-2</v>
      </c>
      <c r="X288" s="1">
        <f>'Asset Prices'!X288/'Asset Prices'!X289-1</f>
        <v>-3.8453038674033158E-2</v>
      </c>
      <c r="Y288" s="1">
        <f>'Asset Prices'!Y288/'Asset Prices'!Y289-1</f>
        <v>-4.8823790072639595E-3</v>
      </c>
      <c r="Z288" s="1">
        <f>'Asset Prices'!Z288/'Asset Prices'!Z289-1</f>
        <v>8.6956521739127712E-3</v>
      </c>
      <c r="AA288" s="1">
        <f>'Asset Prices'!AA288/'Asset Prices'!AA289-1</f>
        <v>-2.7630180658873571E-2</v>
      </c>
      <c r="AB288" s="1">
        <f>'Asset Prices'!AB288/'Asset Prices'!AB289-1</f>
        <v>1.1673151750972943E-2</v>
      </c>
      <c r="AC288" s="1">
        <f>'Asset Prices'!AC288/'Asset Prices'!AC289-1</f>
        <v>-8.0642251488363681E-2</v>
      </c>
      <c r="AD288" s="1">
        <f>'Asset Prices'!AD288/'Asset Prices'!AD289-1</f>
        <v>-3.6115007012622713E-2</v>
      </c>
      <c r="AE288" s="1">
        <f>'Asset Prices'!AE288/'Asset Prices'!AE289-1</f>
        <v>-2.7599802858550904E-2</v>
      </c>
      <c r="AF288" s="1">
        <f>'Asset Prices'!AF288/'Asset Prices'!AF289-1</f>
        <v>-4.0904556035916251E-2</v>
      </c>
      <c r="AG288" s="1">
        <f>'Asset Prices'!AG288/'Asset Prices'!AG289-1</f>
        <v>-8.1967213114751969E-3</v>
      </c>
      <c r="AH288" s="1">
        <f>'Asset Prices'!AH288/'Asset Prices'!AH289-1</f>
        <v>-4.2592592592592626E-2</v>
      </c>
      <c r="AI288" s="1">
        <f>'Asset Prices'!AI288/'Asset Prices'!AI289-1</f>
        <v>-2.2751322751322745E-2</v>
      </c>
      <c r="AJ288" s="1">
        <f>'Asset Prices'!AJ288/'Asset Prices'!AJ289-1</f>
        <v>2.202436738519209E-2</v>
      </c>
      <c r="AK288" s="1">
        <f>'Asset Prices'!AK288/'Asset Prices'!AK289-1</f>
        <v>-0.10573899371069184</v>
      </c>
      <c r="AL288" s="1">
        <f>'Asset Prices'!AL288/'Asset Prices'!AL289-1</f>
        <v>3.1853608946119882E-2</v>
      </c>
      <c r="AM288" s="1">
        <f>'Asset Prices'!AM288/'Asset Prices'!AM289-1</f>
        <v>-2.193303114490508E-4</v>
      </c>
      <c r="AN288" s="1">
        <f>'Asset Prices'!AN288/'Asset Prices'!AN289-1</f>
        <v>-2.3673732917250945E-3</v>
      </c>
      <c r="AO288" s="1">
        <f>'Asset Prices'!AO288/'Asset Prices'!AO289-1</f>
        <v>1.7210944395410488E-2</v>
      </c>
      <c r="AP288" s="1">
        <f>'Asset Prices'!AP288/'Asset Prices'!AP289-1</f>
        <v>-1.1611639619473979E-2</v>
      </c>
      <c r="AQ288" s="1">
        <f>'Asset Prices'!AQ288/'Asset Prices'!AQ289-1</f>
        <v>-4.4350580781415072E-2</v>
      </c>
      <c r="AR288" s="1">
        <f>'Asset Prices'!AR288/'Asset Prices'!AR289-1</f>
        <v>-9.3669583118888289E-2</v>
      </c>
      <c r="AS288" s="1">
        <f>'Asset Prices'!AS288/'Asset Prices'!AS289-1</f>
        <v>7.5571509540894866E-4</v>
      </c>
      <c r="AT288" s="1">
        <f>'Asset Prices'!AT288/'Asset Prices'!AT289-1</f>
        <v>3.4054974458770371E-3</v>
      </c>
      <c r="AU288" s="1">
        <f>'Asset Prices'!AU288/'Asset Prices'!AU289-1</f>
        <v>1.0106899902818212E-2</v>
      </c>
      <c r="AV288" s="1">
        <f>'Asset Prices'!AV288/'Asset Prices'!AV289-1</f>
        <v>-1.5807736794756555E-2</v>
      </c>
      <c r="AW288" s="1">
        <f>'Asset Prices'!AW288/'Asset Prices'!AW289-1</f>
        <v>-1.9906928645294752E-2</v>
      </c>
      <c r="AX288" s="1">
        <f>'Asset Prices'!AX288/'Asset Prices'!AX289-1</f>
        <v>-5.4114490161001783E-2</v>
      </c>
      <c r="AY288" s="1">
        <f>'Asset Prices'!AY288/'Asset Prices'!AY289-1</f>
        <v>1.3747228381374654E-2</v>
      </c>
      <c r="AZ288" s="1">
        <f>'Asset Prices'!AZ288/'Asset Prices'!AZ289-1</f>
        <v>-0.11617763679619342</v>
      </c>
      <c r="BA288" s="1">
        <f>'Asset Prices'!BA288/'Asset Prices'!BA289-1</f>
        <v>1.1323425336164261E-2</v>
      </c>
      <c r="BB288" s="1">
        <f>'Asset Prices'!BB288/'Asset Prices'!BB289-1</f>
        <v>2.9362416107382439E-2</v>
      </c>
      <c r="BC288" s="1">
        <f>'Asset Prices'!BC288/'Asset Prices'!BC289-1</f>
        <v>-1.7946723707567447E-2</v>
      </c>
      <c r="BD288" s="1">
        <f>'Asset Prices'!BD288/'Asset Prices'!BD289-1</f>
        <v>-3.8283200570681242E-2</v>
      </c>
    </row>
    <row r="289" spans="3:56" x14ac:dyDescent="0.25">
      <c r="C289" s="38">
        <f>'Asset Prices'!C289</f>
        <v>42348</v>
      </c>
      <c r="D289" s="1">
        <f>'Asset Prices'!D289/'Asset Prices'!D290-1</f>
        <v>-2.1714139736875859E-3</v>
      </c>
      <c r="E289" s="1">
        <f>'Asset Prices'!E289/'Asset Prices'!E290-1</f>
        <v>-1.0099204575922727E-2</v>
      </c>
      <c r="F289" s="1">
        <f>'Asset Prices'!F289/'Asset Prices'!F290-1</f>
        <v>-3.7174721189592308E-3</v>
      </c>
      <c r="G289" s="1">
        <f>'Asset Prices'!G289/'Asset Prices'!G290-1</f>
        <v>1.0050251256281229E-2</v>
      </c>
      <c r="H289" s="1">
        <f>'Asset Prices'!H289/'Asset Prices'!H290-1</f>
        <v>-4.6812176909821979E-2</v>
      </c>
      <c r="I289" s="1">
        <f>'Asset Prices'!I289/'Asset Prices'!I290-1</f>
        <v>9.9635945583445018E-3</v>
      </c>
      <c r="J289" s="1">
        <f>'Asset Prices'!J289/'Asset Prices'!J290-1</f>
        <v>8.4201388888889284E-3</v>
      </c>
      <c r="K289" s="1">
        <f>'Asset Prices'!K289/'Asset Prices'!K290-1</f>
        <v>-5.8986866791743697E-3</v>
      </c>
      <c r="L289" s="1">
        <f>'Asset Prices'!L289/'Asset Prices'!L290-1</f>
        <v>-3.0754672344452394E-2</v>
      </c>
      <c r="M289" s="1">
        <f>'Asset Prices'!M289/'Asset Prices'!M290-1</f>
        <v>1.974169741697418E-2</v>
      </c>
      <c r="N289" s="1">
        <f>'Asset Prices'!N289/'Asset Prices'!N290-1</f>
        <v>-1.0622233793283087E-2</v>
      </c>
      <c r="O289" s="1">
        <f>'Asset Prices'!O289/'Asset Prices'!O290-1</f>
        <v>2.6135288552507019E-2</v>
      </c>
      <c r="P289" s="1">
        <f>'Asset Prices'!P289/'Asset Prices'!P290-1</f>
        <v>-3.701067615658471E-3</v>
      </c>
      <c r="Q289" s="1">
        <f>'Asset Prices'!Q289/'Asset Prices'!Q290-1</f>
        <v>-1.2002430872075198E-2</v>
      </c>
      <c r="R289" s="1">
        <f>'Asset Prices'!R289/'Asset Prices'!R290-1</f>
        <v>1.0749564206856466E-2</v>
      </c>
      <c r="S289" s="1">
        <f>'Asset Prices'!S289/'Asset Prices'!S290-1</f>
        <v>-2.4235080278702803E-3</v>
      </c>
      <c r="T289" s="1">
        <f>'Asset Prices'!T289/'Asset Prices'!T290-1</f>
        <v>-7.9965106135504449E-3</v>
      </c>
      <c r="U289" s="1">
        <f>'Asset Prices'!U289/'Asset Prices'!U290-1</f>
        <v>-1.6995865870463978E-2</v>
      </c>
      <c r="V289" s="1">
        <f>'Asset Prices'!V289/'Asset Prices'!V290-1</f>
        <v>-6.1888600519065529E-3</v>
      </c>
      <c r="W289" s="1">
        <f>'Asset Prices'!W289/'Asset Prices'!W290-1</f>
        <v>-3.1309904153354662E-2</v>
      </c>
      <c r="X289" s="1">
        <f>'Asset Prices'!X289/'Asset Prices'!X290-1</f>
        <v>-4.3138084161556289E-2</v>
      </c>
      <c r="Y289" s="1">
        <f>'Asset Prices'!Y289/'Asset Prices'!Y290-1</f>
        <v>5.1820728260069782E-2</v>
      </c>
      <c r="Z289" s="1">
        <f>'Asset Prices'!Z289/'Asset Prices'!Z290-1</f>
        <v>0.15164520743919896</v>
      </c>
      <c r="AA289" s="1">
        <f>'Asset Prices'!AA289/'Asset Prices'!AA290-1</f>
        <v>-1.8086956521739084E-2</v>
      </c>
      <c r="AB289" s="1">
        <f>'Asset Prices'!AB289/'Asset Prices'!AB290-1</f>
        <v>-3.8759689922481799E-3</v>
      </c>
      <c r="AC289" s="1">
        <f>'Asset Prices'!AC289/'Asset Prices'!AC290-1</f>
        <v>4.152574220217975E-2</v>
      </c>
      <c r="AD289" s="1">
        <f>'Asset Prices'!AD289/'Asset Prices'!AD290-1</f>
        <v>-3.157894736842104E-2</v>
      </c>
      <c r="AE289" s="1">
        <f>'Asset Prices'!AE289/'Asset Prices'!AE290-1</f>
        <v>-1.6957364341085301E-2</v>
      </c>
      <c r="AF289" s="1">
        <f>'Asset Prices'!AF289/'Asset Prices'!AF290-1</f>
        <v>-3.0937802126973946E-2</v>
      </c>
      <c r="AG289" s="1">
        <f>'Asset Prices'!AG289/'Asset Prices'!AG290-1</f>
        <v>2.2754491017964007E-2</v>
      </c>
      <c r="AH289" s="1">
        <f>'Asset Prices'!AH289/'Asset Prices'!AH290-1</f>
        <v>-6.5703022339027584E-3</v>
      </c>
      <c r="AI289" s="1">
        <f>'Asset Prices'!AI289/'Asset Prices'!AI290-1</f>
        <v>-2.2624434389140302E-2</v>
      </c>
      <c r="AJ289" s="1">
        <f>'Asset Prices'!AJ289/'Asset Prices'!AJ290-1</f>
        <v>-2.823315118397085E-2</v>
      </c>
      <c r="AK289" s="1">
        <f>'Asset Prices'!AK289/'Asset Prices'!AK290-1</f>
        <v>2.9959514170040613E-2</v>
      </c>
      <c r="AL289" s="1">
        <f>'Asset Prices'!AL289/'Asset Prices'!AL290-1</f>
        <v>6.4802182810368425E-3</v>
      </c>
      <c r="AM289" s="1">
        <f>'Asset Prices'!AM289/'Asset Prices'!AM290-1</f>
        <v>-1.5404549380938604E-2</v>
      </c>
      <c r="AN289" s="1">
        <f>'Asset Prices'!AN289/'Asset Prices'!AN290-1</f>
        <v>3.7805141499245298E-3</v>
      </c>
      <c r="AO289" s="1">
        <f>'Asset Prices'!AO289/'Asset Prices'!AO290-1</f>
        <v>1.7055655296229766E-2</v>
      </c>
      <c r="AP289" s="1">
        <f>'Asset Prices'!AP289/'Asset Prices'!AP290-1</f>
        <v>2.3482245131729584E-2</v>
      </c>
      <c r="AQ289" s="1">
        <f>'Asset Prices'!AQ289/'Asset Prices'!AQ290-1</f>
        <v>-2.4884159945083306E-2</v>
      </c>
      <c r="AR289" s="1">
        <f>'Asset Prices'!AR289/'Asset Prices'!AR290-1</f>
        <v>3.7373198077949699E-2</v>
      </c>
      <c r="AS289" s="1">
        <f>'Asset Prices'!AS289/'Asset Prices'!AS290-1</f>
        <v>3.6420599177599433E-2</v>
      </c>
      <c r="AT289" s="1">
        <f>'Asset Prices'!AT289/'Asset Prices'!AT290-1</f>
        <v>1.4811157738829905E-2</v>
      </c>
      <c r="AU289" s="1">
        <f>'Asset Prices'!AU289/'Asset Prices'!AU290-1</f>
        <v>2.9480424197958932E-2</v>
      </c>
      <c r="AV289" s="1">
        <f>'Asset Prices'!AV289/'Asset Prices'!AV290-1</f>
        <v>5.0209205020920411E-2</v>
      </c>
      <c r="AW289" s="1">
        <f>'Asset Prices'!AW289/'Asset Prices'!AW290-1</f>
        <v>-3.5651957117925681E-2</v>
      </c>
      <c r="AX289" s="1">
        <f>'Asset Prices'!AX289/'Asset Prices'!AX290-1</f>
        <v>3.7105751391465658E-2</v>
      </c>
      <c r="AY289" s="1">
        <f>'Asset Prices'!AY289/'Asset Prices'!AY290-1</f>
        <v>-7.6954564060581321E-2</v>
      </c>
      <c r="AZ289" s="1">
        <f>'Asset Prices'!AZ289/'Asset Prices'!AZ290-1</f>
        <v>8.799999999999919E-3</v>
      </c>
      <c r="BA289" s="1">
        <f>'Asset Prices'!BA289/'Asset Prices'!BA290-1</f>
        <v>-3.5260930888575404E-3</v>
      </c>
      <c r="BB289" s="1">
        <f>'Asset Prices'!BB289/'Asset Prices'!BB290-1</f>
        <v>-1.2568077084206264E-3</v>
      </c>
      <c r="BC289" s="1">
        <f>'Asset Prices'!BC289/'Asset Prices'!BC290-1</f>
        <v>2.3227595770497489E-2</v>
      </c>
      <c r="BD289" s="1">
        <f>'Asset Prices'!BD289/'Asset Prices'!BD290-1</f>
        <v>1.3495601879744523E-2</v>
      </c>
    </row>
    <row r="290" spans="3:56" x14ac:dyDescent="0.25">
      <c r="C290" s="38">
        <f>'Asset Prices'!C290</f>
        <v>42341</v>
      </c>
      <c r="D290" s="1">
        <f>'Asset Prices'!D290/'Asset Prices'!D291-1</f>
        <v>-1.5962795374560024E-2</v>
      </c>
      <c r="E290" s="1">
        <f>'Asset Prices'!E290/'Asset Prices'!E291-1</f>
        <v>-5.7133226594758613E-2</v>
      </c>
      <c r="F290" s="1">
        <f>'Asset Prices'!F290/'Asset Prices'!F291-1</f>
        <v>-3.7351822858420869E-2</v>
      </c>
      <c r="G290" s="1">
        <f>'Asset Prices'!G290/'Asset Prices'!G291-1</f>
        <v>-3.6933265410086458E-2</v>
      </c>
      <c r="H290" s="1">
        <f>'Asset Prices'!H290/'Asset Prices'!H291-1</f>
        <v>-2.5877745139180175E-2</v>
      </c>
      <c r="I290" s="1">
        <f>'Asset Prices'!I290/'Asset Prices'!I291-1</f>
        <v>-9.7713689403282622E-3</v>
      </c>
      <c r="J290" s="1">
        <f>'Asset Prices'!J290/'Asset Prices'!J291-1</f>
        <v>-2.3976955011437706E-2</v>
      </c>
      <c r="K290" s="1">
        <f>'Asset Prices'!K290/'Asset Prices'!K291-1</f>
        <v>-1.3459886871797999E-2</v>
      </c>
      <c r="L290" s="1">
        <f>'Asset Prices'!L290/'Asset Prices'!L291-1</f>
        <v>2.1343427835051498E-2</v>
      </c>
      <c r="M290" s="1">
        <f>'Asset Prices'!M290/'Asset Prices'!M291-1</f>
        <v>9.4989756006707005E-3</v>
      </c>
      <c r="N290" s="1">
        <f>'Asset Prices'!N290/'Asset Prices'!N291-1</f>
        <v>-1.3779476379897071E-3</v>
      </c>
      <c r="O290" s="1">
        <f>'Asset Prices'!O290/'Asset Prices'!O291-1</f>
        <v>-2.7039466114371136E-2</v>
      </c>
      <c r="P290" s="1">
        <f>'Asset Prices'!P290/'Asset Prices'!P291-1</f>
        <v>-1.878622808855368E-2</v>
      </c>
      <c r="Q290" s="1">
        <f>'Asset Prices'!Q290/'Asset Prices'!Q291-1</f>
        <v>-2.8630460448642481E-2</v>
      </c>
      <c r="R290" s="1">
        <f>'Asset Prices'!R290/'Asset Prices'!R291-1</f>
        <v>-3.0422535211267587E-2</v>
      </c>
      <c r="S290" s="1">
        <f>'Asset Prices'!S290/'Asset Prices'!S291-1</f>
        <v>-1.9019316493313565E-2</v>
      </c>
      <c r="T290" s="1">
        <f>'Asset Prices'!T290/'Asset Prices'!T291-1</f>
        <v>-4.2594654788418729E-2</v>
      </c>
      <c r="U290" s="1">
        <f>'Asset Prices'!U290/'Asset Prices'!U291-1</f>
        <v>-2.8558679161088785E-2</v>
      </c>
      <c r="V290" s="1">
        <f>'Asset Prices'!V290/'Asset Prices'!V291-1</f>
        <v>-3.5432312728673199E-2</v>
      </c>
      <c r="W290" s="1">
        <f>'Asset Prices'!W290/'Asset Prices'!W291-1</f>
        <v>-2.0344287949921713E-2</v>
      </c>
      <c r="X290" s="1">
        <f>'Asset Prices'!X290/'Asset Prices'!X291-1</f>
        <v>3.0732345248474235E-2</v>
      </c>
      <c r="Y290" s="1">
        <f>'Asset Prices'!Y290/'Asset Prices'!Y291-1</f>
        <v>-1.4719411213742983E-2</v>
      </c>
      <c r="Z290" s="1">
        <f>'Asset Prices'!Z290/'Asset Prices'!Z291-1</f>
        <v>-0.16086434573829533</v>
      </c>
      <c r="AA290" s="1">
        <f>'Asset Prices'!AA290/'Asset Prices'!AA291-1</f>
        <v>-9.6451946262487986E-3</v>
      </c>
      <c r="AB290" s="1">
        <f>'Asset Prices'!AB290/'Asset Prices'!AB291-1</f>
        <v>-5.7803468208093012E-3</v>
      </c>
      <c r="AC290" s="1">
        <f>'Asset Prices'!AC290/'Asset Prices'!AC291-1</f>
        <v>2.4446583253127985E-2</v>
      </c>
      <c r="AD290" s="1">
        <f>'Asset Prices'!AD290/'Asset Prices'!AD291-1</f>
        <v>-4.9386701097482333E-2</v>
      </c>
      <c r="AE290" s="1">
        <f>'Asset Prices'!AE290/'Asset Prices'!AE291-1</f>
        <v>-4.1560250754585581E-2</v>
      </c>
      <c r="AF290" s="1">
        <f>'Asset Prices'!AF290/'Asset Prices'!AF291-1</f>
        <v>-1.3668150031786341E-2</v>
      </c>
      <c r="AG290" s="1">
        <f>'Asset Prices'!AG290/'Asset Prices'!AG291-1</f>
        <v>-6.0213843556556013E-2</v>
      </c>
      <c r="AH290" s="1">
        <f>'Asset Prices'!AH290/'Asset Prices'!AH291-1</f>
        <v>-3.5487959442332184E-2</v>
      </c>
      <c r="AI290" s="1">
        <f>'Asset Prices'!AI290/'Asset Prices'!AI291-1</f>
        <v>-4.5650832819247422E-2</v>
      </c>
      <c r="AJ290" s="1">
        <f>'Asset Prices'!AJ290/'Asset Prices'!AJ291-1</f>
        <v>-9.0991810737028889E-4</v>
      </c>
      <c r="AK290" s="1">
        <f>'Asset Prices'!AK290/'Asset Prices'!AK291-1</f>
        <v>-1.5151515151515138E-2</v>
      </c>
      <c r="AL290" s="1">
        <f>'Asset Prices'!AL290/'Asset Prices'!AL291-1</f>
        <v>-9.1247042919905264E-3</v>
      </c>
      <c r="AM290" s="1">
        <f>'Asset Prices'!AM290/'Asset Prices'!AM291-1</f>
        <v>6.6666666666665986E-3</v>
      </c>
      <c r="AN290" s="1">
        <f>'Asset Prices'!AN290/'Asset Prices'!AN291-1</f>
        <v>-4.7726805184118537E-2</v>
      </c>
      <c r="AO290" s="1">
        <f>'Asset Prices'!AO290/'Asset Prices'!AO291-1</f>
        <v>-8.0142475512021694E-3</v>
      </c>
      <c r="AP290" s="1">
        <f>'Asset Prices'!AP290/'Asset Prices'!AP291-1</f>
        <v>-2.5261688764829038E-2</v>
      </c>
      <c r="AQ290" s="1">
        <f>'Asset Prices'!AQ290/'Asset Prices'!AQ291-1</f>
        <v>-1.4710855596888672E-2</v>
      </c>
      <c r="AR290" s="1">
        <f>'Asset Prices'!AR290/'Asset Prices'!AR291-1</f>
        <v>4.5784477945281843E-2</v>
      </c>
      <c r="AS290" s="1">
        <f>'Asset Prices'!AS290/'Asset Prices'!AS291-1</f>
        <v>-1.4092664092664076E-2</v>
      </c>
      <c r="AT290" s="1">
        <f>'Asset Prices'!AT290/'Asset Prices'!AT291-1</f>
        <v>-2.3855421686747036E-2</v>
      </c>
      <c r="AU290" s="1">
        <f>'Asset Prices'!AU290/'Asset Prices'!AU291-1</f>
        <v>-1.2656541433520019E-3</v>
      </c>
      <c r="AV290" s="1">
        <f>'Asset Prices'!AV290/'Asset Prices'!AV291-1</f>
        <v>-1.1210463098892398E-2</v>
      </c>
      <c r="AW290" s="1">
        <f>'Asset Prices'!AW290/'Asset Prices'!AW291-1</f>
        <v>-7.1957427117075423E-2</v>
      </c>
      <c r="AX290" s="1">
        <f>'Asset Prices'!AX290/'Asset Prices'!AX291-1</f>
        <v>-7.3485174043833257E-2</v>
      </c>
      <c r="AY290" s="1">
        <f>'Asset Prices'!AY290/'Asset Prices'!AY291-1</f>
        <v>-0.12468649229666784</v>
      </c>
      <c r="AZ290" s="1">
        <f>'Asset Prices'!AZ290/'Asset Prices'!AZ291-1</f>
        <v>4.0160642570281624E-3</v>
      </c>
      <c r="BA290" s="1">
        <f>'Asset Prices'!BA290/'Asset Prices'!BA291-1</f>
        <v>-2.442380460956306E-2</v>
      </c>
      <c r="BB290" s="1">
        <f>'Asset Prices'!BB290/'Asset Prices'!BB291-1</f>
        <v>-1.9712525667351155E-2</v>
      </c>
      <c r="BC290" s="1">
        <f>'Asset Prices'!BC290/'Asset Prices'!BC291-1</f>
        <v>-9.1209829867674896E-2</v>
      </c>
      <c r="BD290" s="1">
        <f>'Asset Prices'!BD290/'Asset Prices'!BD291-1</f>
        <v>-2.1459733521990376E-2</v>
      </c>
    </row>
    <row r="291" spans="3:56" x14ac:dyDescent="0.25">
      <c r="C291" s="38">
        <f>'Asset Prices'!C291</f>
        <v>42333</v>
      </c>
      <c r="D291" s="1">
        <f>'Asset Prices'!D291/'Asset Prices'!D292-1</f>
        <v>-7.3611977542108464E-3</v>
      </c>
      <c r="E291" s="1">
        <f>'Asset Prices'!E291/'Asset Prices'!E292-1</f>
        <v>-3.3695560609880992E-4</v>
      </c>
      <c r="F291" s="1">
        <f>'Asset Prices'!F291/'Asset Prices'!F292-1</f>
        <v>6.6385752901892081E-2</v>
      </c>
      <c r="G291" s="1">
        <f>'Asset Prices'!G291/'Asset Prices'!G292-1</f>
        <v>6.1506919528444559E-3</v>
      </c>
      <c r="H291" s="1">
        <f>'Asset Prices'!H291/'Asset Prices'!H292-1</f>
        <v>2.0994001713795951E-2</v>
      </c>
      <c r="I291" s="1">
        <f>'Asset Prices'!I291/'Asset Prices'!I292-1</f>
        <v>-7.99924712968203E-3</v>
      </c>
      <c r="J291" s="1">
        <f>'Asset Prices'!J291/'Asset Prices'!J292-1</f>
        <v>-6.314194308806198E-3</v>
      </c>
      <c r="K291" s="1">
        <f>'Asset Prices'!K291/'Asset Prices'!K292-1</f>
        <v>2.1277239251742852E-2</v>
      </c>
      <c r="L291" s="1">
        <f>'Asset Prices'!L291/'Asset Prices'!L292-1</f>
        <v>3.2773249043420272E-2</v>
      </c>
      <c r="M291" s="1">
        <f>'Asset Prices'!M291/'Asset Prices'!M292-1</f>
        <v>-4.6347793845012975E-3</v>
      </c>
      <c r="N291" s="1">
        <f>'Asset Prices'!N291/'Asset Prices'!N292-1</f>
        <v>1.2264126115219431E-2</v>
      </c>
      <c r="O291" s="1">
        <f>'Asset Prices'!O291/'Asset Prices'!O292-1</f>
        <v>2.1389117405100411E-2</v>
      </c>
      <c r="P291" s="1">
        <f>'Asset Prices'!P291/'Asset Prices'!P292-1</f>
        <v>4.1684853775643793E-2</v>
      </c>
      <c r="Q291" s="1">
        <f>'Asset Prices'!Q291/'Asset Prices'!Q292-1</f>
        <v>5.4904288470101204E-3</v>
      </c>
      <c r="R291" s="1">
        <f>'Asset Prices'!R291/'Asset Prices'!R292-1</f>
        <v>-6.1590145576707611E-3</v>
      </c>
      <c r="S291" s="1">
        <f>'Asset Prices'!S291/'Asset Prices'!S292-1</f>
        <v>-1.3485781295807686E-2</v>
      </c>
      <c r="T291" s="1">
        <f>'Asset Prices'!T291/'Asset Prices'!T292-1</f>
        <v>-1.0059253134904078E-2</v>
      </c>
      <c r="U291" s="1">
        <f>'Asset Prices'!U291/'Asset Prices'!U292-1</f>
        <v>-2.7132624267419136E-2</v>
      </c>
      <c r="V291" s="1">
        <f>'Asset Prices'!V291/'Asset Prices'!V292-1</f>
        <v>2.6487448112274992E-2</v>
      </c>
      <c r="W291" s="1">
        <f>'Asset Prices'!W291/'Asset Prices'!W292-1</f>
        <v>4.173459406586244E-2</v>
      </c>
      <c r="X291" s="1">
        <f>'Asset Prices'!X291/'Asset Prices'!X292-1</f>
        <v>-2.1122253040324224E-2</v>
      </c>
      <c r="Y291" s="1">
        <f>'Asset Prices'!Y291/'Asset Prices'!Y292-1</f>
        <v>5.6878949933017786E-2</v>
      </c>
      <c r="Z291" s="1">
        <f>'Asset Prices'!Z291/'Asset Prices'!Z292-1</f>
        <v>0.26981707317073189</v>
      </c>
      <c r="AA291" s="1">
        <f>'Asset Prices'!AA291/'Asset Prices'!AA292-1</f>
        <v>4.4982698961939516E-3</v>
      </c>
      <c r="AB291" s="1">
        <f>'Asset Prices'!AB291/'Asset Prices'!AB292-1</f>
        <v>2.5691699604743157E-2</v>
      </c>
      <c r="AC291" s="1">
        <f>'Asset Prices'!AC291/'Asset Prices'!AC292-1</f>
        <v>7.8248235782482523E-2</v>
      </c>
      <c r="AD291" s="1">
        <f>'Asset Prices'!AD291/'Asset Prices'!AD292-1</f>
        <v>-1.6820057124722343E-2</v>
      </c>
      <c r="AE291" s="1">
        <f>'Asset Prices'!AE291/'Asset Prices'!AE292-1</f>
        <v>4.8952752070141159E-2</v>
      </c>
      <c r="AF291" s="1">
        <f>'Asset Prices'!AF291/'Asset Prices'!AF292-1</f>
        <v>-2.6307644692045828E-2</v>
      </c>
      <c r="AG291" s="1">
        <f>'Asset Prices'!AG291/'Asset Prices'!AG292-1</f>
        <v>4.6525323910482808E-2</v>
      </c>
      <c r="AH291" s="1">
        <f>'Asset Prices'!AH291/'Asset Prices'!AH292-1</f>
        <v>4.8923158734379246E-2</v>
      </c>
      <c r="AI291" s="1">
        <f>'Asset Prices'!AI291/'Asset Prices'!AI292-1</f>
        <v>1.528247525992743E-2</v>
      </c>
      <c r="AJ291" s="1">
        <f>'Asset Prices'!AJ291/'Asset Prices'!AJ292-1</f>
        <v>3.6529680365298134E-3</v>
      </c>
      <c r="AK291" s="1">
        <f>'Asset Prices'!AK291/'Asset Prices'!AK292-1</f>
        <v>-2.2984028048305571E-2</v>
      </c>
      <c r="AL291" s="1">
        <f>'Asset Prices'!AL291/'Asset Prices'!AL292-1</f>
        <v>-1.8573797678275272E-2</v>
      </c>
      <c r="AM291" s="1">
        <f>'Asset Prices'!AM291/'Asset Prices'!AM292-1</f>
        <v>9.2145677928916481E-3</v>
      </c>
      <c r="AN291" s="1">
        <f>'Asset Prices'!AN291/'Asset Prices'!AN292-1</f>
        <v>1.897075778220314E-2</v>
      </c>
      <c r="AO291" s="1">
        <f>'Asset Prices'!AO291/'Asset Prices'!AO292-1</f>
        <v>-1.8356643356643332E-2</v>
      </c>
      <c r="AP291" s="1">
        <f>'Asset Prices'!AP291/'Asset Prices'!AP292-1</f>
        <v>5.8345642540620357E-2</v>
      </c>
      <c r="AQ291" s="1">
        <f>'Asset Prices'!AQ291/'Asset Prices'!AQ292-1</f>
        <v>-5.7680050987890308E-2</v>
      </c>
      <c r="AR291" s="1">
        <f>'Asset Prices'!AR291/'Asset Prices'!AR292-1</f>
        <v>-7.7562326869805576E-3</v>
      </c>
      <c r="AS291" s="1">
        <f>'Asset Prices'!AS291/'Asset Prices'!AS292-1</f>
        <v>1.1323701679031517E-2</v>
      </c>
      <c r="AT291" s="1">
        <f>'Asset Prices'!AT291/'Asset Prices'!AT292-1</f>
        <v>2.4154589371980784E-3</v>
      </c>
      <c r="AU291" s="1">
        <f>'Asset Prices'!AU291/'Asset Prices'!AU292-1</f>
        <v>1.0669511869831894E-3</v>
      </c>
      <c r="AV291" s="1">
        <f>'Asset Prices'!AV291/'Asset Prices'!AV292-1</f>
        <v>0.1156938653960693</v>
      </c>
      <c r="AW291" s="1">
        <f>'Asset Prices'!AW291/'Asset Prices'!AW292-1</f>
        <v>1.3840018766126949E-2</v>
      </c>
      <c r="AX291" s="1">
        <f>'Asset Prices'!AX291/'Asset Prices'!AX292-1</f>
        <v>1.5270506108202353E-2</v>
      </c>
      <c r="AY291" s="1">
        <f>'Asset Prices'!AY291/'Asset Prices'!AY292-1</f>
        <v>-8.251150558842868E-2</v>
      </c>
      <c r="AZ291" s="1">
        <f>'Asset Prices'!AZ291/'Asset Prices'!AZ292-1</f>
        <v>3.298070939639075E-2</v>
      </c>
      <c r="BA291" s="1">
        <f>'Asset Prices'!BA291/'Asset Prices'!BA292-1</f>
        <v>2.7208480565370952E-2</v>
      </c>
      <c r="BB291" s="1">
        <f>'Asset Prices'!BB291/'Asset Prices'!BB292-1</f>
        <v>1.1212624584717723E-2</v>
      </c>
      <c r="BC291" s="1">
        <f>'Asset Prices'!BC291/'Asset Prices'!BC292-1</f>
        <v>-6.0024009603840689E-3</v>
      </c>
      <c r="BD291" s="1">
        <f>'Asset Prices'!BD291/'Asset Prices'!BD292-1</f>
        <v>-1.0038519901949372E-2</v>
      </c>
    </row>
    <row r="292" spans="3:56" x14ac:dyDescent="0.25">
      <c r="C292" s="38">
        <f>'Asset Prices'!C292</f>
        <v>42327</v>
      </c>
      <c r="D292" s="1">
        <f>'Asset Prices'!D292/'Asset Prices'!D293-1</f>
        <v>2.3496360618056489E-2</v>
      </c>
      <c r="E292" s="1">
        <f>'Asset Prices'!E292/'Asset Prices'!E293-1</f>
        <v>2.1512778590482728E-2</v>
      </c>
      <c r="F292" s="1">
        <f>'Asset Prices'!F292/'Asset Prices'!F293-1</f>
        <v>-1.5875535799333429E-3</v>
      </c>
      <c r="G292" s="1">
        <f>'Asset Prices'!G292/'Asset Prices'!G293-1</f>
        <v>1.0095780481491179E-2</v>
      </c>
      <c r="H292" s="1">
        <f>'Asset Prices'!H292/'Asset Prices'!H293-1</f>
        <v>1.9807748325080032E-2</v>
      </c>
      <c r="I292" s="1">
        <f>'Asset Prices'!I292/'Asset Prices'!I293-1</f>
        <v>-1.6293279022403184E-2</v>
      </c>
      <c r="J292" s="1">
        <f>'Asset Prices'!J292/'Asset Prices'!J293-1</f>
        <v>2.6443138610439121E-2</v>
      </c>
      <c r="K292" s="1">
        <f>'Asset Prices'!K292/'Asset Prices'!K293-1</f>
        <v>-6.5054086538461897E-3</v>
      </c>
      <c r="L292" s="1">
        <f>'Asset Prices'!L292/'Asset Prices'!L293-1</f>
        <v>0.10374586852735956</v>
      </c>
      <c r="M292" s="1">
        <f>'Asset Prices'!M292/'Asset Prices'!M293-1</f>
        <v>1.1627906976744207E-2</v>
      </c>
      <c r="N292" s="1">
        <f>'Asset Prices'!N292/'Asset Prices'!N293-1</f>
        <v>4.5074220453915625E-3</v>
      </c>
      <c r="O292" s="1">
        <f>'Asset Prices'!O292/'Asset Prices'!O293-1</f>
        <v>-8.2198215124462681E-4</v>
      </c>
      <c r="P292" s="1">
        <f>'Asset Prices'!P292/'Asset Prices'!P293-1</f>
        <v>3.0589293747188551E-2</v>
      </c>
      <c r="Q292" s="1">
        <f>'Asset Prices'!Q292/'Asset Prices'!Q293-1</f>
        <v>5.2968750000000009E-2</v>
      </c>
      <c r="R292" s="1">
        <f>'Asset Prices'!R292/'Asset Prices'!R293-1</f>
        <v>1.1611441517983545E-2</v>
      </c>
      <c r="S292" s="1">
        <f>'Asset Prices'!S292/'Asset Prices'!S293-1</f>
        <v>2.4016811768237778E-2</v>
      </c>
      <c r="T292" s="1">
        <f>'Asset Prices'!T292/'Asset Prices'!T293-1</f>
        <v>-2.6167471819645738E-2</v>
      </c>
      <c r="U292" s="1">
        <f>'Asset Prices'!U292/'Asset Prices'!U293-1</f>
        <v>8.6899847925270279E-4</v>
      </c>
      <c r="V292" s="1">
        <f>'Asset Prices'!V292/'Asset Prices'!V293-1</f>
        <v>3.8809034907597573E-2</v>
      </c>
      <c r="W292" s="1">
        <f>'Asset Prices'!W292/'Asset Prices'!W293-1</f>
        <v>-9.7675786996175185E-2</v>
      </c>
      <c r="X292" s="1">
        <f>'Asset Prices'!X292/'Asset Prices'!X293-1</f>
        <v>3.8552152495181513E-3</v>
      </c>
      <c r="Y292" s="1">
        <f>'Asset Prices'!Y292/'Asset Prices'!Y293-1</f>
        <v>-3.9234002821347813E-2</v>
      </c>
      <c r="Z292" s="1">
        <f>'Asset Prices'!Z292/'Asset Prices'!Z293-1</f>
        <v>4.4585987261146487E-2</v>
      </c>
      <c r="AA292" s="1">
        <f>'Asset Prices'!AA292/'Asset Prices'!AA293-1</f>
        <v>0</v>
      </c>
      <c r="AB292" s="1">
        <f>'Asset Prices'!AB292/'Asset Prices'!AB293-1</f>
        <v>2.4291497975708287E-2</v>
      </c>
      <c r="AC292" s="1">
        <f>'Asset Prices'!AC292/'Asset Prices'!AC293-1</f>
        <v>0.19286952215895026</v>
      </c>
      <c r="AD292" s="1">
        <f>'Asset Prices'!AD292/'Asset Prices'!AD293-1</f>
        <v>-5.9936908517349563E-3</v>
      </c>
      <c r="AE292" s="1">
        <f>'Asset Prices'!AE292/'Asset Prices'!AE293-1</f>
        <v>6.7880364109232705E-2</v>
      </c>
      <c r="AF292" s="1">
        <f>'Asset Prices'!AF292/'Asset Prices'!AF293-1</f>
        <v>2.0530638029058856E-2</v>
      </c>
      <c r="AG292" s="1">
        <f>'Asset Prices'!AG292/'Asset Prices'!AG293-1</f>
        <v>0</v>
      </c>
      <c r="AH292" s="1">
        <f>'Asset Prices'!AH292/'Asset Prices'!AH293-1</f>
        <v>-0.12085086489013563</v>
      </c>
      <c r="AI292" s="1">
        <f>'Asset Prices'!AI292/'Asset Prices'!AI293-1</f>
        <v>1.5054572826496138E-3</v>
      </c>
      <c r="AJ292" s="1">
        <f>'Asset Prices'!AJ292/'Asset Prices'!AJ293-1</f>
        <v>-1.1286681715575675E-2</v>
      </c>
      <c r="AK292" s="1">
        <f>'Asset Prices'!AK292/'Asset Prices'!AK293-1</f>
        <v>-3.4937888198757205E-3</v>
      </c>
      <c r="AL292" s="1">
        <f>'Asset Prices'!AL292/'Asset Prices'!AL293-1</f>
        <v>4.1631973355538143E-3</v>
      </c>
      <c r="AM292" s="1">
        <f>'Asset Prices'!AM292/'Asset Prices'!AM293-1</f>
        <v>2.7811184606133521E-2</v>
      </c>
      <c r="AN292" s="1">
        <f>'Asset Prices'!AN292/'Asset Prices'!AN293-1</f>
        <v>-2.09183139838931E-3</v>
      </c>
      <c r="AO292" s="1">
        <f>'Asset Prices'!AO292/'Asset Prices'!AO293-1</f>
        <v>2.0745036805710493E-2</v>
      </c>
      <c r="AP292" s="1">
        <f>'Asset Prices'!AP292/'Asset Prices'!AP293-1</f>
        <v>-8.05860805860803E-3</v>
      </c>
      <c r="AQ292" s="1">
        <f>'Asset Prices'!AQ292/'Asset Prices'!AQ293-1</f>
        <v>6.7710105478053784E-2</v>
      </c>
      <c r="AR292" s="1">
        <f>'Asset Prices'!AR292/'Asset Prices'!AR293-1</f>
        <v>4.1546451240623172E-2</v>
      </c>
      <c r="AS292" s="1">
        <f>'Asset Prices'!AS292/'Asset Prices'!AS293-1</f>
        <v>0.18564814814814801</v>
      </c>
      <c r="AT292" s="1">
        <f>'Asset Prices'!AT292/'Asset Prices'!AT293-1</f>
        <v>2.933863749378407E-2</v>
      </c>
      <c r="AU292" s="1">
        <f>'Asset Prices'!AU292/'Asset Prices'!AU293-1</f>
        <v>1.030788924071957E-2</v>
      </c>
      <c r="AV292" s="1">
        <f>'Asset Prices'!AV292/'Asset Prices'!AV293-1</f>
        <v>8.8628511341446448E-3</v>
      </c>
      <c r="AW292" s="1">
        <f>'Asset Prices'!AW292/'Asset Prices'!AW293-1</f>
        <v>-3.8782412626832019E-2</v>
      </c>
      <c r="AX292" s="1">
        <f>'Asset Prices'!AX292/'Asset Prices'!AX293-1</f>
        <v>3.1039136302294157E-2</v>
      </c>
      <c r="AY292" s="1">
        <f>'Asset Prices'!AY292/'Asset Prices'!AY293-1</f>
        <v>1.8072289156626509E-2</v>
      </c>
      <c r="AZ292" s="1">
        <f>'Asset Prices'!AZ292/'Asset Prices'!AZ293-1</f>
        <v>6.0726072607260706E-2</v>
      </c>
      <c r="BA292" s="1">
        <f>'Asset Prices'!BA292/'Asset Prices'!BA293-1</f>
        <v>-1.7636684303351524E-3</v>
      </c>
      <c r="BB292" s="1">
        <f>'Asset Prices'!BB292/'Asset Prices'!BB293-1</f>
        <v>2.42450021267544E-2</v>
      </c>
      <c r="BC292" s="1">
        <f>'Asset Prices'!BC292/'Asset Prices'!BC293-1</f>
        <v>3.5901595025682465E-2</v>
      </c>
      <c r="BD292" s="1">
        <f>'Asset Prices'!BD292/'Asset Prices'!BD293-1</f>
        <v>3.5161913968100533E-2</v>
      </c>
    </row>
    <row r="293" spans="3:56" x14ac:dyDescent="0.25">
      <c r="C293" s="38">
        <f>'Asset Prices'!C293</f>
        <v>42320</v>
      </c>
      <c r="D293" s="1">
        <f>'Asset Prices'!D293/'Asset Prices'!D294-1</f>
        <v>-1.1985869290941253E-2</v>
      </c>
      <c r="E293" s="1">
        <f>'Asset Prices'!E293/'Asset Prices'!E294-1</f>
        <v>2.840707964601763E-2</v>
      </c>
      <c r="F293" s="1">
        <f>'Asset Prices'!F293/'Asset Prices'!F294-1</f>
        <v>-4.4592749886243066E-2</v>
      </c>
      <c r="G293" s="1">
        <f>'Asset Prices'!G293/'Asset Prices'!G294-1</f>
        <v>-4.262701363073107E-2</v>
      </c>
      <c r="H293" s="1">
        <f>'Asset Prices'!H293/'Asset Prices'!H294-1</f>
        <v>-7.4912422527620648E-2</v>
      </c>
      <c r="I293" s="1">
        <f>'Asset Prices'!I293/'Asset Prices'!I294-1</f>
        <v>-6.8039720485473243E-3</v>
      </c>
      <c r="J293" s="1">
        <f>'Asset Prices'!J293/'Asset Prices'!J294-1</f>
        <v>-4.300363876943436E-2</v>
      </c>
      <c r="K293" s="1">
        <f>'Asset Prices'!K293/'Asset Prices'!K294-1</f>
        <v>1.5175779760542962E-2</v>
      </c>
      <c r="L293" s="1">
        <f>'Asset Prices'!L293/'Asset Prices'!L294-1</f>
        <v>-4.0352422907488972E-2</v>
      </c>
      <c r="M293" s="1">
        <f>'Asset Prices'!M293/'Asset Prices'!M294-1</f>
        <v>-1.9492460463405692E-2</v>
      </c>
      <c r="N293" s="1">
        <f>'Asset Prices'!N293/'Asset Prices'!N294-1</f>
        <v>-5.4425703655986979E-3</v>
      </c>
      <c r="O293" s="1">
        <f>'Asset Prices'!O293/'Asset Prices'!O294-1</f>
        <v>-2.9073081746665119E-2</v>
      </c>
      <c r="P293" s="1">
        <f>'Asset Prices'!P293/'Asset Prices'!P294-1</f>
        <v>9.0049527239988159E-4</v>
      </c>
      <c r="Q293" s="1">
        <f>'Asset Prices'!Q293/'Asset Prices'!Q294-1</f>
        <v>-3.5999397499623442E-2</v>
      </c>
      <c r="R293" s="1">
        <f>'Asset Prices'!R293/'Asset Prices'!R294-1</f>
        <v>-2.2154527831625526E-2</v>
      </c>
      <c r="S293" s="1">
        <f>'Asset Prices'!S293/'Asset Prices'!S294-1</f>
        <v>-2.6592635885447025E-2</v>
      </c>
      <c r="T293" s="1">
        <f>'Asset Prices'!T293/'Asset Prices'!T294-1</f>
        <v>-2.8675703858185631E-2</v>
      </c>
      <c r="U293" s="1">
        <f>'Asset Prices'!U293/'Asset Prices'!U294-1</f>
        <v>-7.1039354187689141E-2</v>
      </c>
      <c r="V293" s="1">
        <f>'Asset Prices'!V293/'Asset Prices'!V294-1</f>
        <v>-7.5402486244140476E-3</v>
      </c>
      <c r="W293" s="1">
        <f>'Asset Prices'!W293/'Asset Prices'!W294-1</f>
        <v>-2.941176470588247E-2</v>
      </c>
      <c r="X293" s="1">
        <f>'Asset Prices'!X293/'Asset Prices'!X294-1</f>
        <v>4.2854081851295689E-4</v>
      </c>
      <c r="Y293" s="1">
        <f>'Asset Prices'!Y293/'Asset Prices'!Y294-1</f>
        <v>-9.0870488297924101E-2</v>
      </c>
      <c r="Z293" s="1">
        <f>'Asset Prices'!Z293/'Asset Prices'!Z294-1</f>
        <v>-0.30607734806629838</v>
      </c>
      <c r="AA293" s="1">
        <f>'Asset Prices'!AA293/'Asset Prices'!AA294-1</f>
        <v>-2.1002710027100302E-2</v>
      </c>
      <c r="AB293" s="1">
        <f>'Asset Prices'!AB293/'Asset Prices'!AB294-1</f>
        <v>-4.2635658914728647E-2</v>
      </c>
      <c r="AC293" s="1">
        <f>'Asset Prices'!AC293/'Asset Prices'!AC294-1</f>
        <v>0.12413025327024774</v>
      </c>
      <c r="AD293" s="1">
        <f>'Asset Prices'!AD293/'Asset Prices'!AD294-1</f>
        <v>7.6287349014620975E-3</v>
      </c>
      <c r="AE293" s="1">
        <f>'Asset Prices'!AE293/'Asset Prices'!AE294-1</f>
        <v>-1.6624040920716121E-2</v>
      </c>
      <c r="AF293" s="1">
        <f>'Asset Prices'!AF293/'Asset Prices'!AF294-1</f>
        <v>-3.0915212733394593E-2</v>
      </c>
      <c r="AG293" s="1">
        <f>'Asset Prices'!AG293/'Asset Prices'!AG294-1</f>
        <v>2.6602176541717037E-2</v>
      </c>
      <c r="AH293" s="1">
        <f>'Asset Prices'!AH293/'Asset Prices'!AH294-1</f>
        <v>-3.2126696832579182E-2</v>
      </c>
      <c r="AI293" s="1">
        <f>'Asset Prices'!AI293/'Asset Prices'!AI294-1</f>
        <v>-2.6145387904703776E-2</v>
      </c>
      <c r="AJ293" s="1">
        <f>'Asset Prices'!AJ293/'Asset Prices'!AJ294-1</f>
        <v>-7.1668063704945606E-2</v>
      </c>
      <c r="AK293" s="1">
        <f>'Asset Prices'!AK293/'Asset Prices'!AK294-1</f>
        <v>7.7700077700093573E-4</v>
      </c>
      <c r="AL293" s="1">
        <f>'Asset Prices'!AL293/'Asset Prices'!AL294-1</f>
        <v>-2.1601861083416773E-3</v>
      </c>
      <c r="AM293" s="1">
        <f>'Asset Prices'!AM293/'Asset Prices'!AM294-1</f>
        <v>-4.8967045535778131E-2</v>
      </c>
      <c r="AN293" s="1">
        <f>'Asset Prices'!AN293/'Asset Prices'!AN294-1</f>
        <v>-2.028896403320013E-2</v>
      </c>
      <c r="AO293" s="1">
        <f>'Asset Prices'!AO293/'Asset Prices'!AO294-1</f>
        <v>-2.965367965367971E-2</v>
      </c>
      <c r="AP293" s="1">
        <f>'Asset Prices'!AP293/'Asset Prices'!AP294-1</f>
        <v>-8.1673842841765265E-2</v>
      </c>
      <c r="AQ293" s="1">
        <f>'Asset Prices'!AQ293/'Asset Prices'!AQ294-1</f>
        <v>6.1969286359530251E-2</v>
      </c>
      <c r="AR293" s="1">
        <f>'Asset Prices'!AR293/'Asset Prices'!AR294-1</f>
        <v>-9.7142857142855643E-3</v>
      </c>
      <c r="AS293" s="1">
        <f>'Asset Prices'!AS293/'Asset Prices'!AS294-1</f>
        <v>-3.5498995311453396E-2</v>
      </c>
      <c r="AT293" s="1">
        <f>'Asset Prices'!AT293/'Asset Prices'!AT294-1</f>
        <v>-2.0457866536775504E-2</v>
      </c>
      <c r="AU293" s="1">
        <f>'Asset Prices'!AU293/'Asset Prices'!AU294-1</f>
        <v>-2.5026274303730944E-2</v>
      </c>
      <c r="AV293" s="1">
        <f>'Asset Prices'!AV293/'Asset Prices'!AV294-1</f>
        <v>-1.6836508639787362E-2</v>
      </c>
      <c r="AW293" s="1">
        <f>'Asset Prices'!AW293/'Asset Prices'!AW294-1</f>
        <v>1.1286681715576563E-3</v>
      </c>
      <c r="AX293" s="1">
        <f>'Asset Prices'!AX293/'Asset Prices'!AX294-1</f>
        <v>-1.0240427426536081E-2</v>
      </c>
      <c r="AY293" s="1">
        <f>'Asset Prices'!AY293/'Asset Prices'!AY294-1</f>
        <v>-5.142857142857149E-2</v>
      </c>
      <c r="AZ293" s="1">
        <f>'Asset Prices'!AZ293/'Asset Prices'!AZ294-1</f>
        <v>-6.5775950668037098E-2</v>
      </c>
      <c r="BA293" s="1">
        <f>'Asset Prices'!BA293/'Asset Prices'!BA294-1</f>
        <v>-4.7058823529411709E-2</v>
      </c>
      <c r="BB293" s="1">
        <f>'Asset Prices'!BB293/'Asset Prices'!BB294-1</f>
        <v>-3.0315528975046413E-2</v>
      </c>
      <c r="BC293" s="1">
        <f>'Asset Prices'!BC293/'Asset Prices'!BC294-1</f>
        <v>-7.0416164053076047E-2</v>
      </c>
      <c r="BD293" s="1">
        <f>'Asset Prices'!BD293/'Asset Prices'!BD294-1</f>
        <v>-1.2763926995109087E-2</v>
      </c>
    </row>
    <row r="294" spans="3:56" x14ac:dyDescent="0.25">
      <c r="C294" s="38">
        <f>'Asset Prices'!C294</f>
        <v>42313</v>
      </c>
      <c r="D294" s="1">
        <f>'Asset Prices'!D294/'Asset Prices'!D295-1</f>
        <v>9.5529231944975201E-3</v>
      </c>
      <c r="E294" s="1">
        <f>'Asset Prices'!E294/'Asset Prices'!E295-1</f>
        <v>-1.773296244784428E-2</v>
      </c>
      <c r="F294" s="1">
        <f>'Asset Prices'!F294/'Asset Prices'!F295-1</f>
        <v>5.6436851738865812E-3</v>
      </c>
      <c r="G294" s="1">
        <f>'Asset Prices'!G294/'Asset Prices'!G295-1</f>
        <v>3.8342768914050529E-2</v>
      </c>
      <c r="H294" s="1">
        <f>'Asset Prices'!H294/'Asset Prices'!H295-1</f>
        <v>3.1263026260942128E-2</v>
      </c>
      <c r="I294" s="1">
        <f>'Asset Prices'!I294/'Asset Prices'!I295-1</f>
        <v>3.6994660564454662E-2</v>
      </c>
      <c r="J294" s="1">
        <f>'Asset Prices'!J294/'Asset Prices'!J295-1</f>
        <v>3.2357089521282134E-3</v>
      </c>
      <c r="K294" s="1">
        <f>'Asset Prices'!K294/'Asset Prices'!K295-1</f>
        <v>4.6444816854201543E-2</v>
      </c>
      <c r="L294" s="1">
        <f>'Asset Prices'!L294/'Asset Prices'!L295-1</f>
        <v>7.9718417047184076E-2</v>
      </c>
      <c r="M294" s="1">
        <f>'Asset Prices'!M294/'Asset Prices'!M295-1</f>
        <v>1.9115442278860639E-2</v>
      </c>
      <c r="N294" s="1">
        <f>'Asset Prices'!N294/'Asset Prices'!N295-1</f>
        <v>2.1239175672954191E-2</v>
      </c>
      <c r="O294" s="1">
        <f>'Asset Prices'!O294/'Asset Prices'!O295-1</f>
        <v>-1.4051258992805793E-2</v>
      </c>
      <c r="P294" s="1">
        <f>'Asset Prices'!P294/'Asset Prices'!P295-1</f>
        <v>-1.3692546813707462E-2</v>
      </c>
      <c r="Q294" s="1">
        <f>'Asset Prices'!Q294/'Asset Prices'!Q295-1</f>
        <v>1.0502283105022769E-2</v>
      </c>
      <c r="R294" s="1">
        <f>'Asset Prices'!R294/'Asset Prices'!R295-1</f>
        <v>1.6038266741699392E-2</v>
      </c>
      <c r="S294" s="1">
        <f>'Asset Prices'!S294/'Asset Prices'!S295-1</f>
        <v>1.2725658478839996E-2</v>
      </c>
      <c r="T294" s="1">
        <f>'Asset Prices'!T294/'Asset Prices'!T295-1</f>
        <v>-3.3775006495194715E-3</v>
      </c>
      <c r="U294" s="1">
        <f>'Asset Prices'!U294/'Asset Prices'!U295-1</f>
        <v>1.4329580348003912E-2</v>
      </c>
      <c r="V294" s="1">
        <f>'Asset Prices'!V294/'Asset Prices'!V295-1</f>
        <v>-3.857084855866888E-3</v>
      </c>
      <c r="W294" s="1">
        <f>'Asset Prices'!W294/'Asset Prices'!W295-1</f>
        <v>1.6250725478816008E-2</v>
      </c>
      <c r="X294" s="1">
        <f>'Asset Prices'!X294/'Asset Prices'!X295-1</f>
        <v>1.8550851156700077E-2</v>
      </c>
      <c r="Y294" s="1">
        <f>'Asset Prices'!Y294/'Asset Prices'!Y295-1</f>
        <v>-3.4440344420386348E-2</v>
      </c>
      <c r="Z294" s="1">
        <f>'Asset Prices'!Z294/'Asset Prices'!Z295-1</f>
        <v>-9.1365461847389584E-2</v>
      </c>
      <c r="AA294" s="1">
        <f>'Asset Prices'!AA294/'Asset Prices'!AA295-1</f>
        <v>5.8443886697741032E-2</v>
      </c>
      <c r="AB294" s="1">
        <f>'Asset Prices'!AB294/'Asset Prices'!AB295-1</f>
        <v>8.6315789473684346E-2</v>
      </c>
      <c r="AC294" s="1">
        <f>'Asset Prices'!AC294/'Asset Prices'!AC295-1</f>
        <v>1.6982734220209572E-2</v>
      </c>
      <c r="AD294" s="1">
        <f>'Asset Prices'!AD294/'Asset Prices'!AD295-1</f>
        <v>0.20906994619523456</v>
      </c>
      <c r="AE294" s="1">
        <f>'Asset Prices'!AE294/'Asset Prices'!AE295-1</f>
        <v>3.5934291581110056E-3</v>
      </c>
      <c r="AF294" s="1">
        <f>'Asset Prices'!AF294/'Asset Prices'!AF295-1</f>
        <v>-5.7414887478361099E-2</v>
      </c>
      <c r="AG294" s="1">
        <f>'Asset Prices'!AG294/'Asset Prices'!AG295-1</f>
        <v>3.8944723618090427E-2</v>
      </c>
      <c r="AH294" s="1">
        <f>'Asset Prices'!AH294/'Asset Prices'!AH295-1</f>
        <v>6.146141588891485E-3</v>
      </c>
      <c r="AI294" s="1">
        <f>'Asset Prices'!AI294/'Asset Prices'!AI295-1</f>
        <v>6.8258940224484421E-2</v>
      </c>
      <c r="AJ294" s="1">
        <f>'Asset Prices'!AJ294/'Asset Prices'!AJ295-1</f>
        <v>-1.9317714755445858E-2</v>
      </c>
      <c r="AK294" s="1">
        <f>'Asset Prices'!AK294/'Asset Prices'!AK295-1</f>
        <v>3.2490974729241895E-2</v>
      </c>
      <c r="AL294" s="1">
        <f>'Asset Prices'!AL294/'Asset Prices'!AL295-1</f>
        <v>-7.5857519788918859E-3</v>
      </c>
      <c r="AM294" s="1">
        <f>'Asset Prices'!AM294/'Asset Prices'!AM295-1</f>
        <v>-4.6958377801495921E-3</v>
      </c>
      <c r="AN294" s="1">
        <f>'Asset Prices'!AN294/'Asset Prices'!AN295-1</f>
        <v>1.8153364632238045E-2</v>
      </c>
      <c r="AO294" s="1">
        <f>'Asset Prices'!AO294/'Asset Prices'!AO295-1</f>
        <v>-4.3103448275860767E-3</v>
      </c>
      <c r="AP294" s="1">
        <f>'Asset Prices'!AP294/'Asset Prices'!AP295-1</f>
        <v>1.6967706622879053E-2</v>
      </c>
      <c r="AQ294" s="1">
        <f>'Asset Prices'!AQ294/'Asset Prices'!AQ295-1</f>
        <v>-1.1254019292604389E-2</v>
      </c>
      <c r="AR294" s="1">
        <f>'Asset Prices'!AR294/'Asset Prices'!AR295-1</f>
        <v>-0.12016088486676724</v>
      </c>
      <c r="AS294" s="1">
        <f>'Asset Prices'!AS294/'Asset Prices'!AS295-1</f>
        <v>-2.162516382699875E-2</v>
      </c>
      <c r="AT294" s="1">
        <f>'Asset Prices'!AT294/'Asset Prices'!AT295-1</f>
        <v>-1.746829385020332E-2</v>
      </c>
      <c r="AU294" s="1">
        <f>'Asset Prices'!AU294/'Asset Prices'!AU295-1</f>
        <v>6.2905815820708089E-2</v>
      </c>
      <c r="AV294" s="1">
        <f>'Asset Prices'!AV294/'Asset Prices'!AV295-1</f>
        <v>4.3940795559666901E-2</v>
      </c>
      <c r="AW294" s="1">
        <f>'Asset Prices'!AW294/'Asset Prices'!AW295-1</f>
        <v>0.13911031113396755</v>
      </c>
      <c r="AX294" s="1">
        <f>'Asset Prices'!AX294/'Asset Prices'!AX295-1</f>
        <v>-0.1650557620817843</v>
      </c>
      <c r="AY294" s="1">
        <f>'Asset Prices'!AY294/'Asset Prices'!AY295-1</f>
        <v>0</v>
      </c>
      <c r="AZ294" s="1">
        <f>'Asset Prices'!AZ294/'Asset Prices'!AZ295-1</f>
        <v>0</v>
      </c>
      <c r="BA294" s="1">
        <f>'Asset Prices'!BA294/'Asset Prices'!BA295-1</f>
        <v>7.1090047393365108E-3</v>
      </c>
      <c r="BB294" s="1">
        <f>'Asset Prices'!BB294/'Asset Prices'!BB295-1</f>
        <v>-6.5560335996721619E-3</v>
      </c>
      <c r="BC294" s="1">
        <f>'Asset Prices'!BC294/'Asset Prices'!BC295-1</f>
        <v>6.0170905597412006E-3</v>
      </c>
      <c r="BD294" s="1">
        <f>'Asset Prices'!BD294/'Asset Prices'!BD295-1</f>
        <v>1.686074721009212E-2</v>
      </c>
    </row>
    <row r="295" spans="3:56" x14ac:dyDescent="0.25">
      <c r="C295" s="38">
        <f>'Asset Prices'!C295</f>
        <v>42306</v>
      </c>
      <c r="D295" s="1">
        <f>'Asset Prices'!D295/'Asset Prices'!D296-1</f>
        <v>2.734886155456695E-2</v>
      </c>
      <c r="E295" s="1">
        <f>'Asset Prices'!E295/'Asset Prices'!E296-1</f>
        <v>1.5805739514348938E-2</v>
      </c>
      <c r="F295" s="1">
        <f>'Asset Prices'!F295/'Asset Prices'!F296-1</f>
        <v>-9.7424665810739164E-3</v>
      </c>
      <c r="G295" s="1">
        <f>'Asset Prices'!G295/'Asset Prices'!G296-1</f>
        <v>2.8314368880656193E-2</v>
      </c>
      <c r="H295" s="1">
        <f>'Asset Prices'!H295/'Asset Prices'!H296-1</f>
        <v>1.5378103837471846E-2</v>
      </c>
      <c r="I295" s="1">
        <f>'Asset Prices'!I295/'Asset Prices'!I296-1</f>
        <v>5.2272499247516757E-2</v>
      </c>
      <c r="J295" s="1">
        <f>'Asset Prices'!J295/'Asset Prices'!J296-1</f>
        <v>4.3549783549783561E-2</v>
      </c>
      <c r="K295" s="1">
        <f>'Asset Prices'!K295/'Asset Prices'!K296-1</f>
        <v>0.11108155556737787</v>
      </c>
      <c r="L295" s="1">
        <f>'Asset Prices'!L295/'Asset Prices'!L296-1</f>
        <v>8.0147965474722582E-2</v>
      </c>
      <c r="M295" s="1">
        <f>'Asset Prices'!M295/'Asset Prices'!M296-1</f>
        <v>0.11097230897355814</v>
      </c>
      <c r="N295" s="1">
        <f>'Asset Prices'!N295/'Asset Prices'!N296-1</f>
        <v>9.353436885221833E-2</v>
      </c>
      <c r="O295" s="1">
        <f>'Asset Prices'!O295/'Asset Prices'!O296-1</f>
        <v>-7.2657145835505199E-2</v>
      </c>
      <c r="P295" s="1">
        <f>'Asset Prices'!P295/'Asset Prices'!P296-1</f>
        <v>-1.9592192148610299E-2</v>
      </c>
      <c r="Q295" s="1">
        <f>'Asset Prices'!Q295/'Asset Prices'!Q296-1</f>
        <v>8.0947680157946733E-2</v>
      </c>
      <c r="R295" s="1">
        <f>'Asset Prices'!R295/'Asset Prices'!R296-1</f>
        <v>-4.3080236941303252E-2</v>
      </c>
      <c r="S295" s="1">
        <f>'Asset Prices'!S295/'Asset Prices'!S296-1</f>
        <v>-2.7625899280575572E-2</v>
      </c>
      <c r="T295" s="1">
        <f>'Asset Prices'!T295/'Asset Prices'!T296-1</f>
        <v>1.4309873812929919E-3</v>
      </c>
      <c r="U295" s="1">
        <f>'Asset Prices'!U295/'Asset Prices'!U296-1</f>
        <v>4.8283261802575028E-2</v>
      </c>
      <c r="V295" s="1">
        <f>'Asset Prices'!V295/'Asset Prices'!V296-1</f>
        <v>-4.976851851851849E-2</v>
      </c>
      <c r="W295" s="1">
        <f>'Asset Prices'!W295/'Asset Prices'!W296-1</f>
        <v>-1.9908987485779184E-2</v>
      </c>
      <c r="X295" s="1">
        <f>'Asset Prices'!X295/'Asset Prices'!X296-1</f>
        <v>3.9473684210526327E-2</v>
      </c>
      <c r="Y295" s="1">
        <f>'Asset Prices'!Y295/'Asset Prices'!Y296-1</f>
        <v>-4.3154178087478456E-2</v>
      </c>
      <c r="Z295" s="1">
        <f>'Asset Prices'!Z295/'Asset Prices'!Z296-1</f>
        <v>-8.2027649769585098E-2</v>
      </c>
      <c r="AA295" s="1">
        <f>'Asset Prices'!AA295/'Asset Prices'!AA296-1</f>
        <v>6.0456273764258439E-2</v>
      </c>
      <c r="AB295" s="1">
        <f>'Asset Prices'!AB295/'Asset Prices'!AB296-1</f>
        <v>-1.8595041322314043E-2</v>
      </c>
      <c r="AC295" s="1">
        <f>'Asset Prices'!AC295/'Asset Prices'!AC296-1</f>
        <v>4.8056956392761752E-2</v>
      </c>
      <c r="AD295" s="1">
        <f>'Asset Prices'!AD295/'Asset Prices'!AD296-1</f>
        <v>-5.6562726613488046E-2</v>
      </c>
      <c r="AE295" s="1">
        <f>'Asset Prices'!AE295/'Asset Prices'!AE296-1</f>
        <v>-5.4368932038834972E-2</v>
      </c>
      <c r="AF295" s="1">
        <f>'Asset Prices'!AF295/'Asset Prices'!AF296-1</f>
        <v>-1.4220705346985163E-2</v>
      </c>
      <c r="AG295" s="1">
        <f>'Asset Prices'!AG295/'Asset Prices'!AG296-1</f>
        <v>2.3794212218649413E-2</v>
      </c>
      <c r="AH295" s="1">
        <f>'Asset Prices'!AH295/'Asset Prices'!AH296-1</f>
        <v>8.7256027554536431E-3</v>
      </c>
      <c r="AI295" s="1">
        <f>'Asset Prices'!AI295/'Asset Prices'!AI296-1</f>
        <v>6.0044272274488053E-2</v>
      </c>
      <c r="AJ295" s="1">
        <f>'Asset Prices'!AJ295/'Asset Prices'!AJ296-1</f>
        <v>-8.153281695882697E-3</v>
      </c>
      <c r="AK295" s="1">
        <f>'Asset Prices'!AK295/'Asset Prices'!AK296-1</f>
        <v>1.2591389114541052E-2</v>
      </c>
      <c r="AL295" s="1">
        <f>'Asset Prices'!AL295/'Asset Prices'!AL296-1</f>
        <v>-8.2463307610833758E-2</v>
      </c>
      <c r="AM295" s="1">
        <f>'Asset Prices'!AM295/'Asset Prices'!AM296-1</f>
        <v>-2.4567978346866526E-2</v>
      </c>
      <c r="AN295" s="1">
        <f>'Asset Prices'!AN295/'Asset Prices'!AN296-1</f>
        <v>-2.7199837612909894E-2</v>
      </c>
      <c r="AO295" s="1">
        <f>'Asset Prices'!AO295/'Asset Prices'!AO296-1</f>
        <v>1.111353235999113E-2</v>
      </c>
      <c r="AP295" s="1">
        <f>'Asset Prices'!AP295/'Asset Prices'!AP296-1</f>
        <v>-1.1096075778078585E-2</v>
      </c>
      <c r="AQ295" s="1">
        <f>'Asset Prices'!AQ295/'Asset Prices'!AQ296-1</f>
        <v>-1.8927444794952786E-2</v>
      </c>
      <c r="AR295" s="1">
        <f>'Asset Prices'!AR295/'Asset Prices'!AR296-1</f>
        <v>4.5191802417235749E-2</v>
      </c>
      <c r="AS295" s="1">
        <f>'Asset Prices'!AS295/'Asset Prices'!AS296-1</f>
        <v>0.16905005107252302</v>
      </c>
      <c r="AT295" s="1">
        <f>'Asset Prices'!AT295/'Asset Prices'!AT296-1</f>
        <v>1.9180052745144671E-3</v>
      </c>
      <c r="AU295" s="1">
        <f>'Asset Prices'!AU295/'Asset Prices'!AU296-1</f>
        <v>3.4525099313831742E-2</v>
      </c>
      <c r="AV295" s="1">
        <f>'Asset Prices'!AV295/'Asset Prices'!AV296-1</f>
        <v>9.2592592592599665E-4</v>
      </c>
      <c r="AW295" s="1">
        <f>'Asset Prices'!AW295/'Asset Prices'!AW296-1</f>
        <v>6.7305203209939712E-3</v>
      </c>
      <c r="AX295" s="1">
        <f>'Asset Prices'!AX295/'Asset Prices'!AX296-1</f>
        <v>-8.4099421178072897E-2</v>
      </c>
      <c r="AY295" s="1">
        <f>'Asset Prices'!AY295/'Asset Prices'!AY296-1</f>
        <v>1.1885640860905822E-2</v>
      </c>
      <c r="AZ295" s="1">
        <f>'Asset Prices'!AZ295/'Asset Prices'!AZ296-1</f>
        <v>5.1891891891891806E-2</v>
      </c>
      <c r="BA295" s="1">
        <f>'Asset Prices'!BA295/'Asset Prices'!BA296-1</f>
        <v>1.8620689655172384E-2</v>
      </c>
      <c r="BB295" s="1">
        <f>'Asset Prices'!BB295/'Asset Prices'!BB296-1</f>
        <v>-4.080799836767901E-3</v>
      </c>
      <c r="BC295" s="1">
        <f>'Asset Prices'!BC295/'Asset Prices'!BC296-1</f>
        <v>-1.6118601064623594E-2</v>
      </c>
      <c r="BD295" s="1">
        <f>'Asset Prices'!BD295/'Asset Prices'!BD296-1</f>
        <v>2.042331971778677E-2</v>
      </c>
    </row>
    <row r="296" spans="3:56" x14ac:dyDescent="0.25">
      <c r="C296" s="38">
        <f>'Asset Prices'!C296</f>
        <v>42299</v>
      </c>
      <c r="D296" s="1">
        <f>'Asset Prices'!D296/'Asset Prices'!D297-1</f>
        <v>1.4335014600477702E-2</v>
      </c>
      <c r="E296" s="1">
        <f>'Asset Prices'!E296/'Asset Prices'!E297-1</f>
        <v>4.9680229863750203E-2</v>
      </c>
      <c r="F296" s="1">
        <f>'Asset Prices'!F296/'Asset Prices'!F297-1</f>
        <v>2.8107772342573112E-2</v>
      </c>
      <c r="G296" s="1">
        <f>'Asset Prices'!G296/'Asset Prices'!G297-1</f>
        <v>6.3914780292944062E-3</v>
      </c>
      <c r="H296" s="1">
        <f>'Asset Prices'!H296/'Asset Prices'!H297-1</f>
        <v>7.0591557249755077E-4</v>
      </c>
      <c r="I296" s="1">
        <f>'Asset Prices'!I296/'Asset Prices'!I297-1</f>
        <v>3.8661942476031719E-2</v>
      </c>
      <c r="J296" s="1">
        <f>'Asset Prices'!J296/'Asset Prices'!J297-1</f>
        <v>3.2540675844805911E-2</v>
      </c>
      <c r="K296" s="1">
        <f>'Asset Prices'!K296/'Asset Prices'!K297-1</f>
        <v>2.6136121186257633E-3</v>
      </c>
      <c r="L296" s="1">
        <f>'Asset Prices'!L296/'Asset Prices'!L297-1</f>
        <v>-3.7293500840835048E-2</v>
      </c>
      <c r="M296" s="1">
        <f>'Asset Prices'!M296/'Asset Prices'!M297-1</f>
        <v>2.1697511167836803E-2</v>
      </c>
      <c r="N296" s="1">
        <f>'Asset Prices'!N296/'Asset Prices'!N297-1</f>
        <v>-1.7142362413783196E-2</v>
      </c>
      <c r="O296" s="1">
        <f>'Asset Prices'!O296/'Asset Prices'!O297-1</f>
        <v>1.2667581547556317E-2</v>
      </c>
      <c r="P296" s="1">
        <f>'Asset Prices'!P296/'Asset Prices'!P297-1</f>
        <v>2.1344400800414887E-2</v>
      </c>
      <c r="Q296" s="1">
        <f>'Asset Prices'!Q296/'Asset Prices'!Q297-1</f>
        <v>2.143446001648952E-3</v>
      </c>
      <c r="R296" s="1">
        <f>'Asset Prices'!R296/'Asset Prices'!R297-1</f>
        <v>2.1733149931224105E-2</v>
      </c>
      <c r="S296" s="1">
        <f>'Asset Prices'!S296/'Asset Prices'!S297-1</f>
        <v>1.6379058204153418E-2</v>
      </c>
      <c r="T296" s="1">
        <f>'Asset Prices'!T296/'Asset Prices'!T297-1</f>
        <v>2.7124532335649487E-2</v>
      </c>
      <c r="U296" s="1">
        <f>'Asset Prices'!U296/'Asset Prices'!U297-1</f>
        <v>-5.7824504650222375E-2</v>
      </c>
      <c r="V296" s="1">
        <f>'Asset Prices'!V296/'Asset Prices'!V297-1</f>
        <v>4.1172926290419687E-2</v>
      </c>
      <c r="W296" s="1">
        <f>'Asset Prices'!W296/'Asset Prices'!W297-1</f>
        <v>-9.0191657271703196E-3</v>
      </c>
      <c r="X296" s="1">
        <f>'Asset Prices'!X296/'Asset Prices'!X297-1</f>
        <v>6.8865179437439306E-2</v>
      </c>
      <c r="Y296" s="1">
        <f>'Asset Prices'!Y296/'Asset Prices'!Y297-1</f>
        <v>-5.0651769125417467E-2</v>
      </c>
      <c r="Z296" s="1">
        <f>'Asset Prices'!Z296/'Asset Prices'!Z297-1</f>
        <v>5.7504873294347059E-2</v>
      </c>
      <c r="AA296" s="1">
        <f>'Asset Prices'!AA296/'Asset Prices'!AA297-1</f>
        <v>7.2769054002297384E-3</v>
      </c>
      <c r="AB296" s="1">
        <f>'Asset Prices'!AB296/'Asset Prices'!AB297-1</f>
        <v>-3.5856573705179251E-2</v>
      </c>
      <c r="AC296" s="1">
        <f>'Asset Prices'!AC296/'Asset Prices'!AC297-1</f>
        <v>-0.14202087045049627</v>
      </c>
      <c r="AD296" s="1">
        <f>'Asset Prices'!AD296/'Asset Prices'!AD297-1</f>
        <v>-4.1362530413625365E-2</v>
      </c>
      <c r="AE296" s="1">
        <f>'Asset Prices'!AE296/'Asset Prices'!AE297-1</f>
        <v>1.2782694198623545E-2</v>
      </c>
      <c r="AF296" s="1">
        <f>'Asset Prices'!AF296/'Asset Prices'!AF297-1</f>
        <v>6.5845977669622968E-3</v>
      </c>
      <c r="AG296" s="1">
        <f>'Asset Prices'!AG296/'Asset Prices'!AG297-1</f>
        <v>-3.8936959208899835E-2</v>
      </c>
      <c r="AH296" s="1">
        <f>'Asset Prices'!AH296/'Asset Prices'!AH297-1</f>
        <v>-6.8449197860962596E-2</v>
      </c>
      <c r="AI296" s="1">
        <f>'Asset Prices'!AI296/'Asset Prices'!AI297-1</f>
        <v>-7.5518330358368413E-3</v>
      </c>
      <c r="AJ296" s="1">
        <f>'Asset Prices'!AJ296/'Asset Prices'!AJ297-1</f>
        <v>-1.801441152922334E-2</v>
      </c>
      <c r="AK296" s="1">
        <f>'Asset Prices'!AK296/'Asset Prices'!AK297-1</f>
        <v>9.8441345365054556E-3</v>
      </c>
      <c r="AL296" s="1">
        <f>'Asset Prices'!AL296/'Asset Prices'!AL297-1</f>
        <v>2.5764395467949619E-2</v>
      </c>
      <c r="AM296" s="1">
        <f>'Asset Prices'!AM296/'Asset Prices'!AM297-1</f>
        <v>-3.9976014391365222E-2</v>
      </c>
      <c r="AN296" s="1">
        <f>'Asset Prices'!AN296/'Asset Prices'!AN297-1</f>
        <v>-1.6212382206910458E-3</v>
      </c>
      <c r="AO296" s="1">
        <f>'Asset Prices'!AO296/'Asset Prices'!AO297-1</f>
        <v>2.7311394672039357E-2</v>
      </c>
      <c r="AP296" s="1">
        <f>'Asset Prices'!AP296/'Asset Prices'!AP297-1</f>
        <v>3.025233514568515E-2</v>
      </c>
      <c r="AQ296" s="1">
        <f>'Asset Prices'!AQ296/'Asset Prices'!AQ297-1</f>
        <v>1.5121864436932864E-2</v>
      </c>
      <c r="AR296" s="1">
        <f>'Asset Prices'!AR296/'Asset Prices'!AR297-1</f>
        <v>-1.3989637305699465E-2</v>
      </c>
      <c r="AS296" s="1">
        <f>'Asset Prices'!AS296/'Asset Prices'!AS297-1</f>
        <v>-8.3547858647320394E-2</v>
      </c>
      <c r="AT296" s="1">
        <f>'Asset Prices'!AT296/'Asset Prices'!AT297-1</f>
        <v>2.2554547683255821E-2</v>
      </c>
      <c r="AU296" s="1">
        <f>'Asset Prices'!AU296/'Asset Prices'!AU297-1</f>
        <v>1.0067848544539348E-2</v>
      </c>
      <c r="AV296" s="1">
        <f>'Asset Prices'!AV296/'Asset Prices'!AV297-1</f>
        <v>3.1847133757961776E-2</v>
      </c>
      <c r="AW296" s="1">
        <f>'Asset Prices'!AW296/'Asset Prices'!AW297-1</f>
        <v>-4.3575142361970687E-2</v>
      </c>
      <c r="AX296" s="1">
        <f>'Asset Prices'!AX296/'Asset Prices'!AX297-1</f>
        <v>-1.8382352941176516E-2</v>
      </c>
      <c r="AY296" s="1">
        <f>'Asset Prices'!AY296/'Asset Prices'!AY297-1</f>
        <v>9.4033722438391365E-3</v>
      </c>
      <c r="AZ296" s="1">
        <f>'Asset Prices'!AZ296/'Asset Prices'!AZ297-1</f>
        <v>3.4444195929322463E-2</v>
      </c>
      <c r="BA296" s="1">
        <f>'Asset Prices'!BA296/'Asset Prices'!BA297-1</f>
        <v>2.0732550103661485E-3</v>
      </c>
      <c r="BB296" s="1">
        <f>'Asset Prices'!BB296/'Asset Prices'!BB297-1</f>
        <v>2.5957714046472624E-2</v>
      </c>
      <c r="BC296" s="1">
        <f>'Asset Prices'!BC296/'Asset Prices'!BC297-1</f>
        <v>-7.1633105486791027E-2</v>
      </c>
      <c r="BD296" s="1">
        <f>'Asset Prices'!BD296/'Asset Prices'!BD297-1</f>
        <v>9.8750000000000782E-3</v>
      </c>
    </row>
    <row r="297" spans="3:56" x14ac:dyDescent="0.25">
      <c r="C297" s="38">
        <f>'Asset Prices'!C297</f>
        <v>42292</v>
      </c>
      <c r="D297" s="1">
        <f>'Asset Prices'!D297/'Asset Prices'!D298-1</f>
        <v>1.9485791610284187E-2</v>
      </c>
      <c r="E297" s="1">
        <f>'Asset Prices'!E297/'Asset Prices'!E298-1</f>
        <v>3.1354555013860974E-2</v>
      </c>
      <c r="F297" s="1">
        <f>'Asset Prices'!F297/'Asset Prices'!F298-1</f>
        <v>3.1062364902729955E-2</v>
      </c>
      <c r="G297" s="1">
        <f>'Asset Prices'!G297/'Asset Prices'!G298-1</f>
        <v>-8.9733438902085405E-3</v>
      </c>
      <c r="H297" s="1">
        <f>'Asset Prices'!H297/'Asset Prices'!H298-1</f>
        <v>-1.4059020044543513E-2</v>
      </c>
      <c r="I297" s="1">
        <f>'Asset Prices'!I297/'Asset Prices'!I298-1</f>
        <v>3.7741970368768252E-2</v>
      </c>
      <c r="J297" s="1">
        <f>'Asset Prices'!J297/'Asset Prices'!J298-1</f>
        <v>2.1552511415525055E-2</v>
      </c>
      <c r="K297" s="1">
        <f>'Asset Prices'!K297/'Asset Prices'!K298-1</f>
        <v>5.4917848300697791E-2</v>
      </c>
      <c r="L297" s="1">
        <f>'Asset Prices'!L297/'Asset Prices'!L298-1</f>
        <v>-0.12042112590272347</v>
      </c>
      <c r="M297" s="1">
        <f>'Asset Prices'!M297/'Asset Prices'!M298-1</f>
        <v>-9.2729188619600222E-3</v>
      </c>
      <c r="N297" s="1">
        <f>'Asset Prices'!N297/'Asset Prices'!N298-1</f>
        <v>3.9010494752623748E-2</v>
      </c>
      <c r="O297" s="1">
        <f>'Asset Prices'!O297/'Asset Prices'!O298-1</f>
        <v>-2.3402061855670064E-2</v>
      </c>
      <c r="P297" s="1">
        <f>'Asset Prices'!P297/'Asset Prices'!P298-1</f>
        <v>-1.287585046455475E-2</v>
      </c>
      <c r="Q297" s="1">
        <f>'Asset Prices'!Q297/'Asset Prices'!Q298-1</f>
        <v>7.8605726480526439E-2</v>
      </c>
      <c r="R297" s="1">
        <f>'Asset Prices'!R297/'Asset Prices'!R298-1</f>
        <v>2.3655308363841332E-2</v>
      </c>
      <c r="S297" s="1">
        <f>'Asset Prices'!S297/'Asset Prices'!S298-1</f>
        <v>3.3242671501964249E-2</v>
      </c>
      <c r="T297" s="1">
        <f>'Asset Prices'!T297/'Asset Prices'!T298-1</f>
        <v>-2.2466039707419005E-2</v>
      </c>
      <c r="U297" s="1">
        <f>'Asset Prices'!U297/'Asset Prices'!U298-1</f>
        <v>5.0329156933531571E-2</v>
      </c>
      <c r="V297" s="1">
        <f>'Asset Prices'!V297/'Asset Prices'!V298-1</f>
        <v>-2.5063638143724365E-2</v>
      </c>
      <c r="W297" s="1">
        <f>'Asset Prices'!W297/'Asset Prices'!W298-1</f>
        <v>-4.7516778523490122E-2</v>
      </c>
      <c r="X297" s="1">
        <f>'Asset Prices'!X297/'Asset Prices'!X298-1</f>
        <v>6.398348813209509E-2</v>
      </c>
      <c r="Y297" s="1">
        <f>'Asset Prices'!Y297/'Asset Prices'!Y298-1</f>
        <v>-5.7894736834169902E-2</v>
      </c>
      <c r="Z297" s="1">
        <f>'Asset Prices'!Z297/'Asset Prices'!Z298-1</f>
        <v>-9.7370983446931625E-4</v>
      </c>
      <c r="AA297" s="1">
        <f>'Asset Prices'!AA297/'Asset Prices'!AA298-1</f>
        <v>1.3980582524271812E-2</v>
      </c>
      <c r="AB297" s="1">
        <f>'Asset Prices'!AB297/'Asset Prices'!AB298-1</f>
        <v>2.0325203252032464E-2</v>
      </c>
      <c r="AC297" s="1">
        <f>'Asset Prices'!AC297/'Asset Prices'!AC298-1</f>
        <v>8.0285949958757374E-2</v>
      </c>
      <c r="AD297" s="1">
        <f>'Asset Prices'!AD297/'Asset Prices'!AD298-1</f>
        <v>-2.3752969121140111E-2</v>
      </c>
      <c r="AE297" s="1">
        <f>'Asset Prices'!AE297/'Asset Prices'!AE298-1</f>
        <v>-1.7177914110430015E-3</v>
      </c>
      <c r="AF297" s="1">
        <f>'Asset Prices'!AF297/'Asset Prices'!AF298-1</f>
        <v>3.0687518442018336E-2</v>
      </c>
      <c r="AG297" s="1">
        <f>'Asset Prices'!AG297/'Asset Prices'!AG298-1</f>
        <v>-1.8799272286234014E-2</v>
      </c>
      <c r="AH297" s="1">
        <f>'Asset Prices'!AH297/'Asset Prices'!AH298-1</f>
        <v>-7.8636184469846326E-2</v>
      </c>
      <c r="AI297" s="1">
        <f>'Asset Prices'!AI297/'Asset Prices'!AI298-1</f>
        <v>-3.9941998418138724E-2</v>
      </c>
      <c r="AJ297" s="1">
        <f>'Asset Prices'!AJ297/'Asset Prices'!AJ298-1</f>
        <v>7.6260232658336813E-2</v>
      </c>
      <c r="AK297" s="1">
        <f>'Asset Prices'!AK297/'Asset Prices'!AK298-1</f>
        <v>-3.4837688044338955E-2</v>
      </c>
      <c r="AL297" s="1">
        <f>'Asset Prices'!AL297/'Asset Prices'!AL298-1</f>
        <v>1.1142498430634085E-2</v>
      </c>
      <c r="AM297" s="1">
        <f>'Asset Prices'!AM297/'Asset Prices'!AM298-1</f>
        <v>-1.4381402679275013E-2</v>
      </c>
      <c r="AN297" s="1">
        <f>'Asset Prices'!AN297/'Asset Prices'!AN298-1</f>
        <v>1.3764766307139187E-2</v>
      </c>
      <c r="AO297" s="1">
        <f>'Asset Prices'!AO297/'Asset Prices'!AO298-1</f>
        <v>9.9479990956365949E-3</v>
      </c>
      <c r="AP297" s="1">
        <f>'Asset Prices'!AP297/'Asset Prices'!AP298-1</f>
        <v>-6.9223314412294457E-3</v>
      </c>
      <c r="AQ297" s="1">
        <f>'Asset Prices'!AQ297/'Asset Prices'!AQ298-1</f>
        <v>-2.8383892141209399E-3</v>
      </c>
      <c r="AR297" s="1">
        <f>'Asset Prices'!AR297/'Asset Prices'!AR298-1</f>
        <v>3.4297963558413747E-2</v>
      </c>
      <c r="AS297" s="1">
        <f>'Asset Prices'!AS297/'Asset Prices'!AS298-1</f>
        <v>1.4061401453009381E-3</v>
      </c>
      <c r="AT297" s="1">
        <f>'Asset Prices'!AT297/'Asset Prices'!AT298-1</f>
        <v>-3.9072039072040043E-3</v>
      </c>
      <c r="AU297" s="1">
        <f>'Asset Prices'!AU297/'Asset Prices'!AU298-1</f>
        <v>-3.6464410735126407E-4</v>
      </c>
      <c r="AV297" s="1">
        <f>'Asset Prices'!AV297/'Asset Prices'!AV298-1</f>
        <v>1.1597938144329856E-2</v>
      </c>
      <c r="AW297" s="1">
        <f>'Asset Prices'!AW297/'Asset Prices'!AW298-1</f>
        <v>2.6168699186991828E-2</v>
      </c>
      <c r="AX297" s="1">
        <f>'Asset Prices'!AX297/'Asset Prices'!AX298-1</f>
        <v>-5.0158730158730069E-2</v>
      </c>
      <c r="AY297" s="1">
        <f>'Asset Prices'!AY297/'Asset Prices'!AY298-1</f>
        <v>-4.5496750232126293E-2</v>
      </c>
      <c r="AZ297" s="1">
        <f>'Asset Prices'!AZ297/'Asset Prices'!AZ298-1</f>
        <v>-6.031946195880622E-2</v>
      </c>
      <c r="BA297" s="1">
        <f>'Asset Prices'!BA297/'Asset Prices'!BA298-1</f>
        <v>1.1888111888112007E-2</v>
      </c>
      <c r="BB297" s="1">
        <f>'Asset Prices'!BB297/'Asset Prices'!BB298-1</f>
        <v>2.3080151070080657E-3</v>
      </c>
      <c r="BC297" s="1">
        <f>'Asset Prices'!BC297/'Asset Prices'!BC298-1</f>
        <v>1.8151039217530363E-2</v>
      </c>
      <c r="BD297" s="1">
        <f>'Asset Prices'!BD297/'Asset Prices'!BD298-1</f>
        <v>-2.1047479197258911E-2</v>
      </c>
    </row>
    <row r="298" spans="3:56" x14ac:dyDescent="0.25">
      <c r="C298" s="38">
        <f>'Asset Prices'!C298</f>
        <v>42285</v>
      </c>
      <c r="D298" s="1">
        <f>'Asset Prices'!D298/'Asset Prices'!D299-1</f>
        <v>5.5865123589084353E-2</v>
      </c>
      <c r="E298" s="1">
        <f>'Asset Prices'!E298/'Asset Prices'!E299-1</f>
        <v>1.8895490406155568E-2</v>
      </c>
      <c r="F298" s="1">
        <f>'Asset Prices'!F298/'Asset Prices'!F299-1</f>
        <v>8.721634498909836E-3</v>
      </c>
      <c r="G298" s="1">
        <f>'Asset Prices'!G298/'Asset Prices'!G299-1</f>
        <v>4.5529801324503349E-2</v>
      </c>
      <c r="H298" s="1">
        <f>'Asset Prices'!H298/'Asset Prices'!H299-1</f>
        <v>0.11570119583786309</v>
      </c>
      <c r="I298" s="1">
        <f>'Asset Prices'!I298/'Asset Prices'!I299-1</f>
        <v>1.6712479384277001E-2</v>
      </c>
      <c r="J298" s="1">
        <f>'Asset Prices'!J298/'Asset Prices'!J299-1</f>
        <v>-7.3006022996890962E-4</v>
      </c>
      <c r="K298" s="1">
        <f>'Asset Prices'!K298/'Asset Prices'!K299-1</f>
        <v>2.3889998463665574E-2</v>
      </c>
      <c r="L298" s="1">
        <f>'Asset Prices'!L298/'Asset Prices'!L299-1</f>
        <v>8.444989620683141E-2</v>
      </c>
      <c r="M298" s="1">
        <f>'Asset Prices'!M298/'Asset Prices'!M299-1</f>
        <v>6.3662855861914336E-2</v>
      </c>
      <c r="N298" s="1">
        <f>'Asset Prices'!N298/'Asset Prices'!N299-1</f>
        <v>3.8940809968847301E-2</v>
      </c>
      <c r="O298" s="1">
        <f>'Asset Prices'!O298/'Asset Prices'!O299-1</f>
        <v>5.3775122216186855E-2</v>
      </c>
      <c r="P298" s="1">
        <f>'Asset Prices'!P298/'Asset Prices'!P299-1</f>
        <v>7.0399373531714993E-2</v>
      </c>
      <c r="Q298" s="1">
        <f>'Asset Prices'!Q298/'Asset Prices'!Q299-1</f>
        <v>1.4249639249639179E-2</v>
      </c>
      <c r="R298" s="1">
        <f>'Asset Prices'!R298/'Asset Prices'!R299-1</f>
        <v>1.4281633818908901E-2</v>
      </c>
      <c r="S298" s="1">
        <f>'Asset Prices'!S298/'Asset Prices'!S299-1</f>
        <v>1.5030674846625791E-2</v>
      </c>
      <c r="T298" s="1">
        <f>'Asset Prices'!T298/'Asset Prices'!T299-1</f>
        <v>9.1998288403936757E-2</v>
      </c>
      <c r="U298" s="1">
        <f>'Asset Prices'!U298/'Asset Prices'!U299-1</f>
        <v>0.27339102217414846</v>
      </c>
      <c r="V298" s="1">
        <f>'Asset Prices'!V298/'Asset Prices'!V299-1</f>
        <v>4.5873438459963278E-2</v>
      </c>
      <c r="W298" s="1">
        <f>'Asset Prices'!W298/'Asset Prices'!W299-1</f>
        <v>2.4219590958021175E-3</v>
      </c>
      <c r="X298" s="1">
        <f>'Asset Prices'!X298/'Asset Prices'!X299-1</f>
        <v>9.1122103618850314E-3</v>
      </c>
      <c r="Y298" s="1">
        <f>'Asset Prices'!Y298/'Asset Prices'!Y299-1</f>
        <v>0.18799499794536967</v>
      </c>
      <c r="Z298" s="1">
        <f>'Asset Prices'!Z298/'Asset Prices'!Z299-1</f>
        <v>2.5974025974025983E-2</v>
      </c>
      <c r="AA298" s="1">
        <f>'Asset Prices'!AA298/'Asset Prices'!AA299-1</f>
        <v>4.8879837067209664E-2</v>
      </c>
      <c r="AB298" s="1">
        <f>'Asset Prices'!AB298/'Asset Prices'!AB299-1</f>
        <v>8.3700440528634346E-2</v>
      </c>
      <c r="AC298" s="1">
        <f>'Asset Prices'!AC298/'Asset Prices'!AC299-1</f>
        <v>0.10178733717055444</v>
      </c>
      <c r="AD298" s="1">
        <f>'Asset Prices'!AD298/'Asset Prices'!AD299-1</f>
        <v>0.10664663912880212</v>
      </c>
      <c r="AE298" s="1">
        <f>'Asset Prices'!AE298/'Asset Prices'!AE299-1</f>
        <v>0.12912164034358531</v>
      </c>
      <c r="AF298" s="1">
        <f>'Asset Prices'!AF298/'Asset Prices'!AF299-1</f>
        <v>0.12441937624419386</v>
      </c>
      <c r="AG298" s="1">
        <f>'Asset Prices'!AG298/'Asset Prices'!AG299-1</f>
        <v>2.5497512437810954E-2</v>
      </c>
      <c r="AH298" s="1">
        <f>'Asset Prices'!AH298/'Asset Prices'!AH299-1</f>
        <v>1.7241379310344751E-2</v>
      </c>
      <c r="AI298" s="1">
        <f>'Asset Prices'!AI298/'Asset Prices'!AI299-1</f>
        <v>3.3514986376021794E-2</v>
      </c>
      <c r="AJ298" s="1">
        <f>'Asset Prices'!AJ298/'Asset Prices'!AJ299-1</f>
        <v>8.6918730986527137E-3</v>
      </c>
      <c r="AK298" s="1">
        <f>'Asset Prices'!AK298/'Asset Prices'!AK299-1</f>
        <v>-3.6980556614563453E-2</v>
      </c>
      <c r="AL298" s="1">
        <f>'Asset Prices'!AL298/'Asset Prices'!AL299-1</f>
        <v>2.4766806046960355E-2</v>
      </c>
      <c r="AM298" s="1">
        <f>'Asset Prices'!AM298/'Asset Prices'!AM299-1</f>
        <v>6.0519534786545037E-2</v>
      </c>
      <c r="AN298" s="1">
        <f>'Asset Prices'!AN298/'Asset Prices'!AN299-1</f>
        <v>2.5708566009904121E-2</v>
      </c>
      <c r="AO298" s="1">
        <f>'Asset Prices'!AO298/'Asset Prices'!AO299-1</f>
        <v>2.9562383612662835E-2</v>
      </c>
      <c r="AP298" s="1">
        <f>'Asset Prices'!AP298/'Asset Prices'!AP299-1</f>
        <v>2.0197740112994467E-2</v>
      </c>
      <c r="AQ298" s="1">
        <f>'Asset Prices'!AQ298/'Asset Prices'!AQ299-1</f>
        <v>8.0472103004292084E-3</v>
      </c>
      <c r="AR298" s="1">
        <f>'Asset Prices'!AR298/'Asset Prices'!AR299-1</f>
        <v>0.17803030303030298</v>
      </c>
      <c r="AS298" s="1">
        <f>'Asset Prices'!AS298/'Asset Prices'!AS299-1</f>
        <v>3.0427432987201186E-2</v>
      </c>
      <c r="AT298" s="1">
        <f>'Asset Prices'!AT298/'Asset Prices'!AT299-1</f>
        <v>6.0606060606060774E-2</v>
      </c>
      <c r="AU298" s="1">
        <f>'Asset Prices'!AU298/'Asset Prices'!AU299-1</f>
        <v>3.729480293516918E-2</v>
      </c>
      <c r="AV298" s="1">
        <f>'Asset Prices'!AV298/'Asset Prices'!AV299-1</f>
        <v>-7.9478054567022505E-2</v>
      </c>
      <c r="AW298" s="1">
        <f>'Asset Prices'!AW298/'Asset Prices'!AW299-1</f>
        <v>9.3941078376876153E-2</v>
      </c>
      <c r="AX298" s="1">
        <f>'Asset Prices'!AX298/'Asset Prices'!AX299-1</f>
        <v>-3.6402569593147693E-2</v>
      </c>
      <c r="AY298" s="1">
        <f>'Asset Prices'!AY298/'Asset Prices'!AY299-1</f>
        <v>0.10916580844490209</v>
      </c>
      <c r="AZ298" s="1">
        <f>'Asset Prices'!AZ298/'Asset Prices'!AZ299-1</f>
        <v>8.5557837097878231E-2</v>
      </c>
      <c r="BA298" s="1">
        <f>'Asset Prices'!BA298/'Asset Prices'!BA299-1</f>
        <v>6.8759342301943027E-2</v>
      </c>
      <c r="BB298" s="1">
        <f>'Asset Prices'!BB298/'Asset Prices'!BB299-1</f>
        <v>5.4891544931385594E-2</v>
      </c>
      <c r="BC298" s="1">
        <f>'Asset Prices'!BC298/'Asset Prices'!BC299-1</f>
        <v>-2.4405908798972309E-2</v>
      </c>
      <c r="BD298" s="1">
        <f>'Asset Prices'!BD298/'Asset Prices'!BD299-1</f>
        <v>4.1151739075041549E-2</v>
      </c>
    </row>
    <row r="299" spans="3:56" x14ac:dyDescent="0.25">
      <c r="C299" s="38">
        <f>'Asset Prices'!C299</f>
        <v>42278</v>
      </c>
      <c r="D299" s="1">
        <f>'Asset Prices'!D299/'Asset Prices'!D300-1</f>
        <v>-3.5592255125285188E-3</v>
      </c>
      <c r="E299" s="1">
        <f>'Asset Prices'!E299/'Asset Prices'!E300-1</f>
        <v>2.0373683164380818E-2</v>
      </c>
      <c r="F299" s="1">
        <f>'Asset Prices'!F299/'Asset Prices'!F300-1</f>
        <v>7.8752504573569082E-2</v>
      </c>
      <c r="G299" s="1">
        <f>'Asset Prices'!G299/'Asset Prices'!G300-1</f>
        <v>4.991680532445919E-3</v>
      </c>
      <c r="H299" s="1">
        <f>'Asset Prices'!H299/'Asset Prices'!H300-1</f>
        <v>-2.1428571428571352E-2</v>
      </c>
      <c r="I299" s="1">
        <f>'Asset Prices'!I299/'Asset Prices'!I300-1</f>
        <v>-3.6648660099565689E-2</v>
      </c>
      <c r="J299" s="1">
        <f>'Asset Prices'!J299/'Asset Prices'!J300-1</f>
        <v>-4.7130434782608699E-2</v>
      </c>
      <c r="K299" s="1">
        <f>'Asset Prices'!K299/'Asset Prices'!K300-1</f>
        <v>-2.4412177985948413E-2</v>
      </c>
      <c r="L299" s="1">
        <f>'Asset Prices'!L299/'Asset Prices'!L300-1</f>
        <v>2.1395528141865849E-2</v>
      </c>
      <c r="M299" s="1">
        <f>'Asset Prices'!M299/'Asset Prices'!M300-1</f>
        <v>1.5941698929628823E-2</v>
      </c>
      <c r="N299" s="1">
        <f>'Asset Prices'!N299/'Asset Prices'!N300-1</f>
        <v>-1.9712632270082908E-2</v>
      </c>
      <c r="O299" s="1">
        <f>'Asset Prices'!O299/'Asset Prices'!O300-1</f>
        <v>-4.3435769356070519E-4</v>
      </c>
      <c r="P299" s="1">
        <f>'Asset Prices'!P299/'Asset Prices'!P300-1</f>
        <v>4.5626179987412474E-3</v>
      </c>
      <c r="Q299" s="1">
        <f>'Asset Prices'!Q299/'Asset Prices'!Q300-1</f>
        <v>-2.6685393258427004E-2</v>
      </c>
      <c r="R299" s="1">
        <f>'Asset Prices'!R299/'Asset Prices'!R300-1</f>
        <v>1.7732558139534893E-2</v>
      </c>
      <c r="S299" s="1">
        <f>'Asset Prices'!S299/'Asset Prices'!S300-1</f>
        <v>3.2298923369221022E-2</v>
      </c>
      <c r="T299" s="1">
        <f>'Asset Prices'!T299/'Asset Prices'!T300-1</f>
        <v>2.8005865102639138E-2</v>
      </c>
      <c r="U299" s="1">
        <f>'Asset Prices'!U299/'Asset Prices'!U300-1</f>
        <v>-0.11742243436754185</v>
      </c>
      <c r="V299" s="1">
        <f>'Asset Prices'!V299/'Asset Prices'!V300-1</f>
        <v>-2.5738228252194739E-2</v>
      </c>
      <c r="W299" s="1">
        <f>'Asset Prices'!W299/'Asset Prices'!W300-1</f>
        <v>1.502321770008197E-2</v>
      </c>
      <c r="X299" s="1">
        <f>'Asset Prices'!X299/'Asset Prices'!X300-1</f>
        <v>6.2876604663346658E-3</v>
      </c>
      <c r="Y299" s="1">
        <f>'Asset Prices'!Y299/'Asset Prices'!Y300-1</f>
        <v>-5.884660650614526E-2</v>
      </c>
      <c r="Z299" s="1">
        <f>'Asset Prices'!Z299/'Asset Prices'!Z300-1</f>
        <v>-8.9171974522293085E-2</v>
      </c>
      <c r="AA299" s="1">
        <f>'Asset Prices'!AA299/'Asset Prices'!AA300-1</f>
        <v>-2.2691082802547835E-2</v>
      </c>
      <c r="AB299" s="1">
        <f>'Asset Prices'!AB299/'Asset Prices'!AB300-1</f>
        <v>-4.621848739495793E-2</v>
      </c>
      <c r="AC299" s="1">
        <f>'Asset Prices'!AC299/'Asset Prices'!AC300-1</f>
        <v>-7.3793490460157152E-2</v>
      </c>
      <c r="AD299" s="1">
        <f>'Asset Prices'!AD299/'Asset Prices'!AD300-1</f>
        <v>4.0234374999999822E-2</v>
      </c>
      <c r="AE299" s="1">
        <f>'Asset Prices'!AE299/'Asset Prices'!AE300-1</f>
        <v>4.4573082489146376E-2</v>
      </c>
      <c r="AF299" s="1">
        <f>'Asset Prices'!AF299/'Asset Prices'!AF300-1</f>
        <v>-7.1186440677966201E-2</v>
      </c>
      <c r="AG299" s="1">
        <f>'Asset Prices'!AG299/'Asset Prices'!AG300-1</f>
        <v>-3.7174721189592308E-3</v>
      </c>
      <c r="AH299" s="1">
        <f>'Asset Prices'!AH299/'Asset Prices'!AH300-1</f>
        <v>9.1037831276552517E-3</v>
      </c>
      <c r="AI299" s="1">
        <f>'Asset Prices'!AI299/'Asset Prices'!AI300-1</f>
        <v>-3.03830911492734E-2</v>
      </c>
      <c r="AJ299" s="1">
        <f>'Asset Prices'!AJ299/'Asset Prices'!AJ300-1</f>
        <v>-2.3759015697921049E-2</v>
      </c>
      <c r="AK299" s="1">
        <f>'Asset Prices'!AK299/'Asset Prices'!AK300-1</f>
        <v>-6.0629026146267195E-3</v>
      </c>
      <c r="AL299" s="1">
        <f>'Asset Prices'!AL299/'Asset Prices'!AL300-1</f>
        <v>5.9860863937872821E-3</v>
      </c>
      <c r="AM299" s="1">
        <f>'Asset Prices'!AM299/'Asset Prices'!AM300-1</f>
        <v>-5.6782771276226995E-3</v>
      </c>
      <c r="AN299" s="1">
        <f>'Asset Prices'!AN299/'Asset Prices'!AN300-1</f>
        <v>-3.3699857462838545E-2</v>
      </c>
      <c r="AO299" s="1">
        <f>'Asset Prices'!AO299/'Asset Prices'!AO300-1</f>
        <v>-2.5629394420503604E-2</v>
      </c>
      <c r="AP299" s="1">
        <f>'Asset Prices'!AP299/'Asset Prices'!AP300-1</f>
        <v>-6.0367822546680827E-3</v>
      </c>
      <c r="AQ299" s="1">
        <f>'Asset Prices'!AQ299/'Asset Prices'!AQ300-1</f>
        <v>-3.3529208434151414E-2</v>
      </c>
      <c r="AR299" s="1">
        <f>'Asset Prices'!AR299/'Asset Prices'!AR300-1</f>
        <v>-5.6019070321811748E-2</v>
      </c>
      <c r="AS299" s="1">
        <f>'Asset Prices'!AS299/'Asset Prices'!AS300-1</f>
        <v>-9.108867427568057E-2</v>
      </c>
      <c r="AT299" s="1">
        <f>'Asset Prices'!AT299/'Asset Prices'!AT300-1</f>
        <v>-2.7700831024930817E-2</v>
      </c>
      <c r="AU299" s="1">
        <f>'Asset Prices'!AU299/'Asset Prices'!AU300-1</f>
        <v>-4.7896859694612548E-2</v>
      </c>
      <c r="AV299" s="1">
        <f>'Asset Prices'!AV299/'Asset Prices'!AV300-1</f>
        <v>-2.613718411552346E-2</v>
      </c>
      <c r="AW299" s="1">
        <f>'Asset Prices'!AW299/'Asset Prices'!AW300-1</f>
        <v>-1.3877324451846418E-3</v>
      </c>
      <c r="AX299" s="1">
        <f>'Asset Prices'!AX299/'Asset Prices'!AX300-1</f>
        <v>-2.7083333333333459E-2</v>
      </c>
      <c r="AY299" s="1">
        <f>'Asset Prices'!AY299/'Asset Prices'!AY300-1</f>
        <v>-8.3962264150943322E-2</v>
      </c>
      <c r="AZ299" s="1">
        <f>'Asset Prices'!AZ299/'Asset Prices'!AZ300-1</f>
        <v>-2.4916573971079048E-2</v>
      </c>
      <c r="BA299" s="1">
        <f>'Asset Prices'!BA299/'Asset Prices'!BA300-1</f>
        <v>-2.1929824561403466E-2</v>
      </c>
      <c r="BB299" s="1">
        <f>'Asset Prices'!BB299/'Asset Prices'!BB300-1</f>
        <v>2.4954627949183239E-2</v>
      </c>
      <c r="BC299" s="1">
        <f>'Asset Prices'!BC299/'Asset Prices'!BC300-1</f>
        <v>1.4804469273743015E-2</v>
      </c>
      <c r="BD299" s="1">
        <f>'Asset Prices'!BD299/'Asset Prices'!BD300-1</f>
        <v>1.9615484541439132E-2</v>
      </c>
    </row>
    <row r="300" spans="3:56" x14ac:dyDescent="0.25">
      <c r="C300" s="38">
        <f>'Asset Prices'!C300</f>
        <v>42271</v>
      </c>
      <c r="D300" s="1">
        <f>'Asset Prices'!D300/'Asset Prices'!D301-1</f>
        <v>-1.0146561443066471E-2</v>
      </c>
      <c r="E300" s="1">
        <f>'Asset Prices'!E300/'Asset Prices'!E301-1</f>
        <v>-3.4357005758157366E-2</v>
      </c>
      <c r="F300" s="1">
        <f>'Asset Prices'!F300/'Asset Prices'!F301-1</f>
        <v>-4.1641363754661986E-3</v>
      </c>
      <c r="G300" s="1">
        <f>'Asset Prices'!G300/'Asset Prices'!G301-1</f>
        <v>-1.8508437670114342E-2</v>
      </c>
      <c r="H300" s="1">
        <f>'Asset Prices'!H300/'Asset Prices'!H301-1</f>
        <v>-0.11153119092627606</v>
      </c>
      <c r="I300" s="1">
        <f>'Asset Prices'!I300/'Asset Prices'!I301-1</f>
        <v>7.4199703201172085E-4</v>
      </c>
      <c r="J300" s="1">
        <f>'Asset Prices'!J300/'Asset Prices'!J301-1</f>
        <v>9.4803370786515906E-3</v>
      </c>
      <c r="K300" s="1">
        <f>'Asset Prices'!K300/'Asset Prices'!K301-1</f>
        <v>-9.5013639653348525E-3</v>
      </c>
      <c r="L300" s="1">
        <f>'Asset Prices'!L300/'Asset Prices'!L301-1</f>
        <v>-4.3182036272909619E-3</v>
      </c>
      <c r="M300" s="1">
        <f>'Asset Prices'!M300/'Asset Prices'!M301-1</f>
        <v>-7.6836158192090664E-3</v>
      </c>
      <c r="N300" s="1">
        <f>'Asset Prices'!N300/'Asset Prices'!N301-1</f>
        <v>-2.4952729763127679E-2</v>
      </c>
      <c r="O300" s="1">
        <f>'Asset Prices'!O300/'Asset Prices'!O301-1</f>
        <v>-1.2968917470525088E-2</v>
      </c>
      <c r="P300" s="1">
        <f>'Asset Prices'!P300/'Asset Prices'!P301-1</f>
        <v>-2.522812667740193E-2</v>
      </c>
      <c r="Q300" s="1">
        <f>'Asset Prices'!Q300/'Asset Prices'!Q301-1</f>
        <v>-2.5491873396065068E-2</v>
      </c>
      <c r="R300" s="1">
        <f>'Asset Prices'!R300/'Asset Prices'!R301-1</f>
        <v>1.6548463356973908E-2</v>
      </c>
      <c r="S300" s="1">
        <f>'Asset Prices'!S300/'Asset Prices'!S301-1</f>
        <v>2.5324675324675194E-2</v>
      </c>
      <c r="T300" s="1">
        <f>'Asset Prices'!T300/'Asset Prices'!T301-1</f>
        <v>-5.4878048780487743E-2</v>
      </c>
      <c r="U300" s="1">
        <f>'Asset Prices'!U300/'Asset Prices'!U301-1</f>
        <v>-0.12067156348373553</v>
      </c>
      <c r="V300" s="1">
        <f>'Asset Prices'!V300/'Asset Prices'!V301-1</f>
        <v>-5.3982634956587394E-2</v>
      </c>
      <c r="W300" s="1">
        <f>'Asset Prices'!W300/'Asset Prices'!W301-1</f>
        <v>-4.2375098090504881E-2</v>
      </c>
      <c r="X300" s="1">
        <f>'Asset Prices'!X300/'Asset Prices'!X301-1</f>
        <v>-3.3426183844011192E-2</v>
      </c>
      <c r="Y300" s="1">
        <f>'Asset Prices'!Y300/'Asset Prices'!Y301-1</f>
        <v>-4.316816817939706E-2</v>
      </c>
      <c r="Z300" s="1">
        <f>'Asset Prices'!Z300/'Asset Prices'!Z301-1</f>
        <v>5.4702495201535584E-2</v>
      </c>
      <c r="AA300" s="1">
        <f>'Asset Prices'!AA300/'Asset Prices'!AA301-1</f>
        <v>-5.5423594615994221E-3</v>
      </c>
      <c r="AB300" s="1">
        <f>'Asset Prices'!AB300/'Asset Prices'!AB301-1</f>
        <v>-4.4176706827309342E-2</v>
      </c>
      <c r="AC300" s="1">
        <f>'Asset Prices'!AC300/'Asset Prices'!AC301-1</f>
        <v>-8.5450346420323231E-2</v>
      </c>
      <c r="AD300" s="1">
        <f>'Asset Prices'!AD300/'Asset Prices'!AD301-1</f>
        <v>-0.19698870765370136</v>
      </c>
      <c r="AE300" s="1">
        <f>'Asset Prices'!AE300/'Asset Prices'!AE301-1</f>
        <v>-6.7224622030237602E-2</v>
      </c>
      <c r="AF300" s="1">
        <f>'Asset Prices'!AF300/'Asset Prices'!AF301-1</f>
        <v>-0.16430594900849849</v>
      </c>
      <c r="AG300" s="1">
        <f>'Asset Prices'!AG300/'Asset Prices'!AG301-1</f>
        <v>-0.13689839572192508</v>
      </c>
      <c r="AH300" s="1">
        <f>'Asset Prices'!AH300/'Asset Prices'!AH301-1</f>
        <v>-3.7390457643622255E-2</v>
      </c>
      <c r="AI300" s="1">
        <f>'Asset Prices'!AI300/'Asset Prices'!AI301-1</f>
        <v>-3.6037183242073056E-2</v>
      </c>
      <c r="AJ300" s="1">
        <f>'Asset Prices'!AJ300/'Asset Prices'!AJ301-1</f>
        <v>-6.7425200168562682E-3</v>
      </c>
      <c r="AK300" s="1">
        <f>'Asset Prices'!AK300/'Asset Prices'!AK301-1</f>
        <v>-2.3316062176165775E-2</v>
      </c>
      <c r="AL300" s="1">
        <f>'Asset Prices'!AL300/'Asset Prices'!AL301-1</f>
        <v>1.1620294599018033E-2</v>
      </c>
      <c r="AM300" s="1">
        <f>'Asset Prices'!AM300/'Asset Prices'!AM301-1</f>
        <v>-2.5178884838666038E-2</v>
      </c>
      <c r="AN300" s="1">
        <f>'Asset Prices'!AN300/'Asset Prices'!AN301-1</f>
        <v>-2.3269689737470234E-2</v>
      </c>
      <c r="AO300" s="1">
        <f>'Asset Prices'!AO300/'Asset Prices'!AO301-1</f>
        <v>-2.5204510280786963E-2</v>
      </c>
      <c r="AP300" s="1">
        <f>'Asset Prices'!AP300/'Asset Prices'!AP301-1</f>
        <v>-1.8059001929969676E-2</v>
      </c>
      <c r="AQ300" s="1">
        <f>'Asset Prices'!AQ300/'Asset Prices'!AQ301-1</f>
        <v>-1.3469735720375131E-2</v>
      </c>
      <c r="AR300" s="1">
        <f>'Asset Prices'!AR300/'Asset Prices'!AR301-1</f>
        <v>-2.6682134570765514E-2</v>
      </c>
      <c r="AS300" s="1">
        <f>'Asset Prices'!AS300/'Asset Prices'!AS301-1</f>
        <v>-7.7172371885760538E-2</v>
      </c>
      <c r="AT300" s="1">
        <f>'Asset Prices'!AT300/'Asset Prices'!AT301-1</f>
        <v>5.0620096178184415E-3</v>
      </c>
      <c r="AU300" s="1">
        <f>'Asset Prices'!AU300/'Asset Prices'!AU301-1</f>
        <v>-6.8669527896996208E-3</v>
      </c>
      <c r="AV300" s="1">
        <f>'Asset Prices'!AV300/'Asset Prices'!AV301-1</f>
        <v>2.0934689665339956E-2</v>
      </c>
      <c r="AW300" s="1">
        <f>'Asset Prices'!AW300/'Asset Prices'!AW301-1</f>
        <v>-5.034264628360563E-2</v>
      </c>
      <c r="AX300" s="1">
        <f>'Asset Prices'!AX300/'Asset Prices'!AX301-1</f>
        <v>-9.5315024232633272E-2</v>
      </c>
      <c r="AY300" s="1">
        <f>'Asset Prices'!AY300/'Asset Prices'!AY301-1</f>
        <v>-1.2422360248447228E-2</v>
      </c>
      <c r="AZ300" s="1">
        <f>'Asset Prices'!AZ300/'Asset Prices'!AZ301-1</f>
        <v>-3.7267080745341574E-2</v>
      </c>
      <c r="BA300" s="1">
        <f>'Asset Prices'!BA300/'Asset Prices'!BA301-1</f>
        <v>-4.366812227074246E-3</v>
      </c>
      <c r="BB300" s="1">
        <f>'Asset Prices'!BB300/'Asset Prices'!BB301-1</f>
        <v>1.1355893708833165E-3</v>
      </c>
      <c r="BC300" s="1">
        <f>'Asset Prices'!BC300/'Asset Prices'!BC301-1</f>
        <v>-1.8012251988662298E-2</v>
      </c>
      <c r="BD300" s="1">
        <f>'Asset Prices'!BD300/'Asset Prices'!BD301-1</f>
        <v>4.3052837573385183E-3</v>
      </c>
    </row>
    <row r="301" spans="3:56" x14ac:dyDescent="0.25">
      <c r="C301" s="38">
        <f>'Asset Prices'!C301</f>
        <v>42264</v>
      </c>
      <c r="D301" s="1">
        <f>'Asset Prices'!D301/'Asset Prices'!D302-1</f>
        <v>1.0394418339740641E-2</v>
      </c>
      <c r="E301" s="1">
        <f>'Asset Prices'!E301/'Asset Prices'!E302-1</f>
        <v>1.5594541910331383E-2</v>
      </c>
      <c r="F301" s="1">
        <f>'Asset Prices'!F301/'Asset Prices'!F302-1</f>
        <v>4.4301503895633365E-2</v>
      </c>
      <c r="G301" s="1">
        <f>'Asset Prices'!G301/'Asset Prices'!G302-1</f>
        <v>-2.3132145705929252E-2</v>
      </c>
      <c r="H301" s="1">
        <f>'Asset Prices'!H301/'Asset Prices'!H302-1</f>
        <v>2.2645677989505675E-2</v>
      </c>
      <c r="I301" s="1">
        <f>'Asset Prices'!I301/'Asset Prices'!I302-1</f>
        <v>2.5657751685148833E-2</v>
      </c>
      <c r="J301" s="1">
        <f>'Asset Prices'!J301/'Asset Prices'!J302-1</f>
        <v>1.1992537976370343E-2</v>
      </c>
      <c r="K301" s="1">
        <f>'Asset Prices'!K301/'Asset Prices'!K302-1</f>
        <v>3.1843596813725394E-2</v>
      </c>
      <c r="L301" s="1">
        <f>'Asset Prices'!L301/'Asset Prices'!L302-1</f>
        <v>4.7547245677522998E-2</v>
      </c>
      <c r="M301" s="1">
        <f>'Asset Prices'!M301/'Asset Prices'!M302-1</f>
        <v>2.2176022176022103E-2</v>
      </c>
      <c r="N301" s="1">
        <f>'Asset Prices'!N301/'Asset Prices'!N302-1</f>
        <v>3.1624377956625871E-2</v>
      </c>
      <c r="O301" s="1">
        <f>'Asset Prices'!O301/'Asset Prices'!O302-1</f>
        <v>2.8552530040789392E-2</v>
      </c>
      <c r="P301" s="1">
        <f>'Asset Prices'!P301/'Asset Prices'!P302-1</f>
        <v>2.3546032493524827E-2</v>
      </c>
      <c r="Q301" s="1">
        <f>'Asset Prices'!Q301/'Asset Prices'!Q302-1</f>
        <v>5.9068671860844413E-2</v>
      </c>
      <c r="R301" s="1">
        <f>'Asset Prices'!R301/'Asset Prices'!R302-1</f>
        <v>3.4546010394374882E-2</v>
      </c>
      <c r="S301" s="1">
        <f>'Asset Prices'!S301/'Asset Prices'!S302-1</f>
        <v>4.3360433604336057E-2</v>
      </c>
      <c r="T301" s="1">
        <f>'Asset Prices'!T301/'Asset Prices'!T302-1</f>
        <v>-1.5220700152206446E-3</v>
      </c>
      <c r="U301" s="1">
        <f>'Asset Prices'!U301/'Asset Prices'!U302-1</f>
        <v>2.3850451224752822E-2</v>
      </c>
      <c r="V301" s="1">
        <f>'Asset Prices'!V301/'Asset Prices'!V302-1</f>
        <v>3.4361577508785768E-2</v>
      </c>
      <c r="W301" s="1">
        <f>'Asset Prices'!W301/'Asset Prices'!W302-1</f>
        <v>2.4383708467309972E-2</v>
      </c>
      <c r="X301" s="1">
        <f>'Asset Prices'!X301/'Asset Prices'!X302-1</f>
        <v>2.9457768508863502E-2</v>
      </c>
      <c r="Y301" s="1">
        <f>'Asset Prices'!Y301/'Asset Prices'!Y302-1</f>
        <v>-3.267973855838302E-2</v>
      </c>
      <c r="Z301" s="1">
        <f>'Asset Prices'!Z301/'Asset Prices'!Z302-1</f>
        <v>-0.12215669755686598</v>
      </c>
      <c r="AA301" s="1">
        <f>'Asset Prices'!AA301/'Asset Prices'!AA302-1</f>
        <v>2.9339853300733632E-2</v>
      </c>
      <c r="AB301" s="1">
        <f>'Asset Prices'!AB301/'Asset Prices'!AB302-1</f>
        <v>8.0971659919029104E-3</v>
      </c>
      <c r="AC301" s="1">
        <f>'Asset Prices'!AC301/'Asset Prices'!AC302-1</f>
        <v>1.5372589890567889E-2</v>
      </c>
      <c r="AD301" s="1">
        <f>'Asset Prices'!AD301/'Asset Prices'!AD302-1</f>
        <v>5.4232804232804188E-2</v>
      </c>
      <c r="AE301" s="1">
        <f>'Asset Prices'!AE301/'Asset Prices'!AE302-1</f>
        <v>-1.1211959423385043E-2</v>
      </c>
      <c r="AF301" s="1">
        <f>'Asset Prices'!AF301/'Asset Prices'!AF302-1</f>
        <v>-1.571609632446147E-2</v>
      </c>
      <c r="AG301" s="1">
        <f>'Asset Prices'!AG301/'Asset Prices'!AG302-1</f>
        <v>2.4657534246575352E-2</v>
      </c>
      <c r="AH301" s="1">
        <f>'Asset Prices'!AH301/'Asset Prices'!AH302-1</f>
        <v>2.2297431813657287E-2</v>
      </c>
      <c r="AI301" s="1">
        <f>'Asset Prices'!AI301/'Asset Prices'!AI302-1</f>
        <v>-1.3987792472024418E-3</v>
      </c>
      <c r="AJ301" s="1">
        <f>'Asset Prices'!AJ301/'Asset Prices'!AJ302-1</f>
        <v>1.366937206322083E-2</v>
      </c>
      <c r="AK301" s="1">
        <f>'Asset Prices'!AK301/'Asset Prices'!AK302-1</f>
        <v>6.4617809298660456E-2</v>
      </c>
      <c r="AL301" s="1">
        <f>'Asset Prices'!AL301/'Asset Prices'!AL302-1</f>
        <v>6.743535988819005E-2</v>
      </c>
      <c r="AM301" s="1">
        <f>'Asset Prices'!AM301/'Asset Prices'!AM302-1</f>
        <v>1.3269493844049185E-2</v>
      </c>
      <c r="AN301" s="1">
        <f>'Asset Prices'!AN301/'Asset Prices'!AN302-1</f>
        <v>2.2990844354018325E-2</v>
      </c>
      <c r="AO301" s="1">
        <f>'Asset Prices'!AO301/'Asset Prices'!AO302-1</f>
        <v>-5.059392872855395E-3</v>
      </c>
      <c r="AP301" s="1">
        <f>'Asset Prices'!AP301/'Asset Prices'!AP302-1</f>
        <v>1.4687368862778216E-2</v>
      </c>
      <c r="AQ301" s="1">
        <f>'Asset Prices'!AQ301/'Asset Prices'!AQ302-1</f>
        <v>-2.3476523476523514E-2</v>
      </c>
      <c r="AR301" s="1">
        <f>'Asset Prices'!AR301/'Asset Prices'!AR302-1</f>
        <v>0.10796915167095111</v>
      </c>
      <c r="AS301" s="1">
        <f>'Asset Prices'!AS301/'Asset Prices'!AS302-1</f>
        <v>3.2845188284518878E-2</v>
      </c>
      <c r="AT301" s="1">
        <f>'Asset Prices'!AT301/'Asset Prices'!AT302-1</f>
        <v>3.5560071120142034E-3</v>
      </c>
      <c r="AU301" s="1">
        <f>'Asset Prices'!AU301/'Asset Prices'!AU302-1</f>
        <v>3.4023668639053373E-2</v>
      </c>
      <c r="AV301" s="1">
        <f>'Asset Prices'!AV301/'Asset Prices'!AV302-1</f>
        <v>2.6793823796548599E-2</v>
      </c>
      <c r="AW301" s="1">
        <f>'Asset Prices'!AW301/'Asset Prices'!AW302-1</f>
        <v>5.033112582781385E-3</v>
      </c>
      <c r="AX301" s="1">
        <f>'Asset Prices'!AX301/'Asset Prices'!AX302-1</f>
        <v>-2.5452637103122511E-2</v>
      </c>
      <c r="AY301" s="1">
        <f>'Asset Prices'!AY301/'Asset Prices'!AY302-1</f>
        <v>6.9057104913678558E-2</v>
      </c>
      <c r="AZ301" s="1">
        <f>'Asset Prices'!AZ301/'Asset Prices'!AZ302-1</f>
        <v>-3.652496904663638E-2</v>
      </c>
      <c r="BA301" s="1">
        <f>'Asset Prices'!BA301/'Asset Prices'!BA302-1</f>
        <v>6.593406593406792E-3</v>
      </c>
      <c r="BB301" s="1">
        <f>'Asset Prices'!BB301/'Asset Prices'!BB302-1</f>
        <v>4.5346628679962198E-2</v>
      </c>
      <c r="BC301" s="1">
        <f>'Asset Prices'!BC301/'Asset Prices'!BC302-1</f>
        <v>4.9163029401889657E-2</v>
      </c>
      <c r="BD301" s="1">
        <f>'Asset Prices'!BD301/'Asset Prices'!BD302-1</f>
        <v>1.5769944341373021E-2</v>
      </c>
    </row>
    <row r="302" spans="3:56" x14ac:dyDescent="0.25">
      <c r="C302" s="38">
        <f>'Asset Prices'!C302</f>
        <v>42257</v>
      </c>
      <c r="D302" s="1">
        <f>'Asset Prices'!D302/'Asset Prices'!D303-1</f>
        <v>-2.4147727272727515E-3</v>
      </c>
      <c r="E302" s="1">
        <f>'Asset Prices'!E302/'Asset Prices'!E303-1</f>
        <v>5.9809785273066129E-3</v>
      </c>
      <c r="F302" s="1">
        <f>'Asset Prices'!F302/'Asset Prices'!F303-1</f>
        <v>-4.2399639152007618E-3</v>
      </c>
      <c r="G302" s="1">
        <f>'Asset Prices'!G302/'Asset Prices'!G303-1</f>
        <v>1.9241192411924235E-2</v>
      </c>
      <c r="H302" s="1">
        <f>'Asset Prices'!H302/'Asset Prices'!H303-1</f>
        <v>-2.726662189388851E-2</v>
      </c>
      <c r="I302" s="1">
        <f>'Asset Prices'!I302/'Asset Prices'!I303-1</f>
        <v>4.3448667044809985E-2</v>
      </c>
      <c r="J302" s="1">
        <f>'Asset Prices'!J302/'Asset Prices'!J303-1</f>
        <v>1.993295279514351E-2</v>
      </c>
      <c r="K302" s="1">
        <f>'Asset Prices'!K302/'Asset Prices'!K303-1</f>
        <v>3.4712315739419797E-2</v>
      </c>
      <c r="L302" s="1">
        <f>'Asset Prices'!L302/'Asset Prices'!L303-1</f>
        <v>-1.5634276667326308E-2</v>
      </c>
      <c r="M302" s="1">
        <f>'Asset Prices'!M302/'Asset Prices'!M303-1</f>
        <v>-4.8275862068966058E-3</v>
      </c>
      <c r="N302" s="1">
        <f>'Asset Prices'!N302/'Asset Prices'!N303-1</f>
        <v>2.2023389058943632E-2</v>
      </c>
      <c r="O302" s="1">
        <f>'Asset Prices'!O302/'Asset Prices'!O303-1</f>
        <v>5.2083333333332593E-3</v>
      </c>
      <c r="P302" s="1">
        <f>'Asset Prices'!P302/'Asset Prices'!P303-1</f>
        <v>-1.2325581395348895E-2</v>
      </c>
      <c r="Q302" s="1">
        <f>'Asset Prices'!Q302/'Asset Prices'!Q303-1</f>
        <v>1.0883366588063659E-3</v>
      </c>
      <c r="R302" s="1">
        <f>'Asset Prices'!R302/'Asset Prices'!R303-1</f>
        <v>-1.7422649444277516E-2</v>
      </c>
      <c r="S302" s="1">
        <f>'Asset Prices'!S302/'Asset Prices'!S303-1</f>
        <v>-2.4454725710508995E-2</v>
      </c>
      <c r="T302" s="1">
        <f>'Asset Prices'!T302/'Asset Prices'!T303-1</f>
        <v>1.6884761502743872E-2</v>
      </c>
      <c r="U302" s="1">
        <f>'Asset Prices'!U302/'Asset Prices'!U303-1</f>
        <v>-2.3704636039437843E-2</v>
      </c>
      <c r="V302" s="1">
        <f>'Asset Prices'!V302/'Asset Prices'!V303-1</f>
        <v>-8.1332300542216185E-3</v>
      </c>
      <c r="W302" s="1">
        <f>'Asset Prices'!W302/'Asset Prices'!W303-1</f>
        <v>1.6339869281045694E-2</v>
      </c>
      <c r="X302" s="1">
        <f>'Asset Prices'!X302/'Asset Prices'!X303-1</f>
        <v>2.4846379909163829E-2</v>
      </c>
      <c r="Y302" s="1">
        <f>'Asset Prices'!Y302/'Asset Prices'!Y303-1</f>
        <v>2.6845637590735327E-2</v>
      </c>
      <c r="Z302" s="1">
        <f>'Asset Prices'!Z302/'Asset Prices'!Z303-1</f>
        <v>-5.6438791732909444E-2</v>
      </c>
      <c r="AA302" s="1">
        <f>'Asset Prices'!AA302/'Asset Prices'!AA303-1</f>
        <v>1.572847682119205E-2</v>
      </c>
      <c r="AB302" s="1">
        <f>'Asset Prices'!AB302/'Asset Prices'!AB303-1</f>
        <v>-2.7559055118110187E-2</v>
      </c>
      <c r="AC302" s="1">
        <f>'Asset Prices'!AC302/'Asset Prices'!AC303-1</f>
        <v>5.5845942228335721E-2</v>
      </c>
      <c r="AD302" s="1">
        <f>'Asset Prices'!AD302/'Asset Prices'!AD303-1</f>
        <v>-0.12246082414393511</v>
      </c>
      <c r="AE302" s="1">
        <f>'Asset Prices'!AE302/'Asset Prices'!AE303-1</f>
        <v>-3.8994356080040982E-2</v>
      </c>
      <c r="AF302" s="1">
        <f>'Asset Prices'!AF302/'Asset Prices'!AF303-1</f>
        <v>-2.2789199900916435E-2</v>
      </c>
      <c r="AG302" s="1">
        <f>'Asset Prices'!AG302/'Asset Prices'!AG303-1</f>
        <v>9.8735701384708108E-2</v>
      </c>
      <c r="AH302" s="1">
        <f>'Asset Prices'!AH302/'Asset Prices'!AH303-1</f>
        <v>3.9832702648867624E-4</v>
      </c>
      <c r="AI302" s="1">
        <f>'Asset Prices'!AI302/'Asset Prices'!AI303-1</f>
        <v>7.5639447408015315E-2</v>
      </c>
      <c r="AJ302" s="1">
        <f>'Asset Prices'!AJ302/'Asset Prices'!AJ303-1</f>
        <v>7.7486009470513206E-3</v>
      </c>
      <c r="AK302" s="1">
        <f>'Asset Prices'!AK302/'Asset Prices'!AK303-1</f>
        <v>8.3689154568744595E-2</v>
      </c>
      <c r="AL302" s="1">
        <f>'Asset Prices'!AL302/'Asset Prices'!AL303-1</f>
        <v>-6.4224960944280207E-3</v>
      </c>
      <c r="AM302" s="1">
        <f>'Asset Prices'!AM302/'Asset Prices'!AM303-1</f>
        <v>-3.9514920288868938E-3</v>
      </c>
      <c r="AN302" s="1">
        <f>'Asset Prices'!AN302/'Asset Prices'!AN303-1</f>
        <v>1.6756309474555087E-2</v>
      </c>
      <c r="AO302" s="1">
        <f>'Asset Prices'!AO302/'Asset Prices'!AO303-1</f>
        <v>-5.6867891513560087E-3</v>
      </c>
      <c r="AP302" s="1">
        <f>'Asset Prices'!AP302/'Asset Prices'!AP303-1</f>
        <v>6.9988801791698307E-4</v>
      </c>
      <c r="AQ302" s="1">
        <f>'Asset Prices'!AQ302/'Asset Prices'!AQ303-1</f>
        <v>2.3364485981307581E-3</v>
      </c>
      <c r="AR302" s="1">
        <f>'Asset Prices'!AR302/'Asset Prices'!AR303-1</f>
        <v>-3.8912909203211887E-2</v>
      </c>
      <c r="AS302" s="1">
        <f>'Asset Prices'!AS302/'Asset Prices'!AS303-1</f>
        <v>8.0134964150146981E-3</v>
      </c>
      <c r="AT302" s="1">
        <f>'Asset Prices'!AT302/'Asset Prices'!AT303-1</f>
        <v>-1.3530443497870137E-2</v>
      </c>
      <c r="AU302" s="1">
        <f>'Asset Prices'!AU302/'Asset Prices'!AU303-1</f>
        <v>-9.7414487658391558E-3</v>
      </c>
      <c r="AV302" s="1">
        <f>'Asset Prices'!AV302/'Asset Prices'!AV303-1</f>
        <v>-1.4029850746268613E-2</v>
      </c>
      <c r="AW302" s="1">
        <f>'Asset Prices'!AW302/'Asset Prices'!AW303-1</f>
        <v>4.2564511838254493E-3</v>
      </c>
      <c r="AX302" s="1">
        <f>'Asset Prices'!AX302/'Asset Prices'!AX303-1</f>
        <v>3.3912099837221987E-2</v>
      </c>
      <c r="AY302" s="1">
        <f>'Asset Prices'!AY302/'Asset Prices'!AY303-1</f>
        <v>4.6560111188325148E-2</v>
      </c>
      <c r="AZ302" s="1">
        <f>'Asset Prices'!AZ302/'Asset Prices'!AZ303-1</f>
        <v>-2.0593080724876645E-3</v>
      </c>
      <c r="BA302" s="1">
        <f>'Asset Prices'!BA302/'Asset Prices'!BA303-1</f>
        <v>0</v>
      </c>
      <c r="BB302" s="1">
        <f>'Asset Prices'!BB302/'Asset Prices'!BB303-1</f>
        <v>-4.7460844803048907E-4</v>
      </c>
      <c r="BC302" s="1">
        <f>'Asset Prices'!BC302/'Asset Prices'!BC303-1</f>
        <v>2.2661499975474619E-2</v>
      </c>
      <c r="BD302" s="1">
        <f>'Asset Prices'!BD302/'Asset Prices'!BD303-1</f>
        <v>3.1861069328593006E-2</v>
      </c>
    </row>
    <row r="303" spans="3:56" x14ac:dyDescent="0.25">
      <c r="C303" s="38">
        <f>'Asset Prices'!C303</f>
        <v>42250</v>
      </c>
      <c r="D303" s="1">
        <f>'Asset Prices'!D303/'Asset Prices'!D304-1</f>
        <v>-2.7624309392265234E-2</v>
      </c>
      <c r="E303" s="1">
        <f>'Asset Prices'!E303/'Asset Prices'!E304-1</f>
        <v>-1.7617695996868799E-3</v>
      </c>
      <c r="F303" s="1">
        <f>'Asset Prices'!F303/'Asset Prices'!F304-1</f>
        <v>-1.5716568993074165E-2</v>
      </c>
      <c r="G303" s="1">
        <f>'Asset Prices'!G303/'Asset Prices'!G304-1</f>
        <v>2.1727322107549796E-3</v>
      </c>
      <c r="H303" s="1">
        <f>'Asset Prices'!H303/'Asset Prices'!H304-1</f>
        <v>-1.5992598466825214E-2</v>
      </c>
      <c r="I303" s="1">
        <f>'Asset Prices'!I303/'Asset Prices'!I304-1</f>
        <v>-1.7608380697648474E-2</v>
      </c>
      <c r="J303" s="1">
        <f>'Asset Prices'!J303/'Asset Prices'!J304-1</f>
        <v>-2.2582359192348522E-2</v>
      </c>
      <c r="K303" s="1">
        <f>'Asset Prices'!K303/'Asset Prices'!K304-1</f>
        <v>-2.6332542392499492E-2</v>
      </c>
      <c r="L303" s="1">
        <f>'Asset Prices'!L303/'Asset Prices'!L304-1</f>
        <v>-0.14108448070712221</v>
      </c>
      <c r="M303" s="1">
        <f>'Asset Prices'!M303/'Asset Prices'!M304-1</f>
        <v>-9.1116173120728838E-3</v>
      </c>
      <c r="N303" s="1">
        <f>'Asset Prices'!N303/'Asset Prices'!N304-1</f>
        <v>-4.6275226061440966E-2</v>
      </c>
      <c r="O303" s="1">
        <f>'Asset Prices'!O303/'Asset Prices'!O304-1</f>
        <v>0</v>
      </c>
      <c r="P303" s="1">
        <f>'Asset Prices'!P303/'Asset Prices'!P304-1</f>
        <v>1.5428211586901774E-2</v>
      </c>
      <c r="Q303" s="1">
        <f>'Asset Prices'!Q303/'Asset Prices'!Q304-1</f>
        <v>-2.974304822245688E-2</v>
      </c>
      <c r="R303" s="1">
        <f>'Asset Prices'!R303/'Asset Prices'!R304-1</f>
        <v>-2.0882352941176463E-2</v>
      </c>
      <c r="S303" s="1">
        <f>'Asset Prices'!S303/'Asset Prices'!S304-1</f>
        <v>-4.6929133858267691E-2</v>
      </c>
      <c r="T303" s="1">
        <f>'Asset Prices'!T303/'Asset Prices'!T304-1</f>
        <v>-5.6250878919994474E-4</v>
      </c>
      <c r="U303" s="1">
        <f>'Asset Prices'!U303/'Asset Prices'!U304-1</f>
        <v>8.6754126110877294E-3</v>
      </c>
      <c r="V303" s="1">
        <f>'Asset Prices'!V303/'Asset Prices'!V304-1</f>
        <v>6.4314948353147994E-3</v>
      </c>
      <c r="W303" s="1">
        <f>'Asset Prices'!W303/'Asset Prices'!W304-1</f>
        <v>2.5698324022346286E-2</v>
      </c>
      <c r="X303" s="1">
        <f>'Asset Prices'!X303/'Asset Prices'!X304-1</f>
        <v>3.2162958992225654E-3</v>
      </c>
      <c r="Y303" s="1">
        <f>'Asset Prices'!Y303/'Asset Prices'!Y304-1</f>
        <v>-3.0368763572597102E-2</v>
      </c>
      <c r="Z303" s="1">
        <f>'Asset Prices'!Z303/'Asset Prices'!Z304-1</f>
        <v>-8.6682427107958038E-3</v>
      </c>
      <c r="AA303" s="1">
        <f>'Asset Prices'!AA303/'Asset Prices'!AA304-1</f>
        <v>-1.9480519480519543E-2</v>
      </c>
      <c r="AB303" s="1">
        <f>'Asset Prices'!AB303/'Asset Prices'!AB304-1</f>
        <v>4.9586776859504189E-2</v>
      </c>
      <c r="AC303" s="1">
        <f>'Asset Prices'!AC303/'Asset Prices'!AC304-1</f>
        <v>-3.9630118890356725E-2</v>
      </c>
      <c r="AD303" s="1">
        <f>'Asset Prices'!AD303/'Asset Prices'!AD304-1</f>
        <v>-3.3922063358564625E-2</v>
      </c>
      <c r="AE303" s="1">
        <f>'Asset Prices'!AE303/'Asset Prices'!AE304-1</f>
        <v>-7.6903358113311615E-4</v>
      </c>
      <c r="AF303" s="1">
        <f>'Asset Prices'!AF303/'Asset Prices'!AF304-1</f>
        <v>-4.4389642416768904E-3</v>
      </c>
      <c r="AG303" s="1">
        <f>'Asset Prices'!AG303/'Asset Prices'!AG304-1</f>
        <v>-6.0168471720822847E-4</v>
      </c>
      <c r="AH303" s="1">
        <f>'Asset Prices'!AH303/'Asset Prices'!AH304-1</f>
        <v>1.229838709677411E-2</v>
      </c>
      <c r="AI303" s="1">
        <f>'Asset Prices'!AI303/'Asset Prices'!AI304-1</f>
        <v>-9.4838097818724654E-3</v>
      </c>
      <c r="AJ303" s="1">
        <f>'Asset Prices'!AJ303/'Asset Prices'!AJ304-1</f>
        <v>1.1759581881533032E-2</v>
      </c>
      <c r="AK303" s="1">
        <f>'Asset Prices'!AK303/'Asset Prices'!AK304-1</f>
        <v>4.647006255585362E-2</v>
      </c>
      <c r="AL303" s="1">
        <f>'Asset Prices'!AL303/'Asset Prices'!AL304-1</f>
        <v>-3.7748454985802593E-2</v>
      </c>
      <c r="AM303" s="1">
        <f>'Asset Prices'!AM303/'Asset Prices'!AM304-1</f>
        <v>-1.1848660293523605E-2</v>
      </c>
      <c r="AN303" s="1">
        <f>'Asset Prices'!AN303/'Asset Prices'!AN304-1</f>
        <v>-4.3529877324891109E-2</v>
      </c>
      <c r="AO303" s="1">
        <f>'Asset Prices'!AO303/'Asset Prices'!AO304-1</f>
        <v>-1.0175362632604434E-2</v>
      </c>
      <c r="AP303" s="1">
        <f>'Asset Prices'!AP303/'Asset Prices'!AP304-1</f>
        <v>0</v>
      </c>
      <c r="AQ303" s="1">
        <f>'Asset Prices'!AQ303/'Asset Prices'!AQ304-1</f>
        <v>-6.7247820672478142E-2</v>
      </c>
      <c r="AR303" s="1">
        <f>'Asset Prices'!AR303/'Asset Prices'!AR304-1</f>
        <v>-3.0538922155688653E-2</v>
      </c>
      <c r="AS303" s="1">
        <f>'Asset Prices'!AS303/'Asset Prices'!AS304-1</f>
        <v>-7.9044474655272867E-2</v>
      </c>
      <c r="AT303" s="1">
        <f>'Asset Prices'!AT303/'Asset Prices'!AT304-1</f>
        <v>-9.6774193548386789E-3</v>
      </c>
      <c r="AU303" s="1">
        <f>'Asset Prices'!AU303/'Asset Prices'!AU304-1</f>
        <v>-4.491080797481628E-2</v>
      </c>
      <c r="AV303" s="1">
        <f>'Asset Prices'!AV303/'Asset Prices'!AV304-1</f>
        <v>-0.12749055866649306</v>
      </c>
      <c r="AW303" s="1">
        <f>'Asset Prices'!AW303/'Asset Prices'!AW304-1</f>
        <v>-2.1857923497267673E-2</v>
      </c>
      <c r="AX303" s="1">
        <f>'Asset Prices'!AX303/'Asset Prices'!AX304-1</f>
        <v>-5.7047838321821587E-2</v>
      </c>
      <c r="AY303" s="1">
        <f>'Asset Prices'!AY303/'Asset Prices'!AY304-1</f>
        <v>2.4928774928774988E-2</v>
      </c>
      <c r="AZ303" s="1">
        <f>'Asset Prices'!AZ303/'Asset Prices'!AZ304-1</f>
        <v>-2.0550760378134081E-3</v>
      </c>
      <c r="BA303" s="1">
        <f>'Asset Prices'!BA303/'Asset Prices'!BA304-1</f>
        <v>4.0456050018387035E-3</v>
      </c>
      <c r="BB303" s="1">
        <f>'Asset Prices'!BB303/'Asset Prices'!BB304-1</f>
        <v>-2.7463651050080751E-2</v>
      </c>
      <c r="BC303" s="1">
        <f>'Asset Prices'!BC303/'Asset Prices'!BC304-1</f>
        <v>-2.821869488536155E-2</v>
      </c>
      <c r="BD303" s="1">
        <f>'Asset Prices'!BD303/'Asset Prices'!BD304-1</f>
        <v>-2.6231691078561936E-2</v>
      </c>
    </row>
    <row r="304" spans="3:56" x14ac:dyDescent="0.25">
      <c r="C304" s="38">
        <f>'Asset Prices'!C304</f>
        <v>42243</v>
      </c>
      <c r="D304" s="1">
        <f>'Asset Prices'!D304/'Asset Prices'!D305-1</f>
        <v>-2.0960108181203529E-2</v>
      </c>
      <c r="E304" s="1">
        <f>'Asset Prices'!E304/'Asset Prices'!E305-1</f>
        <v>2.1495700859827993E-2</v>
      </c>
      <c r="F304" s="1">
        <f>'Asset Prices'!F304/'Asset Prices'!F305-1</f>
        <v>2.8495102404275663E-3</v>
      </c>
      <c r="G304" s="1">
        <f>'Asset Prices'!G304/'Asset Prices'!G305-1</f>
        <v>-4.6854776080766269E-2</v>
      </c>
      <c r="H304" s="1">
        <f>'Asset Prices'!H304/'Asset Prices'!H305-1</f>
        <v>-9.8154691794267723E-3</v>
      </c>
      <c r="I304" s="1">
        <f>'Asset Prices'!I304/'Asset Prices'!I305-1</f>
        <v>-9.1651943462897068E-3</v>
      </c>
      <c r="J304" s="1">
        <f>'Asset Prices'!J304/'Asset Prices'!J305-1</f>
        <v>2.396804260985208E-3</v>
      </c>
      <c r="K304" s="1">
        <f>'Asset Prices'!K304/'Asset Prices'!K305-1</f>
        <v>5.0215208034434244E-3</v>
      </c>
      <c r="L304" s="1">
        <f>'Asset Prices'!L304/'Asset Prices'!L305-1</f>
        <v>4.5959640856965134E-2</v>
      </c>
      <c r="M304" s="1">
        <f>'Asset Prices'!M304/'Asset Prices'!M305-1</f>
        <v>-3.8545773105562842E-2</v>
      </c>
      <c r="N304" s="1">
        <f>'Asset Prices'!N304/'Asset Prices'!N305-1</f>
        <v>-1.6954141402248712E-2</v>
      </c>
      <c r="O304" s="1">
        <f>'Asset Prices'!O304/'Asset Prices'!O305-1</f>
        <v>-1.4739600393056107E-2</v>
      </c>
      <c r="P304" s="1">
        <f>'Asset Prices'!P304/'Asset Prices'!P305-1</f>
        <v>-1.2668065594155453E-2</v>
      </c>
      <c r="Q304" s="1">
        <f>'Asset Prices'!Q304/'Asset Prices'!Q305-1</f>
        <v>-2.0682523267838704E-2</v>
      </c>
      <c r="R304" s="1">
        <f>'Asset Prices'!R304/'Asset Prices'!R305-1</f>
        <v>-5.5817828381005241E-2</v>
      </c>
      <c r="S304" s="1">
        <f>'Asset Prices'!S304/'Asset Prices'!S305-1</f>
        <v>-4.854659874138445E-2</v>
      </c>
      <c r="T304" s="1">
        <f>'Asset Prices'!T304/'Asset Prices'!T305-1</f>
        <v>1.5857142857142792E-2</v>
      </c>
      <c r="U304" s="1">
        <f>'Asset Prices'!U304/'Asset Prices'!U305-1</f>
        <v>-3.3537832310838511E-2</v>
      </c>
      <c r="V304" s="1">
        <f>'Asset Prices'!V304/'Asset Prices'!V305-1</f>
        <v>-5.5586232284189241E-2</v>
      </c>
      <c r="W304" s="1">
        <f>'Asset Prices'!W304/'Asset Prices'!W305-1</f>
        <v>0.13903913458479167</v>
      </c>
      <c r="X304" s="1">
        <f>'Asset Prices'!X304/'Asset Prices'!X305-1</f>
        <v>-4.4802867383512579E-2</v>
      </c>
      <c r="Y304" s="1">
        <f>'Asset Prices'!Y304/'Asset Prices'!Y305-1</f>
        <v>-1.178992496258402E-2</v>
      </c>
      <c r="Z304" s="1">
        <f>'Asset Prices'!Z304/'Asset Prices'!Z305-1</f>
        <v>-4.7297297297297369E-2</v>
      </c>
      <c r="AA304" s="1">
        <f>'Asset Prices'!AA304/'Asset Prices'!AA305-1</f>
        <v>-3.6370746969104362E-2</v>
      </c>
      <c r="AB304" s="1">
        <f>'Asset Prices'!AB304/'Asset Prices'!AB305-1</f>
        <v>-3.9682539682539764E-2</v>
      </c>
      <c r="AC304" s="1">
        <f>'Asset Prices'!AC304/'Asset Prices'!AC305-1</f>
        <v>5.4317548746518174E-2</v>
      </c>
      <c r="AD304" s="1">
        <f>'Asset Prices'!AD304/'Asset Prices'!AD305-1</f>
        <v>-3.9062499999999889E-2</v>
      </c>
      <c r="AE304" s="1">
        <f>'Asset Prices'!AE304/'Asset Prices'!AE305-1</f>
        <v>-2.2060666833793041E-2</v>
      </c>
      <c r="AF304" s="1">
        <f>'Asset Prices'!AF304/'Asset Prices'!AF305-1</f>
        <v>-2.2420443587271022E-2</v>
      </c>
      <c r="AG304" s="1">
        <f>'Asset Prices'!AG304/'Asset Prices'!AG305-1</f>
        <v>-0.14943705220061398</v>
      </c>
      <c r="AH304" s="1">
        <f>'Asset Prices'!AH304/'Asset Prices'!AH305-1</f>
        <v>-3.7827352085353927E-2</v>
      </c>
      <c r="AI304" s="1">
        <f>'Asset Prices'!AI304/'Asset Prices'!AI305-1</f>
        <v>-2.7023464276298426E-2</v>
      </c>
      <c r="AJ304" s="1">
        <f>'Asset Prices'!AJ304/'Asset Prices'!AJ305-1</f>
        <v>8.8151658767772423E-2</v>
      </c>
      <c r="AK304" s="1">
        <f>'Asset Prices'!AK304/'Asset Prices'!AK305-1</f>
        <v>-2.5685676969960825E-2</v>
      </c>
      <c r="AL304" s="1">
        <f>'Asset Prices'!AL304/'Asset Prices'!AL305-1</f>
        <v>-3.028830579850994E-2</v>
      </c>
      <c r="AM304" s="1">
        <f>'Asset Prices'!AM304/'Asset Prices'!AM305-1</f>
        <v>-2.6988078082012312E-2</v>
      </c>
      <c r="AN304" s="1">
        <f>'Asset Prices'!AN304/'Asset Prices'!AN305-1</f>
        <v>-1.4046039797112719E-2</v>
      </c>
      <c r="AO304" s="1">
        <f>'Asset Prices'!AO304/'Asset Prices'!AO305-1</f>
        <v>-1.4718430034129759E-2</v>
      </c>
      <c r="AP304" s="1">
        <f>'Asset Prices'!AP304/'Asset Prices'!AP305-1</f>
        <v>-3.8880667294497573E-2</v>
      </c>
      <c r="AQ304" s="1">
        <f>'Asset Prices'!AQ304/'Asset Prices'!AQ305-1</f>
        <v>-2.3295542786148093E-3</v>
      </c>
      <c r="AR304" s="1">
        <f>'Asset Prices'!AR304/'Asset Prices'!AR305-1</f>
        <v>-9.973045822102411E-2</v>
      </c>
      <c r="AS304" s="1">
        <f>'Asset Prices'!AS304/'Asset Prices'!AS305-1</f>
        <v>-2.9040165943805429E-2</v>
      </c>
      <c r="AT304" s="1">
        <f>'Asset Prices'!AT304/'Asset Prices'!AT305-1</f>
        <v>-6.1652281134402243E-3</v>
      </c>
      <c r="AU304" s="1">
        <f>'Asset Prices'!AU304/'Asset Prices'!AU305-1</f>
        <v>-4.3877977434184645E-3</v>
      </c>
      <c r="AV304" s="1">
        <f>'Asset Prices'!AV304/'Asset Prices'!AV305-1</f>
        <v>-4.4662851455585795E-2</v>
      </c>
      <c r="AW304" s="1">
        <f>'Asset Prices'!AW304/'Asset Prices'!AW305-1</f>
        <v>5.2069773496499216E-4</v>
      </c>
      <c r="AX304" s="1">
        <f>'Asset Prices'!AX304/'Asset Prices'!AX305-1</f>
        <v>-1.7839195979899358E-2</v>
      </c>
      <c r="AY304" s="1">
        <f>'Asset Prices'!AY304/'Asset Prices'!AY305-1</f>
        <v>-7.4231177094380429E-3</v>
      </c>
      <c r="AZ304" s="1">
        <f>'Asset Prices'!AZ304/'Asset Prices'!AZ305-1</f>
        <v>-5.8072009291521565E-2</v>
      </c>
      <c r="BA304" s="1">
        <f>'Asset Prices'!BA304/'Asset Prices'!BA305-1</f>
        <v>-2.7191413237924844E-2</v>
      </c>
      <c r="BB304" s="1">
        <f>'Asset Prices'!BB304/'Asset Prices'!BB305-1</f>
        <v>-3.0865578170431673E-2</v>
      </c>
      <c r="BC304" s="1">
        <f>'Asset Prices'!BC304/'Asset Prices'!BC305-1</f>
        <v>-4.6062204437977483E-2</v>
      </c>
      <c r="BD304" s="1">
        <f>'Asset Prices'!BD304/'Asset Prices'!BD305-1</f>
        <v>-2.6066658021009048E-2</v>
      </c>
    </row>
    <row r="305" spans="3:56" x14ac:dyDescent="0.25">
      <c r="C305" s="38">
        <f>'Asset Prices'!C305</f>
        <v>42236</v>
      </c>
      <c r="D305" s="1">
        <f>'Asset Prices'!D305/'Asset Prices'!D306-1</f>
        <v>2.7052617340728169E-4</v>
      </c>
      <c r="E305" s="1">
        <f>'Asset Prices'!E305/'Asset Prices'!E306-1</f>
        <v>-6.9754464285714302E-2</v>
      </c>
      <c r="F305" s="1">
        <f>'Asset Prices'!F305/'Asset Prices'!F306-1</f>
        <v>-1.1443661971830998E-2</v>
      </c>
      <c r="G305" s="1">
        <f>'Asset Prices'!G305/'Asset Prices'!G306-1</f>
        <v>-1.7298397354362782E-2</v>
      </c>
      <c r="H305" s="1">
        <f>'Asset Prices'!H305/'Asset Prices'!H306-1</f>
        <v>-1.7361111111111271E-2</v>
      </c>
      <c r="I305" s="1">
        <f>'Asset Prices'!I305/'Asset Prices'!I306-1</f>
        <v>-3.0718184737236531E-2</v>
      </c>
      <c r="J305" s="1">
        <f>'Asset Prices'!J305/'Asset Prices'!J306-1</f>
        <v>-2.1710811984368195E-2</v>
      </c>
      <c r="K305" s="1">
        <f>'Asset Prices'!K305/'Asset Prices'!K306-1</f>
        <v>-2.6205490314541446E-2</v>
      </c>
      <c r="L305" s="1">
        <f>'Asset Prices'!L305/'Asset Prices'!L306-1</f>
        <v>-9.0842964519518343E-2</v>
      </c>
      <c r="M305" s="1">
        <f>'Asset Prices'!M305/'Asset Prices'!M306-1</f>
        <v>-2.2897496255082417E-2</v>
      </c>
      <c r="N305" s="1">
        <f>'Asset Prices'!N305/'Asset Prices'!N306-1</f>
        <v>-1.0240200434079583E-2</v>
      </c>
      <c r="O305" s="1">
        <f>'Asset Prices'!O305/'Asset Prices'!O306-1</f>
        <v>1.2267904509283722E-2</v>
      </c>
      <c r="P305" s="1">
        <f>'Asset Prices'!P305/'Asset Prices'!P306-1</f>
        <v>8.939073159256461E-3</v>
      </c>
      <c r="Q305" s="1">
        <f>'Asset Prices'!Q305/'Asset Prices'!Q306-1</f>
        <v>-3.6212624584717634E-2</v>
      </c>
      <c r="R305" s="1">
        <f>'Asset Prices'!R305/'Asset Prices'!R306-1</f>
        <v>1.2654668166478977E-2</v>
      </c>
      <c r="S305" s="1">
        <f>'Asset Prices'!S305/'Asset Prices'!S306-1</f>
        <v>6.6365007541477894E-3</v>
      </c>
      <c r="T305" s="1">
        <f>'Asset Prices'!T305/'Asset Prices'!T306-1</f>
        <v>-3.18118948824343E-2</v>
      </c>
      <c r="U305" s="1">
        <f>'Asset Prices'!U305/'Asset Prices'!U306-1</f>
        <v>-7.9442771084337283E-2</v>
      </c>
      <c r="V305" s="1">
        <f>'Asset Prices'!V305/'Asset Prices'!V306-1</f>
        <v>3.6238794583253853E-2</v>
      </c>
      <c r="W305" s="1">
        <f>'Asset Prices'!W305/'Asset Prices'!W306-1</f>
        <v>-8.8300220750552327E-3</v>
      </c>
      <c r="X305" s="1">
        <f>'Asset Prices'!X305/'Asset Prices'!X306-1</f>
        <v>2.3094688221709792E-3</v>
      </c>
      <c r="Y305" s="1">
        <f>'Asset Prices'!Y305/'Asset Prices'!Y306-1</f>
        <v>-8.0184028939459306E-2</v>
      </c>
      <c r="Z305" s="1">
        <f>'Asset Prices'!Z305/'Asset Prices'!Z306-1</f>
        <v>-7.8200692041522468E-2</v>
      </c>
      <c r="AA305" s="1">
        <f>'Asset Prices'!AA305/'Asset Prices'!AA306-1</f>
        <v>-3.6185450433471544E-2</v>
      </c>
      <c r="AB305" s="1">
        <f>'Asset Prices'!AB305/'Asset Prices'!AB306-1</f>
        <v>-6.6666666666666763E-2</v>
      </c>
      <c r="AC305" s="1">
        <f>'Asset Prices'!AC305/'Asset Prices'!AC306-1</f>
        <v>-0.10362047440699118</v>
      </c>
      <c r="AD305" s="1">
        <f>'Asset Prices'!AD305/'Asset Prices'!AD306-1</f>
        <v>-2.7763226820324838E-2</v>
      </c>
      <c r="AE305" s="1">
        <f>'Asset Prices'!AE305/'Asset Prices'!AE306-1</f>
        <v>-2.3978468314166834E-2</v>
      </c>
      <c r="AF305" s="1">
        <f>'Asset Prices'!AF305/'Asset Prices'!AF306-1</f>
        <v>-4.2916474388555725E-2</v>
      </c>
      <c r="AG305" s="1">
        <f>'Asset Prices'!AG305/'Asset Prices'!AG306-1</f>
        <v>1.5064935064935003E-2</v>
      </c>
      <c r="AH305" s="1">
        <f>'Asset Prices'!AH305/'Asset Prices'!AH306-1</f>
        <v>2.2006344171292547E-2</v>
      </c>
      <c r="AI305" s="1">
        <f>'Asset Prices'!AI305/'Asset Prices'!AI306-1</f>
        <v>-2.1034972254484363E-2</v>
      </c>
      <c r="AJ305" s="1">
        <f>'Asset Prices'!AJ305/'Asset Prices'!AJ306-1</f>
        <v>1.7357762777242103E-2</v>
      </c>
      <c r="AK305" s="1">
        <f>'Asset Prices'!AK305/'Asset Prices'!AK306-1</f>
        <v>-3.568429890848035E-2</v>
      </c>
      <c r="AL305" s="1">
        <f>'Asset Prices'!AL305/'Asset Prices'!AL306-1</f>
        <v>1.8980029707872603E-2</v>
      </c>
      <c r="AM305" s="1">
        <f>'Asset Prices'!AM305/'Asset Prices'!AM306-1</f>
        <v>-1.5541368414264456E-2</v>
      </c>
      <c r="AN305" s="1">
        <f>'Asset Prices'!AN305/'Asset Prices'!AN306-1</f>
        <v>-4.3702049140527111E-3</v>
      </c>
      <c r="AO305" s="1">
        <f>'Asset Prices'!AO305/'Asset Prices'!AO306-1</f>
        <v>-1.6365925304238194E-2</v>
      </c>
      <c r="AP305" s="1">
        <f>'Asset Prices'!AP305/'Asset Prices'!AP306-1</f>
        <v>5.3280430777951082E-2</v>
      </c>
      <c r="AQ305" s="1">
        <f>'Asset Prices'!AQ305/'Asset Prices'!AQ306-1</f>
        <v>-6.6405683630563983E-2</v>
      </c>
      <c r="AR305" s="1">
        <f>'Asset Prices'!AR305/'Asset Prices'!AR306-1</f>
        <v>6.060606060606033E-2</v>
      </c>
      <c r="AS305" s="1">
        <f>'Asset Prices'!AS305/'Asset Prices'!AS306-1</f>
        <v>-2.1947620804131263E-2</v>
      </c>
      <c r="AT305" s="1">
        <f>'Asset Prices'!AT305/'Asset Prices'!AT306-1</f>
        <v>5.2699896157839987E-2</v>
      </c>
      <c r="AU305" s="1">
        <f>'Asset Prices'!AU305/'Asset Prices'!AU306-1</f>
        <v>-2.7235772357723453E-2</v>
      </c>
      <c r="AV305" s="1">
        <f>'Asset Prices'!AV305/'Asset Prices'!AV306-1</f>
        <v>3.9441355230828812E-2</v>
      </c>
      <c r="AW305" s="1">
        <f>'Asset Prices'!AW305/'Asset Prices'!AW306-1</f>
        <v>1.3991552270327112E-2</v>
      </c>
      <c r="AX305" s="1">
        <f>'Asset Prices'!AX305/'Asset Prices'!AX306-1</f>
        <v>-7.4633806091606636E-2</v>
      </c>
      <c r="AY305" s="1">
        <f>'Asset Prices'!AY305/'Asset Prices'!AY306-1</f>
        <v>-1.2565445026178068E-2</v>
      </c>
      <c r="AZ305" s="1">
        <f>'Asset Prices'!AZ305/'Asset Prices'!AZ306-1</f>
        <v>-4.8793960596575259E-2</v>
      </c>
      <c r="BA305" s="1">
        <f>'Asset Prices'!BA305/'Asset Prices'!BA306-1</f>
        <v>-1.5151515151515138E-2</v>
      </c>
      <c r="BB305" s="1">
        <f>'Asset Prices'!BB305/'Asset Prices'!BB306-1</f>
        <v>7.2088308177518101E-3</v>
      </c>
      <c r="BC305" s="1">
        <f>'Asset Prices'!BC305/'Asset Prices'!BC306-1</f>
        <v>-5.7633800402793867E-2</v>
      </c>
      <c r="BD305" s="1">
        <f>'Asset Prices'!BD305/'Asset Prices'!BD306-1</f>
        <v>-3.0794369029663149E-2</v>
      </c>
    </row>
    <row r="306" spans="3:56" x14ac:dyDescent="0.25">
      <c r="C306" s="38">
        <f>'Asset Prices'!C306</f>
        <v>42229</v>
      </c>
      <c r="D306" s="1">
        <f>'Asset Prices'!D306/'Asset Prices'!D307-1</f>
        <v>4.7567273715685143E-3</v>
      </c>
      <c r="E306" s="1">
        <f>'Asset Prices'!E306/'Asset Prices'!E307-1</f>
        <v>-9.488714877936455E-3</v>
      </c>
      <c r="F306" s="1">
        <f>'Asset Prices'!F306/'Asset Prices'!F307-1</f>
        <v>-1.3203613620569876E-2</v>
      </c>
      <c r="G306" s="1">
        <f>'Asset Prices'!G306/'Asset Prices'!G307-1</f>
        <v>-2.5432349949128241E-4</v>
      </c>
      <c r="H306" s="1">
        <f>'Asset Prices'!H306/'Asset Prices'!H307-1</f>
        <v>3.8729666924866013E-3</v>
      </c>
      <c r="I306" s="1">
        <f>'Asset Prices'!I306/'Asset Prices'!I307-1</f>
        <v>-1.7767031118587018E-2</v>
      </c>
      <c r="J306" s="1">
        <f>'Asset Prices'!J306/'Asset Prices'!J307-1</f>
        <v>1.7371666811438757E-4</v>
      </c>
      <c r="K306" s="1">
        <f>'Asset Prices'!K306/'Asset Prices'!K307-1</f>
        <v>3.7774336116025431E-4</v>
      </c>
      <c r="L306" s="1">
        <f>'Asset Prices'!L306/'Asset Prices'!L307-1</f>
        <v>-2.1510478449980219E-2</v>
      </c>
      <c r="M306" s="1">
        <f>'Asset Prices'!M306/'Asset Prices'!M307-1</f>
        <v>2.3595023595024411E-3</v>
      </c>
      <c r="N306" s="1">
        <f>'Asset Prices'!N306/'Asset Prices'!N307-1</f>
        <v>2.4412444975005609E-2</v>
      </c>
      <c r="O306" s="1">
        <f>'Asset Prices'!O306/'Asset Prices'!O307-1</f>
        <v>-1.8655097613882843E-2</v>
      </c>
      <c r="P306" s="1">
        <f>'Asset Prices'!P306/'Asset Prices'!P307-1</f>
        <v>2.6976968916089472E-2</v>
      </c>
      <c r="Q306" s="1">
        <f>'Asset Prices'!Q306/'Asset Prices'!Q307-1</f>
        <v>-1.2143091565474107E-2</v>
      </c>
      <c r="R306" s="1">
        <f>'Asset Prices'!R306/'Asset Prices'!R307-1</f>
        <v>2.0958943439563615E-2</v>
      </c>
      <c r="S306" s="1">
        <f>'Asset Prices'!S306/'Asset Prices'!S307-1</f>
        <v>3.3032097226550095E-2</v>
      </c>
      <c r="T306" s="1">
        <f>'Asset Prices'!T306/'Asset Prices'!T307-1</f>
        <v>1.9314817425630793E-2</v>
      </c>
      <c r="U306" s="1">
        <f>'Asset Prices'!U306/'Asset Prices'!U307-1</f>
        <v>-5.1936462609316503E-2</v>
      </c>
      <c r="V306" s="1">
        <f>'Asset Prices'!V306/'Asset Prices'!V307-1</f>
        <v>4.7552447552447585E-2</v>
      </c>
      <c r="W306" s="1">
        <f>'Asset Prices'!W306/'Asset Prices'!W307-1</f>
        <v>1.9286403085824633E-2</v>
      </c>
      <c r="X306" s="1">
        <f>'Asset Prices'!X306/'Asset Prices'!X307-1</f>
        <v>3.067971436128003E-2</v>
      </c>
      <c r="Y306" s="1">
        <f>'Asset Prices'!Y306/'Asset Prices'!Y307-1</f>
        <v>-3.2432432436237169E-2</v>
      </c>
      <c r="Z306" s="1">
        <f>'Asset Prices'!Z306/'Asset Prices'!Z307-1</f>
        <v>-0.14141414141414133</v>
      </c>
      <c r="AA306" s="1">
        <f>'Asset Prices'!AA306/'Asset Prices'!AA307-1</f>
        <v>-4.502814258911747E-3</v>
      </c>
      <c r="AB306" s="1">
        <f>'Asset Prices'!AB306/'Asset Prices'!AB307-1</f>
        <v>0.1020408163265305</v>
      </c>
      <c r="AC306" s="1">
        <f>'Asset Prices'!AC306/'Asset Prices'!AC307-1</f>
        <v>-0.10322436184505146</v>
      </c>
      <c r="AD306" s="1">
        <f>'Asset Prices'!AD306/'Asset Prices'!AD307-1</f>
        <v>-9.7826086956521729E-2</v>
      </c>
      <c r="AE306" s="1">
        <f>'Asset Prices'!AE306/'Asset Prices'!AE307-1</f>
        <v>2.7400703871292009E-2</v>
      </c>
      <c r="AF306" s="1">
        <f>'Asset Prices'!AF306/'Asset Prices'!AF307-1</f>
        <v>-2.9121863799283054E-2</v>
      </c>
      <c r="AG306" s="1">
        <f>'Asset Prices'!AG306/'Asset Prices'!AG307-1</f>
        <v>-3.5087719298245612E-2</v>
      </c>
      <c r="AH306" s="1">
        <f>'Asset Prices'!AH306/'Asset Prices'!AH307-1</f>
        <v>8.799999999999919E-3</v>
      </c>
      <c r="AI306" s="1">
        <f>'Asset Prices'!AI306/'Asset Prices'!AI307-1</f>
        <v>1.3073604392731086E-2</v>
      </c>
      <c r="AJ306" s="1">
        <f>'Asset Prices'!AJ306/'Asset Prices'!AJ307-1</f>
        <v>2.5210084033613356E-2</v>
      </c>
      <c r="AK306" s="1">
        <f>'Asset Prices'!AK306/'Asset Prices'!AK307-1</f>
        <v>2.3635582294800228E-2</v>
      </c>
      <c r="AL306" s="1">
        <f>'Asset Prices'!AL306/'Asset Prices'!AL307-1</f>
        <v>-1.6501650165012816E-4</v>
      </c>
      <c r="AM306" s="1">
        <f>'Asset Prices'!AM306/'Asset Prices'!AM307-1</f>
        <v>-7.9964176049129865E-3</v>
      </c>
      <c r="AN306" s="1">
        <f>'Asset Prices'!AN306/'Asset Prices'!AN307-1</f>
        <v>1.6285037504934818E-2</v>
      </c>
      <c r="AO306" s="1">
        <f>'Asset Prices'!AO306/'Asset Prices'!AO307-1</f>
        <v>2.2088784044606458E-2</v>
      </c>
      <c r="AP306" s="1">
        <f>'Asset Prices'!AP306/'Asset Prices'!AP307-1</f>
        <v>1.5541804576197915E-2</v>
      </c>
      <c r="AQ306" s="1">
        <f>'Asset Prices'!AQ306/'Asset Prices'!AQ307-1</f>
        <v>9.6618357487923134E-3</v>
      </c>
      <c r="AR306" s="1">
        <f>'Asset Prices'!AR306/'Asset Prices'!AR307-1</f>
        <v>6.9070904645476938E-2</v>
      </c>
      <c r="AS306" s="1">
        <f>'Asset Prices'!AS306/'Asset Prices'!AS307-1</f>
        <v>-2.1299638989169645E-2</v>
      </c>
      <c r="AT306" s="1">
        <f>'Asset Prices'!AT306/'Asset Prices'!AT307-1</f>
        <v>6.2620689655172423E-2</v>
      </c>
      <c r="AU306" s="1">
        <f>'Asset Prices'!AU306/'Asset Prices'!AU307-1</f>
        <v>-1.7244823223916406E-2</v>
      </c>
      <c r="AV306" s="1">
        <f>'Asset Prices'!AV306/'Asset Prices'!AV307-1</f>
        <v>-3.4793814432989567E-3</v>
      </c>
      <c r="AW306" s="1">
        <f>'Asset Prices'!AW306/'Asset Prices'!AW307-1</f>
        <v>2.4891774891774965E-2</v>
      </c>
      <c r="AX306" s="1">
        <f>'Asset Prices'!AX306/'Asset Prices'!AX307-1</f>
        <v>-6.2384473197782953E-3</v>
      </c>
      <c r="AY306" s="1">
        <f>'Asset Prices'!AY306/'Asset Prices'!AY307-1</f>
        <v>3.5417419588001486E-2</v>
      </c>
      <c r="AZ306" s="1">
        <f>'Asset Prices'!AZ306/'Asset Prices'!AZ307-1</f>
        <v>-3.4317211948790893E-2</v>
      </c>
      <c r="BA306" s="1">
        <f>'Asset Prices'!BA306/'Asset Prices'!BA307-1</f>
        <v>2.8260869565217561E-2</v>
      </c>
      <c r="BB306" s="1">
        <f>'Asset Prices'!BB306/'Asset Prices'!BB307-1</f>
        <v>3.6174542165952062E-3</v>
      </c>
      <c r="BC306" s="1">
        <f>'Asset Prices'!BC306/'Asset Prices'!BC307-1</f>
        <v>4.2016431505626173E-2</v>
      </c>
      <c r="BD306" s="1">
        <f>'Asset Prices'!BD306/'Asset Prices'!BD307-1</f>
        <v>3.742339288042773E-2</v>
      </c>
    </row>
    <row r="307" spans="3:56" x14ac:dyDescent="0.25">
      <c r="C307" s="38">
        <f>'Asset Prices'!C307</f>
        <v>42222</v>
      </c>
      <c r="D307" s="1">
        <f>'Asset Prices'!D307/'Asset Prices'!D308-1</f>
        <v>-3.6658811207122222E-2</v>
      </c>
      <c r="E307" s="1">
        <f>'Asset Prices'!E307/'Asset Prices'!E308-1</f>
        <v>-9.5642755977672245E-2</v>
      </c>
      <c r="F307" s="1">
        <f>'Asset Prices'!F307/'Asset Prices'!F308-1</f>
        <v>9.5643857055915937E-4</v>
      </c>
      <c r="G307" s="1">
        <f>'Asset Prices'!G307/'Asset Prices'!G308-1</f>
        <v>-8.3228247162673297E-3</v>
      </c>
      <c r="H307" s="1">
        <f>'Asset Prices'!H307/'Asset Prices'!H308-1</f>
        <v>-1.1359285258455643E-2</v>
      </c>
      <c r="I307" s="1">
        <f>'Asset Prices'!I307/'Asset Prices'!I308-1</f>
        <v>-9.4527885726281013E-4</v>
      </c>
      <c r="J307" s="1">
        <f>'Asset Prices'!J307/'Asset Prices'!J308-1</f>
        <v>-5.9164827980714318E-2</v>
      </c>
      <c r="K307" s="1">
        <f>'Asset Prices'!K307/'Asset Prices'!K308-1</f>
        <v>-1.3600119233922014E-2</v>
      </c>
      <c r="L307" s="1">
        <f>'Asset Prices'!L307/'Asset Prices'!L308-1</f>
        <v>0.13347077805665108</v>
      </c>
      <c r="M307" s="1">
        <f>'Asset Prices'!M307/'Asset Prices'!M308-1</f>
        <v>-5.5460750853243423E-3</v>
      </c>
      <c r="N307" s="1">
        <f>'Asset Prices'!N307/'Asset Prices'!N308-1</f>
        <v>8.4115805946791689E-3</v>
      </c>
      <c r="O307" s="1">
        <f>'Asset Prices'!O307/'Asset Prices'!O308-1</f>
        <v>-7.107473616196347E-3</v>
      </c>
      <c r="P307" s="1">
        <f>'Asset Prices'!P307/'Asset Prices'!P308-1</f>
        <v>4.3529411764706039E-2</v>
      </c>
      <c r="Q307" s="1">
        <f>'Asset Prices'!Q307/'Asset Prices'!Q308-1</f>
        <v>-2.2771007055805037E-2</v>
      </c>
      <c r="R307" s="1">
        <f>'Asset Prices'!R307/'Asset Prices'!R308-1</f>
        <v>1.8123355743934422E-2</v>
      </c>
      <c r="S307" s="1">
        <f>'Asset Prices'!S307/'Asset Prices'!S308-1</f>
        <v>1.8406854966677377E-2</v>
      </c>
      <c r="T307" s="1">
        <f>'Asset Prices'!T307/'Asset Prices'!T308-1</f>
        <v>-2.3540748898678299E-2</v>
      </c>
      <c r="U307" s="1">
        <f>'Asset Prices'!U307/'Asset Prices'!U308-1</f>
        <v>3.5707909301918583E-4</v>
      </c>
      <c r="V307" s="1">
        <f>'Asset Prices'!V307/'Asset Prices'!V308-1</f>
        <v>-4.0820237638942158E-2</v>
      </c>
      <c r="W307" s="1">
        <f>'Asset Prices'!W307/'Asset Prices'!W308-1</f>
        <v>-3.1444582814445954E-2</v>
      </c>
      <c r="X307" s="1">
        <f>'Asset Prices'!X307/'Asset Prices'!X308-1</f>
        <v>4.1310933627100033E-2</v>
      </c>
      <c r="Y307" s="1">
        <f>'Asset Prices'!Y307/'Asset Prices'!Y308-1</f>
        <v>-7.9601990034963155E-2</v>
      </c>
      <c r="Z307" s="1">
        <f>'Asset Prices'!Z307/'Asset Prices'!Z308-1</f>
        <v>1.7533252720677073E-2</v>
      </c>
      <c r="AA307" s="1">
        <f>'Asset Prices'!AA307/'Asset Prices'!AA308-1</f>
        <v>-6.7089079388743533E-3</v>
      </c>
      <c r="AB307" s="1">
        <f>'Asset Prices'!AB307/'Asset Prices'!AB308-1</f>
        <v>-8.0971659919027994E-3</v>
      </c>
      <c r="AC307" s="1">
        <f>'Asset Prices'!AC307/'Asset Prices'!AC308-1</f>
        <v>-6.8224494053828577E-2</v>
      </c>
      <c r="AD307" s="1">
        <f>'Asset Prices'!AD307/'Asset Prices'!AD308-1</f>
        <v>-2.8020211299954023E-2</v>
      </c>
      <c r="AE307" s="1">
        <f>'Asset Prices'!AE307/'Asset Prices'!AE308-1</f>
        <v>-0.11737297537164404</v>
      </c>
      <c r="AF307" s="1">
        <f>'Asset Prices'!AF307/'Asset Prices'!AF308-1</f>
        <v>4.2260098062105955E-2</v>
      </c>
      <c r="AG307" s="1">
        <f>'Asset Prices'!AG307/'Asset Prices'!AG308-1</f>
        <v>1.7857142857142794E-2</v>
      </c>
      <c r="AH307" s="1">
        <f>'Asset Prices'!AH307/'Asset Prices'!AH308-1</f>
        <v>-7.9365079365079083E-3</v>
      </c>
      <c r="AI307" s="1">
        <f>'Asset Prices'!AI307/'Asset Prices'!AI308-1</f>
        <v>7.2039243167484335E-2</v>
      </c>
      <c r="AJ307" s="1">
        <f>'Asset Prices'!AJ307/'Asset Prices'!AJ308-1</f>
        <v>-0.14170555791260075</v>
      </c>
      <c r="AK307" s="1">
        <f>'Asset Prices'!AK307/'Asset Prices'!AK308-1</f>
        <v>1.7935258092738326E-2</v>
      </c>
      <c r="AL307" s="1">
        <f>'Asset Prices'!AL307/'Asset Prices'!AL308-1</f>
        <v>1.7974130690408208E-2</v>
      </c>
      <c r="AM307" s="1">
        <f>'Asset Prices'!AM307/'Asset Prices'!AM308-1</f>
        <v>-2.8827037773359931E-2</v>
      </c>
      <c r="AN307" s="1">
        <f>'Asset Prices'!AN307/'Asset Prices'!AN308-1</f>
        <v>-5.1060487038492308E-3</v>
      </c>
      <c r="AO307" s="1">
        <f>'Asset Prices'!AO307/'Asset Prices'!AO308-1</f>
        <v>-8.5708163702591378E-4</v>
      </c>
      <c r="AP307" s="1">
        <f>'Asset Prices'!AP307/'Asset Prices'!AP308-1</f>
        <v>-1.8672795173801937E-3</v>
      </c>
      <c r="AQ307" s="1">
        <f>'Asset Prices'!AQ307/'Asset Prices'!AQ308-1</f>
        <v>-1.3574007220216622E-2</v>
      </c>
      <c r="AR307" s="1">
        <f>'Asset Prices'!AR307/'Asset Prices'!AR308-1</f>
        <v>-5.3788316946211667E-2</v>
      </c>
      <c r="AS307" s="1">
        <f>'Asset Prices'!AS307/'Asset Prices'!AS308-1</f>
        <v>-1.685891748003554E-2</v>
      </c>
      <c r="AT307" s="1">
        <f>'Asset Prices'!AT307/'Asset Prices'!AT308-1</f>
        <v>5.2689961175818034E-3</v>
      </c>
      <c r="AU307" s="1">
        <f>'Asset Prices'!AU307/'Asset Prices'!AU308-1</f>
        <v>-1.1907894736842173E-2</v>
      </c>
      <c r="AV307" s="1">
        <f>'Asset Prices'!AV307/'Asset Prices'!AV308-1</f>
        <v>1.2888258796217578E-4</v>
      </c>
      <c r="AW307" s="1">
        <f>'Asset Prices'!AW307/'Asset Prices'!AW308-1</f>
        <v>0.14711359404096847</v>
      </c>
      <c r="AX307" s="1">
        <f>'Asset Prices'!AX307/'Asset Prices'!AX308-1</f>
        <v>-9.3802345058626391E-2</v>
      </c>
      <c r="AY307" s="1">
        <f>'Asset Prices'!AY307/'Asset Prices'!AY308-1</f>
        <v>-8.2437275985662861E-3</v>
      </c>
      <c r="AZ307" s="1">
        <f>'Asset Prices'!AZ307/'Asset Prices'!AZ308-1</f>
        <v>2.4781341107871668E-2</v>
      </c>
      <c r="BA307" s="1">
        <f>'Asset Prices'!BA307/'Asset Prices'!BA308-1</f>
        <v>1.7699115044247815E-2</v>
      </c>
      <c r="BB307" s="1">
        <f>'Asset Prices'!BB307/'Asset Prices'!BB308-1</f>
        <v>1.1317338162064594E-3</v>
      </c>
      <c r="BC307" s="1">
        <f>'Asset Prices'!BC307/'Asset Prices'!BC308-1</f>
        <v>5.5966806544391456E-2</v>
      </c>
      <c r="BD307" s="1">
        <f>'Asset Prices'!BD307/'Asset Prices'!BD308-1</f>
        <v>2.0492348636061086E-2</v>
      </c>
    </row>
    <row r="308" spans="3:56" x14ac:dyDescent="0.25">
      <c r="C308" s="38">
        <f>'Asset Prices'!C308</f>
        <v>42215</v>
      </c>
      <c r="D308" s="1">
        <f>'Asset Prices'!D308/'Asset Prices'!D309-1</f>
        <v>6.452961672473867E-2</v>
      </c>
      <c r="E308" s="1">
        <f>'Asset Prices'!E308/'Asset Prices'!E309-1</f>
        <v>1.0353535353535337E-2</v>
      </c>
      <c r="F308" s="1">
        <f>'Asset Prices'!F308/'Asset Prices'!F309-1</f>
        <v>8.8596491228070118E-3</v>
      </c>
      <c r="G308" s="1">
        <f>'Asset Prices'!G308/'Asset Prices'!G309-1</f>
        <v>1.6666666666666607E-2</v>
      </c>
      <c r="H308" s="1">
        <f>'Asset Prices'!H308/'Asset Prices'!H309-1</f>
        <v>1.9120707596253839E-2</v>
      </c>
      <c r="I308" s="1">
        <f>'Asset Prices'!I308/'Asset Prices'!I309-1</f>
        <v>-2.4098910310142996E-3</v>
      </c>
      <c r="J308" s="1">
        <f>'Asset Prices'!J308/'Asset Prices'!J309-1</f>
        <v>-2.2291466922339298E-2</v>
      </c>
      <c r="K308" s="1">
        <f>'Asset Prices'!K308/'Asset Prices'!K309-1</f>
        <v>0.11319424281388679</v>
      </c>
      <c r="L308" s="1">
        <f>'Asset Prices'!L308/'Asset Prices'!L309-1</f>
        <v>1.3260672116258032E-2</v>
      </c>
      <c r="M308" s="1">
        <f>'Asset Prices'!M308/'Asset Prices'!M309-1</f>
        <v>1.6699197571025781E-2</v>
      </c>
      <c r="N308" s="1">
        <f>'Asset Prices'!N308/'Asset Prices'!N309-1</f>
        <v>-1.5072695744964726E-2</v>
      </c>
      <c r="O308" s="1">
        <f>'Asset Prices'!O308/'Asset Prices'!O309-1</f>
        <v>2.4379481522338597E-2</v>
      </c>
      <c r="P308" s="1">
        <f>'Asset Prices'!P308/'Asset Prices'!P309-1</f>
        <v>1.2249064307587654E-2</v>
      </c>
      <c r="Q308" s="1">
        <f>'Asset Prices'!Q308/'Asset Prices'!Q309-1</f>
        <v>-4.9245311785333201E-2</v>
      </c>
      <c r="R308" s="1">
        <f>'Asset Prices'!R308/'Asset Prices'!R309-1</f>
        <v>3.9501671224551949E-2</v>
      </c>
      <c r="S308" s="1">
        <f>'Asset Prices'!S308/'Asset Prices'!S309-1</f>
        <v>2.6050146532074159E-2</v>
      </c>
      <c r="T308" s="1">
        <f>'Asset Prices'!T308/'Asset Prices'!T309-1</f>
        <v>-2.6534441168587608E-2</v>
      </c>
      <c r="U308" s="1">
        <f>'Asset Prices'!U308/'Asset Prices'!U309-1</f>
        <v>5.0242239368383235E-3</v>
      </c>
      <c r="V308" s="1">
        <f>'Asset Prices'!V308/'Asset Prices'!V309-1</f>
        <v>-5.3373999237514846E-3</v>
      </c>
      <c r="W308" s="1">
        <f>'Asset Prices'!W308/'Asset Prices'!W309-1</f>
        <v>-2.251978088861839E-2</v>
      </c>
      <c r="X308" s="1">
        <f>'Asset Prices'!X308/'Asset Prices'!X309-1</f>
        <v>-4.660087719298045E-3</v>
      </c>
      <c r="Y308" s="1">
        <f>'Asset Prices'!Y308/'Asset Prices'!Y309-1</f>
        <v>8.3386176293940295E-2</v>
      </c>
      <c r="Z308" s="1">
        <f>'Asset Prices'!Z308/'Asset Prices'!Z309-1</f>
        <v>-8.8202866593164342E-2</v>
      </c>
      <c r="AA308" s="1">
        <f>'Asset Prices'!AA308/'Asset Prices'!AA309-1</f>
        <v>0.12447611064543174</v>
      </c>
      <c r="AB308" s="1">
        <f>'Asset Prices'!AB308/'Asset Prices'!AB309-1</f>
        <v>-7.4906367041198352E-2</v>
      </c>
      <c r="AC308" s="1">
        <f>'Asset Prices'!AC308/'Asset Prices'!AC309-1</f>
        <v>6.2985513331932363E-3</v>
      </c>
      <c r="AD308" s="1">
        <f>'Asset Prices'!AD308/'Asset Prices'!AD309-1</f>
        <v>-1.2922239854908146E-2</v>
      </c>
      <c r="AE308" s="1">
        <f>'Asset Prices'!AE308/'Asset Prices'!AE309-1</f>
        <v>-3.0752688172043019E-2</v>
      </c>
      <c r="AF308" s="1">
        <f>'Asset Prices'!AF308/'Asset Prices'!AF309-1</f>
        <v>-2.5705186533212077E-2</v>
      </c>
      <c r="AG308" s="1">
        <f>'Asset Prices'!AG308/'Asset Prices'!AG309-1</f>
        <v>-3.7800687285223344E-2</v>
      </c>
      <c r="AH308" s="1">
        <f>'Asset Prices'!AH308/'Asset Prices'!AH309-1</f>
        <v>-3.9666798889337329E-4</v>
      </c>
      <c r="AI308" s="1">
        <f>'Asset Prices'!AI308/'Asset Prices'!AI309-1</f>
        <v>4.1757920864359699E-2</v>
      </c>
      <c r="AJ308" s="1">
        <f>'Asset Prices'!AJ308/'Asset Prices'!AJ309-1</f>
        <v>1.8142548596112418E-2</v>
      </c>
      <c r="AK308" s="1">
        <f>'Asset Prices'!AK308/'Asset Prices'!AK309-1</f>
        <v>-1.5503875968992276E-2</v>
      </c>
      <c r="AL308" s="1">
        <f>'Asset Prices'!AL308/'Asset Prices'!AL309-1</f>
        <v>3.0822510822510862E-2</v>
      </c>
      <c r="AM308" s="1">
        <f>'Asset Prices'!AM308/'Asset Prices'!AM309-1</f>
        <v>-4.7610214555121599E-3</v>
      </c>
      <c r="AN308" s="1">
        <f>'Asset Prices'!AN308/'Asset Prices'!AN309-1</f>
        <v>3.6539440203562368E-2</v>
      </c>
      <c r="AO308" s="1">
        <f>'Asset Prices'!AO308/'Asset Prices'!AO309-1</f>
        <v>6.9039913700108535E-3</v>
      </c>
      <c r="AP308" s="1">
        <f>'Asset Prices'!AP308/'Asset Prices'!AP309-1</f>
        <v>2.0222743259085796E-2</v>
      </c>
      <c r="AQ308" s="1">
        <f>'Asset Prices'!AQ308/'Asset Prices'!AQ309-1</f>
        <v>-7.4445335471798879E-2</v>
      </c>
      <c r="AR308" s="1">
        <f>'Asset Prices'!AR308/'Asset Prices'!AR309-1</f>
        <v>-1.7613636363636442E-2</v>
      </c>
      <c r="AS308" s="1">
        <f>'Asset Prices'!AS308/'Asset Prices'!AS309-1</f>
        <v>-0.15339543269230771</v>
      </c>
      <c r="AT308" s="1">
        <f>'Asset Prices'!AT308/'Asset Prices'!AT309-1</f>
        <v>-2.2136137244050946E-3</v>
      </c>
      <c r="AU308" s="1">
        <f>'Asset Prices'!AU308/'Asset Prices'!AU309-1</f>
        <v>2.5848687318620556E-2</v>
      </c>
      <c r="AV308" s="1">
        <f>'Asset Prices'!AV308/'Asset Prices'!AV309-1</f>
        <v>-8.3077709611451001E-3</v>
      </c>
      <c r="AW308" s="1">
        <f>'Asset Prices'!AW308/'Asset Prices'!AW309-1</f>
        <v>-0.1037552155771907</v>
      </c>
      <c r="AX308" s="1">
        <f>'Asset Prices'!AX308/'Asset Prices'!AX309-1</f>
        <v>-1.9905602298378788E-2</v>
      </c>
      <c r="AY308" s="1">
        <f>'Asset Prices'!AY308/'Asset Prices'!AY309-1</f>
        <v>-1.0638297872340385E-2</v>
      </c>
      <c r="AZ308" s="1">
        <f>'Asset Prices'!AZ308/'Asset Prices'!AZ309-1</f>
        <v>3.1578947368421151E-2</v>
      </c>
      <c r="BA308" s="1">
        <f>'Asset Prices'!BA308/'Asset Prices'!BA309-1</f>
        <v>4.8165987402741806E-3</v>
      </c>
      <c r="BB308" s="1">
        <f>'Asset Prices'!BB308/'Asset Prices'!BB309-1</f>
        <v>8.9061429550125748E-3</v>
      </c>
      <c r="BC308" s="1">
        <f>'Asset Prices'!BC308/'Asset Prices'!BC309-1</f>
        <v>3.4333089490368174E-2</v>
      </c>
      <c r="BD308" s="1">
        <f>'Asset Prices'!BD308/'Asset Prices'!BD309-1</f>
        <v>3.3700137551581966E-2</v>
      </c>
    </row>
    <row r="309" spans="3:56" x14ac:dyDescent="0.25">
      <c r="C309" s="38">
        <f>'Asset Prices'!C309</f>
        <v>42208</v>
      </c>
      <c r="D309" s="1">
        <f>'Asset Prices'!D309/'Asset Prices'!D310-1</f>
        <v>1.6720986254782577E-2</v>
      </c>
      <c r="E309" s="1">
        <f>'Asset Prices'!E309/'Asset Prices'!E310-1</f>
        <v>-2.2675736961450532E-3</v>
      </c>
      <c r="F309" s="1">
        <f>'Asset Prices'!F309/'Asset Prices'!F310-1</f>
        <v>1.4776571123375382E-2</v>
      </c>
      <c r="G309" s="1">
        <f>'Asset Prices'!G309/'Asset Prices'!G310-1</f>
        <v>-4.78515625E-2</v>
      </c>
      <c r="H309" s="1">
        <f>'Asset Prices'!H309/'Asset Prices'!H310-1</f>
        <v>-8.2139446036294306E-2</v>
      </c>
      <c r="I309" s="1">
        <f>'Asset Prices'!I309/'Asset Prices'!I310-1</f>
        <v>5.0522839845899892E-2</v>
      </c>
      <c r="J309" s="1">
        <f>'Asset Prices'!J309/'Asset Prices'!J310-1</f>
        <v>-2.6068010271574127E-2</v>
      </c>
      <c r="K309" s="1">
        <f>'Asset Prices'!K309/'Asset Prices'!K310-1</f>
        <v>1.4091023807520697E-2</v>
      </c>
      <c r="L309" s="1">
        <f>'Asset Prices'!L309/'Asset Prices'!L310-1</f>
        <v>-4.9304895950263439E-2</v>
      </c>
      <c r="M309" s="1">
        <f>'Asset Prices'!M309/'Asset Prices'!M310-1</f>
        <v>-1.1787398199742727E-2</v>
      </c>
      <c r="N309" s="1">
        <f>'Asset Prices'!N309/'Asset Prices'!N310-1</f>
        <v>0.12122370301439078</v>
      </c>
      <c r="O309" s="1">
        <f>'Asset Prices'!O309/'Asset Prices'!O310-1</f>
        <v>-1.8089254766031071E-2</v>
      </c>
      <c r="P309" s="1">
        <f>'Asset Prices'!P309/'Asset Prices'!P310-1</f>
        <v>1.7015484090521227E-4</v>
      </c>
      <c r="Q309" s="1">
        <f>'Asset Prices'!Q309/'Asset Prices'!Q310-1</f>
        <v>3.3654581612361234E-3</v>
      </c>
      <c r="R309" s="1">
        <f>'Asset Prices'!R309/'Asset Prices'!R310-1</f>
        <v>-3.5463071512309541E-2</v>
      </c>
      <c r="S309" s="1">
        <f>'Asset Prices'!S309/'Asset Prices'!S310-1</f>
        <v>-2.2597071928707857E-2</v>
      </c>
      <c r="T309" s="1">
        <f>'Asset Prices'!T309/'Asset Prices'!T310-1</f>
        <v>-4.6389776357827373E-2</v>
      </c>
      <c r="U309" s="1">
        <f>'Asset Prices'!U309/'Asset Prices'!U310-1</f>
        <v>1.4748725418790798E-2</v>
      </c>
      <c r="V309" s="1">
        <f>'Asset Prices'!V309/'Asset Prices'!V310-1</f>
        <v>-7.9425113464446362E-3</v>
      </c>
      <c r="W309" s="1">
        <f>'Asset Prices'!W309/'Asset Prices'!W310-1</f>
        <v>-5.845272206303731E-2</v>
      </c>
      <c r="X309" s="1">
        <f>'Asset Prices'!X309/'Asset Prices'!X310-1</f>
        <v>5.525021695111354E-2</v>
      </c>
      <c r="Y309" s="1">
        <f>'Asset Prices'!Y309/'Asset Prices'!Y310-1</f>
        <v>-4.7333543699322744E-3</v>
      </c>
      <c r="Z309" s="1">
        <f>'Asset Prices'!Z309/'Asset Prices'!Z310-1</f>
        <v>-7.6844783715012577E-2</v>
      </c>
      <c r="AA309" s="1">
        <f>'Asset Prices'!AA309/'Asset Prices'!AA310-1</f>
        <v>-1.4456836018174379E-2</v>
      </c>
      <c r="AB309" s="1">
        <f>'Asset Prices'!AB309/'Asset Prices'!AB310-1</f>
        <v>-2.9090909090909167E-2</v>
      </c>
      <c r="AC309" s="1">
        <f>'Asset Prices'!AC309/'Asset Prices'!AC310-1</f>
        <v>-1.4075760712067842E-2</v>
      </c>
      <c r="AD309" s="1">
        <f>'Asset Prices'!AD309/'Asset Prices'!AD310-1</f>
        <v>-5.0376749192680426E-2</v>
      </c>
      <c r="AE309" s="1">
        <f>'Asset Prices'!AE309/'Asset Prices'!AE310-1</f>
        <v>-1.9814502529510891E-2</v>
      </c>
      <c r="AF309" s="1">
        <f>'Asset Prices'!AF309/'Asset Prices'!AF310-1</f>
        <v>-2.8937486193947426E-2</v>
      </c>
      <c r="AG309" s="1">
        <f>'Asset Prices'!AG309/'Asset Prices'!AG310-1</f>
        <v>-3.6879432624113417E-2</v>
      </c>
      <c r="AH309" s="1">
        <f>'Asset Prices'!AH309/'Asset Prices'!AH310-1</f>
        <v>-3.7786259541984668E-2</v>
      </c>
      <c r="AI309" s="1">
        <f>'Asset Prices'!AI309/'Asset Prices'!AI310-1</f>
        <v>-3.765631586342566E-2</v>
      </c>
      <c r="AJ309" s="1">
        <f>'Asset Prices'!AJ309/'Asset Prices'!AJ310-1</f>
        <v>-3.7822111388196133E-2</v>
      </c>
      <c r="AK309" s="1">
        <f>'Asset Prices'!AK309/'Asset Prices'!AK310-1</f>
        <v>2.1108179419525142E-2</v>
      </c>
      <c r="AL309" s="1">
        <f>'Asset Prices'!AL309/'Asset Prices'!AL310-1</f>
        <v>-2.3503550896178615E-2</v>
      </c>
      <c r="AM309" s="1">
        <f>'Asset Prices'!AM309/'Asset Prices'!AM310-1</f>
        <v>-5.4210526315789487E-2</v>
      </c>
      <c r="AN309" s="1">
        <f>'Asset Prices'!AN309/'Asset Prices'!AN310-1</f>
        <v>8.1491290618318502E-4</v>
      </c>
      <c r="AO309" s="1">
        <f>'Asset Prices'!AO309/'Asset Prices'!AO310-1</f>
        <v>-3.0942922851766586E-2</v>
      </c>
      <c r="AP309" s="1">
        <f>'Asset Prices'!AP309/'Asset Prices'!AP310-1</f>
        <v>-1.628946230358963E-2</v>
      </c>
      <c r="AQ309" s="1">
        <f>'Asset Prices'!AQ309/'Asset Prices'!AQ310-1</f>
        <v>3.057851239669418E-2</v>
      </c>
      <c r="AR309" s="1">
        <f>'Asset Prices'!AR309/'Asset Prices'!AR310-1</f>
        <v>-0.17680074836295601</v>
      </c>
      <c r="AS309" s="1">
        <f>'Asset Prices'!AS309/'Asset Prices'!AS310-1</f>
        <v>-2.746931618936288E-2</v>
      </c>
      <c r="AT309" s="1">
        <f>'Asset Prices'!AT309/'Asset Prices'!AT310-1</f>
        <v>0</v>
      </c>
      <c r="AU309" s="1">
        <f>'Asset Prices'!AU309/'Asset Prices'!AU310-1</f>
        <v>1.1486486486484981E-3</v>
      </c>
      <c r="AV309" s="1">
        <f>'Asset Prices'!AV309/'Asset Prices'!AV310-1</f>
        <v>-4.7943538573862354E-2</v>
      </c>
      <c r="AW309" s="1">
        <f>'Asset Prices'!AW309/'Asset Prices'!AW310-1</f>
        <v>2.3633257403189223E-2</v>
      </c>
      <c r="AX309" s="1">
        <f>'Asset Prices'!AX309/'Asset Prices'!AX310-1</f>
        <v>9.320629660314772E-3</v>
      </c>
      <c r="AY309" s="1">
        <f>'Asset Prices'!AY309/'Asset Prices'!AY310-1</f>
        <v>-1.9812304483837306E-2</v>
      </c>
      <c r="AZ309" s="1">
        <f>'Asset Prices'!AZ309/'Asset Prices'!AZ310-1</f>
        <v>-3.1670913724062721E-2</v>
      </c>
      <c r="BA309" s="1">
        <f>'Asset Prices'!BA309/'Asset Prices'!BA310-1</f>
        <v>-1.6757741347905308E-2</v>
      </c>
      <c r="BB309" s="1">
        <f>'Asset Prices'!BB309/'Asset Prices'!BB310-1</f>
        <v>-2.5155832591273408E-2</v>
      </c>
      <c r="BC309" s="1">
        <f>'Asset Prices'!BC309/'Asset Prices'!BC310-1</f>
        <v>2.025077122101715E-2</v>
      </c>
      <c r="BD309" s="1">
        <f>'Asset Prices'!BD309/'Asset Prices'!BD310-1</f>
        <v>-1.1422355180853994E-2</v>
      </c>
    </row>
    <row r="310" spans="3:56" x14ac:dyDescent="0.25">
      <c r="AD310" s="1"/>
      <c r="AE310" s="1"/>
      <c r="AF310" s="1"/>
      <c r="AG310" s="1"/>
      <c r="AH310" s="1"/>
      <c r="AI310" s="1"/>
      <c r="AJ310" s="1"/>
      <c r="AK310" s="1"/>
    </row>
    <row r="311" spans="3:56" x14ac:dyDescent="0.25">
      <c r="AD311" s="1"/>
      <c r="AE311" s="1"/>
      <c r="AF311" s="1"/>
      <c r="AG311" s="1"/>
      <c r="AH311" s="1"/>
      <c r="AI311" s="1"/>
      <c r="AJ311" s="1"/>
      <c r="AK311" s="1"/>
    </row>
  </sheetData>
  <mergeCells count="1">
    <mergeCell ref="A2:A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6A601-0C28-4454-A6F4-8D44268AC1B9}">
  <dimension ref="A1:BD310"/>
  <sheetViews>
    <sheetView zoomScale="85" zoomScaleNormal="85" workbookViewId="0">
      <selection activeCell="S47" sqref="S47"/>
    </sheetView>
  </sheetViews>
  <sheetFormatPr defaultRowHeight="15" x14ac:dyDescent="0.25"/>
  <cols>
    <col min="1" max="1" width="49.85546875" customWidth="1"/>
    <col min="2" max="2" width="7.28515625" customWidth="1"/>
    <col min="3" max="3" width="12.7109375" style="38" customWidth="1"/>
    <col min="4" max="28" width="9.140625" style="105" customWidth="1"/>
    <col min="29" max="56" width="9.140625" style="105"/>
  </cols>
  <sheetData>
    <row r="1" spans="1:56" x14ac:dyDescent="0.25">
      <c r="A1" s="44" t="s">
        <v>48</v>
      </c>
      <c r="D1" s="112" t="s">
        <v>22</v>
      </c>
      <c r="E1" s="112" t="s">
        <v>23</v>
      </c>
      <c r="F1" s="112" t="s">
        <v>24</v>
      </c>
      <c r="G1" s="112" t="s">
        <v>25</v>
      </c>
      <c r="H1" s="112" t="s">
        <v>26</v>
      </c>
      <c r="I1" s="112" t="s">
        <v>27</v>
      </c>
      <c r="J1" s="112" t="s">
        <v>28</v>
      </c>
      <c r="K1" s="112" t="s">
        <v>29</v>
      </c>
      <c r="L1" s="112" t="s">
        <v>30</v>
      </c>
      <c r="M1" s="112" t="s">
        <v>31</v>
      </c>
      <c r="N1" s="112" t="s">
        <v>32</v>
      </c>
      <c r="O1" s="112" t="s">
        <v>7</v>
      </c>
      <c r="P1" s="112" t="s">
        <v>8</v>
      </c>
      <c r="Q1" s="112" t="s">
        <v>9</v>
      </c>
      <c r="R1" s="112" t="s">
        <v>10</v>
      </c>
      <c r="S1" s="112" t="s">
        <v>11</v>
      </c>
      <c r="T1" s="112" t="s">
        <v>2</v>
      </c>
      <c r="U1" s="112" t="s">
        <v>3</v>
      </c>
      <c r="V1" s="112" t="s">
        <v>4</v>
      </c>
      <c r="W1" s="112" t="s">
        <v>5</v>
      </c>
      <c r="X1" s="112" t="s">
        <v>6</v>
      </c>
      <c r="Y1" s="112" t="s">
        <v>61</v>
      </c>
      <c r="Z1" s="112" t="s">
        <v>62</v>
      </c>
      <c r="AA1" s="112" t="s">
        <v>17</v>
      </c>
      <c r="AB1" s="112" t="s">
        <v>18</v>
      </c>
      <c r="AC1" s="112" t="s">
        <v>19</v>
      </c>
      <c r="AD1" s="112" t="s">
        <v>63</v>
      </c>
      <c r="AE1" s="112" t="s">
        <v>20</v>
      </c>
      <c r="AF1" s="112" t="s">
        <v>64</v>
      </c>
      <c r="AG1" s="112" t="s">
        <v>65</v>
      </c>
      <c r="AH1" s="112" t="s">
        <v>66</v>
      </c>
      <c r="AI1" s="112" t="s">
        <v>21</v>
      </c>
      <c r="AJ1" s="112" t="s">
        <v>67</v>
      </c>
      <c r="AK1" s="112" t="s">
        <v>68</v>
      </c>
      <c r="AL1" s="112" t="s">
        <v>82</v>
      </c>
      <c r="AM1" s="112" t="s">
        <v>86</v>
      </c>
      <c r="AN1" s="112" t="s">
        <v>91</v>
      </c>
      <c r="AO1" s="112" t="s">
        <v>96</v>
      </c>
      <c r="AP1" s="112" t="s">
        <v>101</v>
      </c>
      <c r="AQ1" s="112" t="s">
        <v>106</v>
      </c>
      <c r="AR1" s="112" t="s">
        <v>109</v>
      </c>
      <c r="AS1" s="112" t="s">
        <v>113</v>
      </c>
      <c r="AT1" s="112" t="s">
        <v>117</v>
      </c>
      <c r="AU1" s="112" t="s">
        <v>121</v>
      </c>
      <c r="AV1" s="112" t="s">
        <v>123</v>
      </c>
      <c r="AW1" s="112" t="s">
        <v>126</v>
      </c>
      <c r="AX1" s="112" t="s">
        <v>131</v>
      </c>
      <c r="AY1" s="112" t="s">
        <v>133</v>
      </c>
      <c r="AZ1" s="112" t="s">
        <v>138</v>
      </c>
      <c r="BA1" s="112" t="s">
        <v>141</v>
      </c>
      <c r="BB1" s="112" t="s">
        <v>143</v>
      </c>
      <c r="BC1" s="112" t="s">
        <v>146</v>
      </c>
      <c r="BD1" s="112" t="s">
        <v>150</v>
      </c>
    </row>
    <row r="2" spans="1:56" x14ac:dyDescent="0.25">
      <c r="A2" s="217" t="s">
        <v>49</v>
      </c>
      <c r="C2" s="38">
        <v>44357</v>
      </c>
      <c r="D2" s="105">
        <v>233.95</v>
      </c>
      <c r="E2" s="105">
        <v>176.57</v>
      </c>
      <c r="F2" s="105">
        <v>130.97999999999999</v>
      </c>
      <c r="G2" s="105">
        <v>82.3</v>
      </c>
      <c r="H2" s="105">
        <v>225.73</v>
      </c>
      <c r="I2" s="105">
        <v>332.46</v>
      </c>
      <c r="J2" s="105">
        <v>126.11</v>
      </c>
      <c r="K2" s="105">
        <v>3349.65</v>
      </c>
      <c r="L2" s="105">
        <v>487.27</v>
      </c>
      <c r="M2" s="105">
        <v>257.24</v>
      </c>
      <c r="N2" s="105">
        <v>2435.13</v>
      </c>
      <c r="O2" s="105">
        <v>174.38</v>
      </c>
      <c r="P2" s="105">
        <v>237.17</v>
      </c>
      <c r="Q2" s="105">
        <v>612.15</v>
      </c>
      <c r="R2" s="105">
        <v>69.63</v>
      </c>
      <c r="S2" s="105">
        <v>29.08</v>
      </c>
      <c r="T2" s="105">
        <v>143.97</v>
      </c>
      <c r="U2" s="105">
        <v>55.39</v>
      </c>
      <c r="V2" s="105">
        <v>91.14</v>
      </c>
      <c r="W2" s="105">
        <v>112.54</v>
      </c>
      <c r="X2" s="105">
        <v>57.5</v>
      </c>
      <c r="Y2" s="105">
        <v>146.9</v>
      </c>
      <c r="Z2" s="105">
        <v>167.83</v>
      </c>
      <c r="AA2" s="105">
        <v>128.56</v>
      </c>
      <c r="AB2" s="105">
        <v>10.43</v>
      </c>
      <c r="AC2" s="105">
        <v>219.65</v>
      </c>
      <c r="AD2" s="105">
        <v>145.54</v>
      </c>
      <c r="AE2" s="105">
        <v>99.1</v>
      </c>
      <c r="AF2" s="105">
        <v>34.44</v>
      </c>
      <c r="AG2" s="105">
        <v>85.45</v>
      </c>
      <c r="AH2" s="105">
        <v>97.35</v>
      </c>
      <c r="AI2" s="105">
        <v>38.43</v>
      </c>
      <c r="AJ2" s="105">
        <v>29.14</v>
      </c>
      <c r="AK2" s="105">
        <v>18.440000000000001</v>
      </c>
      <c r="AL2" s="105">
        <v>57.49</v>
      </c>
      <c r="AM2" s="105">
        <v>150.54</v>
      </c>
      <c r="AN2" s="105">
        <v>256.66000000000003</v>
      </c>
      <c r="AO2" s="105">
        <v>57.34</v>
      </c>
      <c r="AP2" s="105">
        <v>64.77</v>
      </c>
      <c r="AQ2" s="105">
        <v>120.54</v>
      </c>
      <c r="AR2" s="105">
        <v>71.06</v>
      </c>
      <c r="AS2" s="105">
        <v>15.79</v>
      </c>
      <c r="AT2" s="105">
        <v>78.930000000000007</v>
      </c>
      <c r="AU2" s="105">
        <v>245.41</v>
      </c>
      <c r="AV2" s="105">
        <v>99.7</v>
      </c>
      <c r="AW2" s="105">
        <v>335.41</v>
      </c>
      <c r="AX2" s="105">
        <v>21.15</v>
      </c>
      <c r="AY2" s="105">
        <v>103.52</v>
      </c>
      <c r="AZ2" s="105">
        <v>130.24</v>
      </c>
      <c r="BA2" s="105">
        <v>102.41</v>
      </c>
      <c r="BB2" s="105">
        <v>77.62</v>
      </c>
      <c r="BC2" s="105">
        <v>206.87</v>
      </c>
      <c r="BD2" s="105">
        <v>162.08000000000001</v>
      </c>
    </row>
    <row r="3" spans="1:56" x14ac:dyDescent="0.25">
      <c r="A3" s="217"/>
      <c r="C3" s="98">
        <v>44350</v>
      </c>
      <c r="D3" s="105">
        <v>228.11</v>
      </c>
      <c r="E3" s="105">
        <v>176.24</v>
      </c>
      <c r="F3" s="105">
        <v>134.16999999999999</v>
      </c>
      <c r="G3" s="105">
        <v>81.09</v>
      </c>
      <c r="H3" s="105">
        <v>243.84</v>
      </c>
      <c r="I3" s="105">
        <v>326.04000000000002</v>
      </c>
      <c r="J3" s="105">
        <v>123.54</v>
      </c>
      <c r="K3" s="105">
        <v>3187.01</v>
      </c>
      <c r="L3" s="105">
        <v>489.43</v>
      </c>
      <c r="M3" s="105">
        <v>245.71</v>
      </c>
      <c r="N3" s="105">
        <v>2347.58</v>
      </c>
      <c r="O3" s="105">
        <v>174.54</v>
      </c>
      <c r="P3" s="105">
        <v>238.65</v>
      </c>
      <c r="Q3" s="105">
        <v>566.96</v>
      </c>
      <c r="R3" s="105">
        <v>70.48</v>
      </c>
      <c r="S3" s="105">
        <v>29.02</v>
      </c>
      <c r="T3" s="105">
        <v>140.4</v>
      </c>
      <c r="U3" s="105">
        <v>56.76</v>
      </c>
      <c r="V3" s="105">
        <v>94.97</v>
      </c>
      <c r="W3" s="105">
        <v>115.56</v>
      </c>
      <c r="X3" s="105">
        <v>58.26</v>
      </c>
      <c r="Y3" s="105">
        <v>137.55000000000001</v>
      </c>
      <c r="Z3" s="105">
        <v>168.6</v>
      </c>
      <c r="AA3" s="105">
        <v>116.02</v>
      </c>
      <c r="AB3" s="105">
        <v>10.4</v>
      </c>
      <c r="AC3" s="105">
        <v>211.9</v>
      </c>
      <c r="AD3" s="105">
        <v>146.11000000000001</v>
      </c>
      <c r="AE3" s="105">
        <v>94.65</v>
      </c>
      <c r="AF3" s="105">
        <v>37.39</v>
      </c>
      <c r="AG3" s="105">
        <v>86.62</v>
      </c>
      <c r="AH3" s="105">
        <v>95.77</v>
      </c>
      <c r="AI3" s="105">
        <v>37.93</v>
      </c>
      <c r="AJ3" s="105">
        <v>31.7</v>
      </c>
      <c r="AK3" s="105">
        <v>19.04</v>
      </c>
      <c r="AL3" s="105">
        <v>56.23</v>
      </c>
      <c r="AM3" s="105">
        <v>145.55000000000001</v>
      </c>
      <c r="AN3" s="105">
        <v>249.7</v>
      </c>
      <c r="AO3" s="105">
        <v>56.98</v>
      </c>
      <c r="AP3" s="105">
        <v>65.84</v>
      </c>
      <c r="AQ3" s="105">
        <v>111.98</v>
      </c>
      <c r="AR3" s="105">
        <v>71.06</v>
      </c>
      <c r="AS3" s="105">
        <v>15.41</v>
      </c>
      <c r="AT3" s="105">
        <v>80.290000000000006</v>
      </c>
      <c r="AU3" s="105">
        <v>240.72</v>
      </c>
      <c r="AV3" s="105">
        <v>100.56</v>
      </c>
      <c r="AW3" s="105">
        <v>319.41000000000003</v>
      </c>
      <c r="AX3" s="105">
        <v>18.559999999999999</v>
      </c>
      <c r="AY3" s="105">
        <v>109.65</v>
      </c>
      <c r="AZ3" s="105">
        <v>136</v>
      </c>
      <c r="BA3" s="105">
        <v>106.67</v>
      </c>
      <c r="BB3" s="105">
        <v>75.47</v>
      </c>
      <c r="BC3" s="105">
        <v>216.02</v>
      </c>
      <c r="BD3" s="105">
        <v>162.28</v>
      </c>
    </row>
    <row r="4" spans="1:56" x14ac:dyDescent="0.25">
      <c r="A4" s="217"/>
      <c r="C4" s="98">
        <v>44343</v>
      </c>
      <c r="D4" s="105">
        <v>226.86</v>
      </c>
      <c r="E4" s="105">
        <v>179.04</v>
      </c>
      <c r="F4" s="105">
        <v>136.56</v>
      </c>
      <c r="G4" s="105">
        <v>78.98</v>
      </c>
      <c r="H4" s="105">
        <v>241.28</v>
      </c>
      <c r="I4" s="105">
        <v>332.75</v>
      </c>
      <c r="J4" s="105">
        <v>125.28</v>
      </c>
      <c r="K4" s="105">
        <v>3230.11</v>
      </c>
      <c r="L4" s="105">
        <v>503.86</v>
      </c>
      <c r="M4" s="105">
        <v>249.31</v>
      </c>
      <c r="N4" s="105">
        <v>2362.6799999999998</v>
      </c>
      <c r="O4" s="105">
        <v>173.45</v>
      </c>
      <c r="P4" s="105">
        <v>236.99</v>
      </c>
      <c r="Q4" s="105">
        <v>599.77</v>
      </c>
      <c r="R4" s="105">
        <v>70.27</v>
      </c>
      <c r="S4" s="105">
        <v>29.05</v>
      </c>
      <c r="T4" s="105">
        <v>145.84</v>
      </c>
      <c r="U4" s="105">
        <v>58.56</v>
      </c>
      <c r="V4" s="105">
        <v>98.95</v>
      </c>
      <c r="W4" s="105">
        <v>118.14</v>
      </c>
      <c r="X4" s="105">
        <v>61.73</v>
      </c>
      <c r="Y4" s="105">
        <v>143.32</v>
      </c>
      <c r="Z4" s="105">
        <v>180.05</v>
      </c>
      <c r="AA4" s="105">
        <v>120.24</v>
      </c>
      <c r="AB4" s="105">
        <v>10.77</v>
      </c>
      <c r="AC4" s="105">
        <v>213.89</v>
      </c>
      <c r="AD4" s="105">
        <v>145.69</v>
      </c>
      <c r="AE4" s="105">
        <v>97.1</v>
      </c>
      <c r="AF4" s="105">
        <v>35.99</v>
      </c>
      <c r="AG4" s="105">
        <v>80.39</v>
      </c>
      <c r="AH4" s="105">
        <v>98.76</v>
      </c>
      <c r="AI4" s="105">
        <v>39.450000000000003</v>
      </c>
      <c r="AJ4" s="105">
        <v>29.93</v>
      </c>
      <c r="AK4" s="105">
        <v>20.55</v>
      </c>
      <c r="AL4" s="105">
        <v>55.42</v>
      </c>
      <c r="AM4" s="105">
        <v>143.82</v>
      </c>
      <c r="AN4" s="105">
        <v>254.51</v>
      </c>
      <c r="AO4" s="105">
        <v>56.29</v>
      </c>
      <c r="AP4" s="105">
        <v>67.239999999999995</v>
      </c>
      <c r="AQ4" s="105">
        <v>120.82</v>
      </c>
      <c r="AR4" s="105">
        <v>73.09</v>
      </c>
      <c r="AS4" s="105">
        <v>15.14</v>
      </c>
      <c r="AT4" s="105">
        <v>80.44</v>
      </c>
      <c r="AU4" s="105">
        <v>240.94</v>
      </c>
      <c r="AV4" s="105">
        <v>100.11</v>
      </c>
      <c r="AW4" s="105">
        <v>330.97</v>
      </c>
      <c r="AX4" s="105">
        <v>22.15</v>
      </c>
      <c r="AY4" s="105">
        <v>113.68</v>
      </c>
      <c r="AZ4" s="105">
        <v>138.72</v>
      </c>
      <c r="BA4" s="105">
        <v>108.85</v>
      </c>
      <c r="BB4" s="105">
        <v>74.75</v>
      </c>
      <c r="BC4" s="105">
        <v>225.22</v>
      </c>
      <c r="BD4" s="105">
        <v>161.30000000000001</v>
      </c>
    </row>
    <row r="5" spans="1:56" x14ac:dyDescent="0.25">
      <c r="A5" s="217"/>
      <c r="C5" s="98">
        <v>44336</v>
      </c>
      <c r="D5" s="105">
        <v>226.44</v>
      </c>
      <c r="E5" s="105">
        <v>171.36</v>
      </c>
      <c r="F5" s="105">
        <v>133.27000000000001</v>
      </c>
      <c r="G5" s="105">
        <v>78.72</v>
      </c>
      <c r="H5" s="105">
        <v>234.99</v>
      </c>
      <c r="I5" s="105">
        <v>318.61</v>
      </c>
      <c r="J5" s="105">
        <v>127.31</v>
      </c>
      <c r="K5" s="105">
        <v>3247.68</v>
      </c>
      <c r="L5" s="105">
        <v>501.67</v>
      </c>
      <c r="M5" s="105">
        <v>246.48</v>
      </c>
      <c r="N5" s="105">
        <v>2306.9499999999998</v>
      </c>
      <c r="O5" s="105">
        <v>173.09</v>
      </c>
      <c r="P5" s="105">
        <v>236.1</v>
      </c>
      <c r="Q5" s="105">
        <v>587.9</v>
      </c>
      <c r="R5" s="105">
        <v>71.58</v>
      </c>
      <c r="S5" s="105">
        <v>29.34</v>
      </c>
      <c r="T5" s="105">
        <v>138.97999999999999</v>
      </c>
      <c r="U5" s="105">
        <v>57.76</v>
      </c>
      <c r="V5" s="105">
        <v>95.29</v>
      </c>
      <c r="W5" s="105">
        <v>114.52</v>
      </c>
      <c r="X5" s="105">
        <v>59.92</v>
      </c>
      <c r="Y5" s="105">
        <v>135.78</v>
      </c>
      <c r="Z5" s="105">
        <v>170.92</v>
      </c>
      <c r="AA5" s="105">
        <v>120.73</v>
      </c>
      <c r="AB5" s="105">
        <v>10.46</v>
      </c>
      <c r="AC5" s="105">
        <v>210.86</v>
      </c>
      <c r="AD5" s="105">
        <v>142.19</v>
      </c>
      <c r="AE5" s="105">
        <v>97.17</v>
      </c>
      <c r="AF5" s="105">
        <v>34.950000000000003</v>
      </c>
      <c r="AG5" s="105">
        <v>78.27</v>
      </c>
      <c r="AH5" s="105">
        <v>83.6</v>
      </c>
      <c r="AI5" s="105">
        <v>36.450000000000003</v>
      </c>
      <c r="AJ5" s="105">
        <v>29.03</v>
      </c>
      <c r="AK5" s="105">
        <v>19.579999999999998</v>
      </c>
      <c r="AL5" s="105">
        <v>57.68</v>
      </c>
      <c r="AM5" s="105">
        <v>143.88</v>
      </c>
      <c r="AN5" s="105">
        <v>254.35</v>
      </c>
      <c r="AO5" s="105">
        <v>56.79</v>
      </c>
      <c r="AP5" s="105">
        <v>67.37</v>
      </c>
      <c r="AQ5" s="105">
        <v>116.26</v>
      </c>
      <c r="AR5" s="105">
        <v>73.849999999999994</v>
      </c>
      <c r="AS5" s="105">
        <v>15.59</v>
      </c>
      <c r="AT5" s="105">
        <v>80.17</v>
      </c>
      <c r="AU5" s="105">
        <v>244.79</v>
      </c>
      <c r="AV5" s="105">
        <v>108.37</v>
      </c>
      <c r="AW5" s="105">
        <v>331.82</v>
      </c>
      <c r="AX5" s="105">
        <v>21.46</v>
      </c>
      <c r="AY5" s="105">
        <v>107.35</v>
      </c>
      <c r="AZ5" s="105">
        <v>132.25</v>
      </c>
      <c r="BA5" s="105">
        <v>102.42</v>
      </c>
      <c r="BB5" s="105">
        <v>73.61</v>
      </c>
      <c r="BC5" s="105">
        <v>218.83</v>
      </c>
      <c r="BD5" s="105">
        <v>156.94999999999999</v>
      </c>
    </row>
    <row r="6" spans="1:56" x14ac:dyDescent="0.25">
      <c r="C6" s="98">
        <v>44329</v>
      </c>
      <c r="D6" s="105">
        <v>223.74</v>
      </c>
      <c r="E6" s="105">
        <v>178.34</v>
      </c>
      <c r="F6" s="105">
        <v>133.61000000000001</v>
      </c>
      <c r="G6" s="105">
        <v>78.14</v>
      </c>
      <c r="H6" s="105">
        <v>240.07</v>
      </c>
      <c r="I6" s="105">
        <v>305.26</v>
      </c>
      <c r="J6" s="105">
        <v>124.97</v>
      </c>
      <c r="K6" s="105">
        <v>3161.47</v>
      </c>
      <c r="L6" s="105">
        <v>486.66</v>
      </c>
      <c r="M6" s="105">
        <v>243.03</v>
      </c>
      <c r="N6" s="105">
        <v>2229.04</v>
      </c>
      <c r="O6" s="105">
        <v>171.6</v>
      </c>
      <c r="P6" s="105">
        <v>231</v>
      </c>
      <c r="Q6" s="105">
        <v>553.62</v>
      </c>
      <c r="R6" s="105">
        <v>71.12</v>
      </c>
      <c r="S6" s="105">
        <v>29.04</v>
      </c>
      <c r="T6" s="105">
        <v>139.27000000000001</v>
      </c>
      <c r="U6" s="105">
        <v>55.76</v>
      </c>
      <c r="V6" s="105">
        <v>98.71</v>
      </c>
      <c r="W6" s="105">
        <v>119</v>
      </c>
      <c r="X6" s="105">
        <v>59.93</v>
      </c>
      <c r="Y6" s="105">
        <v>130.85</v>
      </c>
      <c r="Z6" s="105">
        <v>164.89</v>
      </c>
      <c r="AA6" s="105">
        <v>118.28</v>
      </c>
      <c r="AB6" s="105">
        <v>9.8699999999999992</v>
      </c>
      <c r="AC6" s="105">
        <v>190.24</v>
      </c>
      <c r="AD6" s="105">
        <v>142.83000000000001</v>
      </c>
      <c r="AE6" s="105">
        <v>101.07</v>
      </c>
      <c r="AF6" s="105">
        <v>34.68</v>
      </c>
      <c r="AG6" s="105">
        <v>79.27</v>
      </c>
      <c r="AH6" s="105">
        <v>85.04</v>
      </c>
      <c r="AI6" s="105">
        <v>36.75</v>
      </c>
      <c r="AJ6" s="105">
        <v>28.82</v>
      </c>
      <c r="AK6" s="105">
        <v>18.95</v>
      </c>
      <c r="AL6" s="105">
        <v>58.32</v>
      </c>
      <c r="AM6" s="105">
        <v>144.16999999999999</v>
      </c>
      <c r="AN6" s="105">
        <v>247.85</v>
      </c>
      <c r="AO6" s="105">
        <v>58.81</v>
      </c>
      <c r="AP6" s="105">
        <v>70.900000000000006</v>
      </c>
      <c r="AQ6" s="105">
        <v>111.99</v>
      </c>
      <c r="AR6" s="105">
        <v>68.92</v>
      </c>
      <c r="AS6" s="105">
        <v>15.93</v>
      </c>
      <c r="AT6" s="105">
        <v>83.12</v>
      </c>
      <c r="AU6" s="105">
        <v>244.08</v>
      </c>
      <c r="AV6" s="105">
        <v>109.58</v>
      </c>
      <c r="AW6" s="105">
        <v>308.93</v>
      </c>
      <c r="AX6" s="105">
        <v>19.510000000000002</v>
      </c>
      <c r="AY6" s="105">
        <v>109.91</v>
      </c>
      <c r="AZ6" s="105">
        <v>144.99</v>
      </c>
      <c r="BA6" s="105">
        <v>106.65</v>
      </c>
      <c r="BB6" s="105">
        <v>76.900000000000006</v>
      </c>
      <c r="BC6" s="105">
        <v>222.83</v>
      </c>
      <c r="BD6" s="105">
        <v>159.30000000000001</v>
      </c>
    </row>
    <row r="7" spans="1:56" x14ac:dyDescent="0.25">
      <c r="C7" s="98">
        <v>44322</v>
      </c>
      <c r="D7" s="105">
        <v>231.32</v>
      </c>
      <c r="E7" s="105">
        <v>181.79</v>
      </c>
      <c r="F7" s="105">
        <v>133.49</v>
      </c>
      <c r="G7" s="105">
        <v>79.739999999999995</v>
      </c>
      <c r="H7" s="105">
        <v>237.07</v>
      </c>
      <c r="I7" s="105">
        <v>320.02</v>
      </c>
      <c r="J7" s="105">
        <v>129.74</v>
      </c>
      <c r="K7" s="105">
        <v>3306.37</v>
      </c>
      <c r="L7" s="105">
        <v>499.55</v>
      </c>
      <c r="M7" s="105">
        <v>249.73</v>
      </c>
      <c r="N7" s="105">
        <v>2337.35</v>
      </c>
      <c r="O7" s="105">
        <v>168.63</v>
      </c>
      <c r="P7" s="105">
        <v>241.62</v>
      </c>
      <c r="Q7" s="105">
        <v>584.72</v>
      </c>
      <c r="R7" s="105">
        <v>71.55</v>
      </c>
      <c r="S7" s="105">
        <v>28.84</v>
      </c>
      <c r="T7" s="105">
        <v>142.59</v>
      </c>
      <c r="U7" s="105">
        <v>57.27</v>
      </c>
      <c r="V7" s="105">
        <v>105.7</v>
      </c>
      <c r="W7" s="105">
        <v>120.04</v>
      </c>
      <c r="X7" s="105">
        <v>60.69</v>
      </c>
      <c r="Y7" s="105">
        <v>151.33000000000001</v>
      </c>
      <c r="Z7" s="105">
        <v>172.23</v>
      </c>
      <c r="AA7" s="105">
        <v>118.44</v>
      </c>
      <c r="AB7" s="105">
        <v>10.71</v>
      </c>
      <c r="AC7" s="105">
        <v>218.24</v>
      </c>
      <c r="AD7" s="105">
        <v>144.35</v>
      </c>
      <c r="AE7" s="105">
        <v>106.28</v>
      </c>
      <c r="AF7" s="105">
        <v>35.46</v>
      </c>
      <c r="AG7" s="105">
        <v>87.85</v>
      </c>
      <c r="AH7" s="105">
        <v>87.73</v>
      </c>
      <c r="AI7" s="105">
        <v>38.68</v>
      </c>
      <c r="AJ7" s="105">
        <v>28.53</v>
      </c>
      <c r="AK7" s="105">
        <v>19.329999999999998</v>
      </c>
      <c r="AL7" s="105">
        <v>58.91</v>
      </c>
      <c r="AM7" s="105">
        <v>148.41999999999999</v>
      </c>
      <c r="AN7" s="105">
        <v>254.13</v>
      </c>
      <c r="AO7" s="105">
        <v>59.29</v>
      </c>
      <c r="AP7" s="105">
        <v>71.760000000000005</v>
      </c>
      <c r="AQ7" s="105">
        <v>116.78</v>
      </c>
      <c r="AR7" s="105">
        <v>66.89</v>
      </c>
      <c r="AS7" s="105">
        <v>13.93</v>
      </c>
      <c r="AT7" s="105">
        <v>85.38</v>
      </c>
      <c r="AU7" s="105">
        <v>240.81</v>
      </c>
      <c r="AV7" s="105">
        <v>115.7</v>
      </c>
      <c r="AW7" s="105">
        <v>327.14999999999998</v>
      </c>
      <c r="AX7" s="105">
        <v>19.079999999999998</v>
      </c>
      <c r="AY7" s="105">
        <v>108.9</v>
      </c>
      <c r="AZ7" s="105">
        <v>152.51997488000001</v>
      </c>
      <c r="BA7" s="105">
        <v>100.56</v>
      </c>
      <c r="BB7" s="105">
        <v>78.099999999999994</v>
      </c>
      <c r="BC7" s="105">
        <v>221</v>
      </c>
      <c r="BD7" s="105">
        <v>161.88</v>
      </c>
    </row>
    <row r="8" spans="1:56" x14ac:dyDescent="0.25">
      <c r="C8" s="98">
        <v>44315</v>
      </c>
      <c r="D8" s="105">
        <v>236.86</v>
      </c>
      <c r="E8" s="105">
        <v>185.33</v>
      </c>
      <c r="F8" s="105">
        <v>133.26</v>
      </c>
      <c r="G8" s="105">
        <v>75.87</v>
      </c>
      <c r="H8" s="105">
        <v>227.47</v>
      </c>
      <c r="I8" s="105">
        <v>329.51</v>
      </c>
      <c r="J8" s="105">
        <v>133.47999999999999</v>
      </c>
      <c r="K8" s="105">
        <v>3471.31</v>
      </c>
      <c r="L8" s="105">
        <v>509</v>
      </c>
      <c r="M8" s="105">
        <v>252.51</v>
      </c>
      <c r="N8" s="105">
        <v>2392.7600000000002</v>
      </c>
      <c r="O8" s="105">
        <v>164.22</v>
      </c>
      <c r="P8" s="105">
        <v>241.6</v>
      </c>
      <c r="Q8" s="105">
        <v>604.34</v>
      </c>
      <c r="R8" s="105">
        <v>70.56</v>
      </c>
      <c r="S8" s="105">
        <v>29.27</v>
      </c>
      <c r="T8" s="105">
        <v>151.03</v>
      </c>
      <c r="U8" s="105">
        <v>61.19</v>
      </c>
      <c r="V8" s="105">
        <v>105.04</v>
      </c>
      <c r="W8" s="105">
        <v>118.29</v>
      </c>
      <c r="X8" s="105">
        <v>62.27</v>
      </c>
      <c r="Y8" s="105">
        <v>158.03</v>
      </c>
      <c r="Z8" s="105">
        <v>184.39</v>
      </c>
      <c r="AA8" s="105">
        <v>126.97</v>
      </c>
      <c r="AB8" s="105">
        <v>11.12</v>
      </c>
      <c r="AC8" s="105">
        <v>235.95</v>
      </c>
      <c r="AD8" s="105">
        <v>139.85</v>
      </c>
      <c r="AE8" s="105">
        <v>109.3</v>
      </c>
      <c r="AF8" s="105">
        <v>36.299999999999997</v>
      </c>
      <c r="AG8" s="105">
        <v>92.47</v>
      </c>
      <c r="AH8" s="105">
        <v>83.13</v>
      </c>
      <c r="AI8" s="105">
        <v>38.44</v>
      </c>
      <c r="AJ8" s="105">
        <v>29.96</v>
      </c>
      <c r="AK8" s="105">
        <v>19.91</v>
      </c>
      <c r="AL8" s="105">
        <v>58.86</v>
      </c>
      <c r="AM8" s="105">
        <v>144.24</v>
      </c>
      <c r="AN8" s="105">
        <v>263.43</v>
      </c>
      <c r="AO8" s="105">
        <v>57.32</v>
      </c>
      <c r="AP8" s="105">
        <v>71.42</v>
      </c>
      <c r="AQ8" s="105">
        <v>128.21</v>
      </c>
      <c r="AR8" s="105">
        <v>62.31</v>
      </c>
      <c r="AS8" s="105">
        <v>13.36</v>
      </c>
      <c r="AT8" s="105">
        <v>84.17</v>
      </c>
      <c r="AU8" s="105">
        <v>251.42</v>
      </c>
      <c r="AV8" s="105">
        <v>115.43</v>
      </c>
      <c r="AW8" s="105">
        <v>394.24</v>
      </c>
      <c r="AX8" s="105">
        <v>20.190000000000001</v>
      </c>
      <c r="AY8" s="105">
        <v>112.87</v>
      </c>
      <c r="AZ8" s="105">
        <v>144.15924536</v>
      </c>
      <c r="BA8" s="105">
        <v>106.53</v>
      </c>
      <c r="BB8" s="105">
        <v>80.09</v>
      </c>
      <c r="BC8" s="105">
        <v>235.53</v>
      </c>
      <c r="BD8" s="105">
        <v>156.49</v>
      </c>
    </row>
    <row r="9" spans="1:56" x14ac:dyDescent="0.25">
      <c r="C9" s="98">
        <v>44308</v>
      </c>
      <c r="D9" s="105">
        <v>227.57</v>
      </c>
      <c r="E9" s="105">
        <v>182.76</v>
      </c>
      <c r="F9" s="105">
        <v>129.18</v>
      </c>
      <c r="G9" s="105">
        <v>74.87</v>
      </c>
      <c r="H9" s="105">
        <v>228.89</v>
      </c>
      <c r="I9" s="105">
        <v>296.52</v>
      </c>
      <c r="J9" s="105">
        <v>131.94</v>
      </c>
      <c r="K9" s="105">
        <v>3309.04</v>
      </c>
      <c r="L9" s="105">
        <v>508.78</v>
      </c>
      <c r="M9" s="105">
        <v>257.17</v>
      </c>
      <c r="N9" s="105">
        <v>2252.52</v>
      </c>
      <c r="O9" s="105">
        <v>162.24</v>
      </c>
      <c r="P9" s="105">
        <v>238.33</v>
      </c>
      <c r="Q9" s="105">
        <v>615.30999999999995</v>
      </c>
      <c r="R9" s="105">
        <v>71.12</v>
      </c>
      <c r="S9" s="105">
        <v>28.95</v>
      </c>
      <c r="T9" s="105">
        <v>146.63999999999999</v>
      </c>
      <c r="U9" s="105">
        <v>58.33</v>
      </c>
      <c r="V9" s="105">
        <v>100.75</v>
      </c>
      <c r="W9" s="105">
        <v>118.04</v>
      </c>
      <c r="X9" s="105">
        <v>61.07</v>
      </c>
      <c r="Y9" s="105">
        <v>141.18</v>
      </c>
      <c r="Z9" s="105">
        <v>171.78</v>
      </c>
      <c r="AA9" s="105">
        <v>129.33000000000001</v>
      </c>
      <c r="AB9" s="105">
        <v>10.63</v>
      </c>
      <c r="AC9" s="105">
        <v>219.11</v>
      </c>
      <c r="AD9" s="105">
        <v>134.56</v>
      </c>
      <c r="AE9" s="105">
        <v>103.44</v>
      </c>
      <c r="AF9" s="105">
        <v>33.06</v>
      </c>
      <c r="AG9" s="105">
        <v>94.95</v>
      </c>
      <c r="AH9" s="105">
        <v>84.54</v>
      </c>
      <c r="AI9" s="105">
        <v>38.96</v>
      </c>
      <c r="AJ9" s="105">
        <v>30.75</v>
      </c>
      <c r="AK9" s="105">
        <v>19.850000000000001</v>
      </c>
      <c r="AL9" s="105">
        <v>59.48</v>
      </c>
      <c r="AM9" s="105">
        <v>141.28</v>
      </c>
      <c r="AN9" s="105">
        <v>264.17</v>
      </c>
      <c r="AO9" s="105">
        <v>57.28</v>
      </c>
      <c r="AP9" s="105">
        <v>69.17</v>
      </c>
      <c r="AQ9" s="105">
        <v>134.99</v>
      </c>
      <c r="AR9" s="105">
        <v>65.7</v>
      </c>
      <c r="AS9" s="105">
        <v>13.36</v>
      </c>
      <c r="AT9" s="105">
        <v>82.38</v>
      </c>
      <c r="AU9" s="105">
        <v>257.13</v>
      </c>
      <c r="AV9" s="105">
        <v>115.15</v>
      </c>
      <c r="AW9" s="105">
        <v>390.02</v>
      </c>
      <c r="AX9" s="105">
        <v>20.11</v>
      </c>
      <c r="AY9" s="105">
        <v>114.57</v>
      </c>
      <c r="AZ9" s="105">
        <v>144.28592308</v>
      </c>
      <c r="BA9" s="105">
        <v>105.43</v>
      </c>
      <c r="BB9" s="105">
        <v>81.16</v>
      </c>
      <c r="BC9" s="105">
        <v>232.73</v>
      </c>
      <c r="BD9" s="105">
        <v>153.85</v>
      </c>
    </row>
    <row r="10" spans="1:56" x14ac:dyDescent="0.25">
      <c r="C10" s="98">
        <v>44301</v>
      </c>
      <c r="D10" s="105">
        <v>226.28</v>
      </c>
      <c r="E10" s="105">
        <v>185.93</v>
      </c>
      <c r="F10" s="105">
        <v>133.66999999999999</v>
      </c>
      <c r="G10" s="105">
        <v>78.290000000000006</v>
      </c>
      <c r="H10" s="105">
        <v>232.52</v>
      </c>
      <c r="I10" s="105">
        <v>307.82</v>
      </c>
      <c r="J10" s="105">
        <v>134.5</v>
      </c>
      <c r="K10" s="105">
        <v>3379.09</v>
      </c>
      <c r="L10" s="105">
        <v>549.22</v>
      </c>
      <c r="M10" s="105">
        <v>259.5</v>
      </c>
      <c r="N10" s="105">
        <v>2285.25</v>
      </c>
      <c r="O10" s="105">
        <v>160.9</v>
      </c>
      <c r="P10" s="105">
        <v>234.6</v>
      </c>
      <c r="Q10" s="105">
        <v>606.23</v>
      </c>
      <c r="R10" s="105">
        <v>69.959999999999994</v>
      </c>
      <c r="S10" s="105">
        <v>28.99</v>
      </c>
      <c r="T10" s="105">
        <v>149.18</v>
      </c>
      <c r="U10" s="105">
        <v>61.29</v>
      </c>
      <c r="V10" s="105">
        <v>102.92</v>
      </c>
      <c r="W10" s="105">
        <v>119.3</v>
      </c>
      <c r="X10" s="105">
        <v>62.94</v>
      </c>
      <c r="Y10" s="105">
        <v>138.30000000000001</v>
      </c>
      <c r="Z10" s="105">
        <v>170.92</v>
      </c>
      <c r="AA10" s="105">
        <v>131.71</v>
      </c>
      <c r="AB10" s="105">
        <v>10.73</v>
      </c>
      <c r="AC10" s="105">
        <v>223.55</v>
      </c>
      <c r="AD10" s="105">
        <v>136</v>
      </c>
      <c r="AE10" s="105">
        <v>103.34</v>
      </c>
      <c r="AF10" s="105">
        <v>33.130000000000003</v>
      </c>
      <c r="AG10" s="105">
        <v>94.1</v>
      </c>
      <c r="AH10" s="105">
        <v>81.790000000000006</v>
      </c>
      <c r="AI10" s="105">
        <v>39.07</v>
      </c>
      <c r="AJ10" s="105">
        <v>31.19</v>
      </c>
      <c r="AK10" s="105">
        <v>20.69</v>
      </c>
      <c r="AL10" s="105">
        <v>61.44</v>
      </c>
      <c r="AM10" s="105">
        <v>132.58000000000001</v>
      </c>
      <c r="AN10" s="105">
        <v>256.85000000000002</v>
      </c>
      <c r="AO10" s="105">
        <v>57.7</v>
      </c>
      <c r="AP10" s="105">
        <v>69.239999999999995</v>
      </c>
      <c r="AQ10" s="105">
        <v>148.38</v>
      </c>
      <c r="AR10" s="105">
        <v>64.78</v>
      </c>
      <c r="AS10" s="105">
        <v>13.28</v>
      </c>
      <c r="AT10" s="105">
        <v>80.58</v>
      </c>
      <c r="AU10" s="105">
        <v>257.85000000000002</v>
      </c>
      <c r="AV10" s="105">
        <v>117.02</v>
      </c>
      <c r="AW10" s="105">
        <v>398.18</v>
      </c>
      <c r="AX10" s="105">
        <v>20.98</v>
      </c>
      <c r="AY10" s="105">
        <v>113.24</v>
      </c>
      <c r="AZ10" s="105">
        <v>147.15078844000001</v>
      </c>
      <c r="BA10" s="105">
        <v>108.69</v>
      </c>
      <c r="BB10" s="105">
        <v>79.849999999999994</v>
      </c>
      <c r="BC10" s="105">
        <v>249.25</v>
      </c>
      <c r="BD10" s="105">
        <v>150.07</v>
      </c>
    </row>
    <row r="11" spans="1:56" x14ac:dyDescent="0.25">
      <c r="C11" s="98">
        <v>44294</v>
      </c>
      <c r="D11" s="105">
        <v>220.7</v>
      </c>
      <c r="E11" s="105">
        <v>187.32</v>
      </c>
      <c r="F11" s="105">
        <v>133.68</v>
      </c>
      <c r="G11" s="105">
        <v>75.28</v>
      </c>
      <c r="H11" s="105">
        <v>230.48</v>
      </c>
      <c r="I11" s="105">
        <v>313.02</v>
      </c>
      <c r="J11" s="105">
        <v>130.36000000000001</v>
      </c>
      <c r="K11" s="105">
        <v>3299.3</v>
      </c>
      <c r="L11" s="105">
        <v>554.58000000000004</v>
      </c>
      <c r="M11" s="105">
        <v>253.25</v>
      </c>
      <c r="N11" s="105">
        <v>2250.4299999999998</v>
      </c>
      <c r="O11" s="105">
        <v>160.11000000000001</v>
      </c>
      <c r="P11" s="105">
        <v>224.21</v>
      </c>
      <c r="Q11" s="105">
        <v>575.75</v>
      </c>
      <c r="R11" s="105">
        <v>67.72</v>
      </c>
      <c r="S11" s="105">
        <v>28.72</v>
      </c>
      <c r="T11" s="105">
        <v>149.44</v>
      </c>
      <c r="U11" s="105">
        <v>62.6</v>
      </c>
      <c r="V11" s="105">
        <v>102.28</v>
      </c>
      <c r="W11" s="105">
        <v>119.62</v>
      </c>
      <c r="X11" s="105">
        <v>63.46</v>
      </c>
      <c r="Y11" s="105">
        <v>135.71</v>
      </c>
      <c r="Z11" s="105">
        <v>162.96</v>
      </c>
      <c r="AA11" s="105">
        <v>120.62</v>
      </c>
      <c r="AB11" s="105">
        <v>10.68</v>
      </c>
      <c r="AC11" s="105">
        <v>242.87</v>
      </c>
      <c r="AD11" s="105">
        <v>128.33000000000001</v>
      </c>
      <c r="AE11" s="105">
        <v>95.12</v>
      </c>
      <c r="AF11" s="105">
        <v>31.04</v>
      </c>
      <c r="AG11" s="105">
        <v>86.66</v>
      </c>
      <c r="AH11" s="105">
        <v>81.900000000000006</v>
      </c>
      <c r="AI11" s="105">
        <v>37.49</v>
      </c>
      <c r="AJ11" s="105">
        <v>31.08</v>
      </c>
      <c r="AK11" s="105">
        <v>21.09</v>
      </c>
      <c r="AL11" s="105">
        <v>60.33</v>
      </c>
      <c r="AM11" s="105">
        <v>135.12</v>
      </c>
      <c r="AN11" s="105">
        <v>249.87</v>
      </c>
      <c r="AO11" s="105">
        <v>57.6</v>
      </c>
      <c r="AP11" s="105">
        <v>69.03</v>
      </c>
      <c r="AQ11" s="105">
        <v>139.97999999999999</v>
      </c>
      <c r="AR11" s="105">
        <v>61.8</v>
      </c>
      <c r="AS11" s="105">
        <v>13.29</v>
      </c>
      <c r="AT11" s="105">
        <v>80.61</v>
      </c>
      <c r="AU11" s="105">
        <v>242.87</v>
      </c>
      <c r="AV11" s="105">
        <v>116.88</v>
      </c>
      <c r="AW11" s="105">
        <v>379.04</v>
      </c>
      <c r="AX11" s="105">
        <v>20.03</v>
      </c>
      <c r="AY11" s="105">
        <v>110.85</v>
      </c>
      <c r="AZ11" s="105">
        <v>141.68415759999999</v>
      </c>
      <c r="BA11" s="105">
        <v>104.24</v>
      </c>
      <c r="BB11" s="105">
        <v>77.849999999999994</v>
      </c>
      <c r="BC11" s="105">
        <v>251.01</v>
      </c>
      <c r="BD11" s="105">
        <v>145.32</v>
      </c>
    </row>
    <row r="12" spans="1:56" x14ac:dyDescent="0.25">
      <c r="C12" s="98">
        <v>44287</v>
      </c>
      <c r="D12" s="105">
        <v>216.86</v>
      </c>
      <c r="E12" s="105">
        <v>188.97</v>
      </c>
      <c r="F12" s="105">
        <v>132.53</v>
      </c>
      <c r="G12" s="105">
        <v>71.81</v>
      </c>
      <c r="H12" s="105">
        <v>232.74</v>
      </c>
      <c r="I12" s="105">
        <v>298.66000000000003</v>
      </c>
      <c r="J12" s="105">
        <v>123</v>
      </c>
      <c r="K12" s="105">
        <v>3161</v>
      </c>
      <c r="L12" s="105">
        <v>539.41999999999996</v>
      </c>
      <c r="M12" s="105">
        <v>242.35</v>
      </c>
      <c r="N12" s="105">
        <v>2129.7800000000002</v>
      </c>
      <c r="O12" s="105">
        <v>158.76</v>
      </c>
      <c r="P12" s="105">
        <v>229.62</v>
      </c>
      <c r="Q12" s="105">
        <v>545.04999999999995</v>
      </c>
      <c r="R12" s="105">
        <v>66.790000000000006</v>
      </c>
      <c r="S12" s="105">
        <v>28.77</v>
      </c>
      <c r="T12" s="105">
        <v>148.27000000000001</v>
      </c>
      <c r="U12" s="105">
        <v>61.85</v>
      </c>
      <c r="V12" s="105">
        <v>103.43</v>
      </c>
      <c r="W12" s="105">
        <v>115.76</v>
      </c>
      <c r="X12" s="105">
        <v>61.3</v>
      </c>
      <c r="Y12" s="105">
        <v>135.83000000000001</v>
      </c>
      <c r="Z12" s="105">
        <v>159.38999999999999</v>
      </c>
      <c r="AA12" s="105">
        <v>117.99</v>
      </c>
      <c r="AB12" s="105">
        <v>10.48</v>
      </c>
      <c r="AC12" s="105">
        <v>238.14</v>
      </c>
      <c r="AD12" s="105">
        <v>127.48</v>
      </c>
      <c r="AE12" s="105">
        <v>94.79</v>
      </c>
      <c r="AF12" s="105">
        <v>31.26</v>
      </c>
      <c r="AG12" s="105">
        <v>88.2</v>
      </c>
      <c r="AH12" s="105">
        <v>79.27</v>
      </c>
      <c r="AI12" s="105">
        <v>37.42</v>
      </c>
      <c r="AJ12" s="105">
        <v>31.5</v>
      </c>
      <c r="AK12" s="105">
        <v>20.37</v>
      </c>
      <c r="AL12" s="105">
        <v>58.29</v>
      </c>
      <c r="AM12" s="105">
        <v>133.22999999999999</v>
      </c>
      <c r="AN12" s="105">
        <v>242.95</v>
      </c>
      <c r="AO12" s="105">
        <v>58.3</v>
      </c>
      <c r="AP12" s="105">
        <v>65.98</v>
      </c>
      <c r="AQ12" s="105">
        <v>138.27000000000001</v>
      </c>
      <c r="AR12" s="105">
        <v>61.81</v>
      </c>
      <c r="AS12" s="105">
        <v>13.9</v>
      </c>
      <c r="AT12" s="105">
        <v>77.989999999999995</v>
      </c>
      <c r="AU12" s="105">
        <v>241.58</v>
      </c>
      <c r="AV12" s="105">
        <v>115.93</v>
      </c>
      <c r="AW12" s="105">
        <v>376.75</v>
      </c>
      <c r="AX12" s="105">
        <v>19.940000000000001</v>
      </c>
      <c r="AY12" s="105">
        <v>107.94</v>
      </c>
      <c r="AZ12" s="105">
        <v>140.72920248</v>
      </c>
      <c r="BA12" s="105">
        <v>99.62</v>
      </c>
      <c r="BB12" s="105">
        <v>76.81</v>
      </c>
      <c r="BC12" s="105">
        <v>244.75</v>
      </c>
      <c r="BD12" s="105">
        <v>142.30000000000001</v>
      </c>
    </row>
    <row r="13" spans="1:56" x14ac:dyDescent="0.25">
      <c r="C13" s="98">
        <v>44280</v>
      </c>
      <c r="D13" s="105">
        <v>207.97</v>
      </c>
      <c r="E13" s="105">
        <v>186.91</v>
      </c>
      <c r="F13" s="105">
        <v>128.63999999999999</v>
      </c>
      <c r="G13" s="105">
        <v>68.63</v>
      </c>
      <c r="H13" s="105">
        <v>224.25</v>
      </c>
      <c r="I13" s="105">
        <v>278.74</v>
      </c>
      <c r="J13" s="105">
        <v>120.59</v>
      </c>
      <c r="K13" s="105">
        <v>3046.26</v>
      </c>
      <c r="L13" s="105">
        <v>502.86</v>
      </c>
      <c r="M13" s="105">
        <v>232.34</v>
      </c>
      <c r="N13" s="105">
        <v>2032.46</v>
      </c>
      <c r="O13" s="105">
        <v>157.04</v>
      </c>
      <c r="P13" s="105">
        <v>231.16</v>
      </c>
      <c r="Q13" s="105">
        <v>517.87</v>
      </c>
      <c r="R13" s="105">
        <v>66</v>
      </c>
      <c r="S13" s="105">
        <v>28.73</v>
      </c>
      <c r="T13" s="105">
        <v>146.57</v>
      </c>
      <c r="U13" s="105">
        <v>60.72</v>
      </c>
      <c r="V13" s="105">
        <v>99.14</v>
      </c>
      <c r="W13" s="105">
        <v>116.18</v>
      </c>
      <c r="X13" s="105">
        <v>59.91</v>
      </c>
      <c r="Y13" s="105">
        <v>123.22</v>
      </c>
      <c r="Z13" s="105">
        <v>146.47</v>
      </c>
      <c r="AA13" s="105">
        <v>113.01</v>
      </c>
      <c r="AB13" s="105">
        <v>9.82</v>
      </c>
      <c r="AC13" s="105">
        <v>226.39</v>
      </c>
      <c r="AD13" s="105">
        <v>119.33</v>
      </c>
      <c r="AE13" s="105">
        <v>89.55</v>
      </c>
      <c r="AF13" s="105">
        <v>30.77</v>
      </c>
      <c r="AG13" s="105">
        <v>85</v>
      </c>
      <c r="AH13" s="105">
        <v>76.56</v>
      </c>
      <c r="AI13" s="105">
        <v>37.26</v>
      </c>
      <c r="AJ13" s="105">
        <v>29.82</v>
      </c>
      <c r="AK13" s="105">
        <v>19.64</v>
      </c>
      <c r="AL13" s="105">
        <v>60.32</v>
      </c>
      <c r="AM13" s="105">
        <v>133.07</v>
      </c>
      <c r="AN13" s="105">
        <v>235.34</v>
      </c>
      <c r="AO13" s="105">
        <v>57.38</v>
      </c>
      <c r="AP13" s="105">
        <v>65.08</v>
      </c>
      <c r="AQ13" s="105">
        <v>132.93</v>
      </c>
      <c r="AR13" s="105">
        <v>59.88</v>
      </c>
      <c r="AS13" s="105">
        <v>14.02</v>
      </c>
      <c r="AT13" s="105">
        <v>79.59</v>
      </c>
      <c r="AU13" s="105">
        <v>241.73</v>
      </c>
      <c r="AV13" s="105">
        <v>111.08</v>
      </c>
      <c r="AW13" s="105">
        <v>363.05</v>
      </c>
      <c r="AX13" s="105">
        <v>19.760000000000002</v>
      </c>
      <c r="AY13" s="105">
        <v>97.97</v>
      </c>
      <c r="AZ13" s="105">
        <v>137.26018184</v>
      </c>
      <c r="BA13" s="105">
        <v>96.31</v>
      </c>
      <c r="BB13" s="105">
        <v>75.22</v>
      </c>
      <c r="BC13" s="105">
        <v>247.01</v>
      </c>
      <c r="BD13" s="105">
        <v>143.54</v>
      </c>
    </row>
    <row r="14" spans="1:56" x14ac:dyDescent="0.25">
      <c r="C14" s="98">
        <v>44273</v>
      </c>
      <c r="D14" s="105">
        <v>220.66</v>
      </c>
      <c r="E14" s="105">
        <v>192.28</v>
      </c>
      <c r="F14" s="105">
        <v>143.16999999999999</v>
      </c>
      <c r="G14" s="105">
        <v>66.739999999999995</v>
      </c>
      <c r="H14" s="105">
        <v>230.68</v>
      </c>
      <c r="I14" s="105">
        <v>278.62</v>
      </c>
      <c r="J14" s="105">
        <v>120.53</v>
      </c>
      <c r="K14" s="105">
        <v>3027.99</v>
      </c>
      <c r="L14" s="105">
        <v>504.79</v>
      </c>
      <c r="M14" s="105">
        <v>230.72</v>
      </c>
      <c r="N14" s="105">
        <v>2021.34</v>
      </c>
      <c r="O14" s="105">
        <v>156.07</v>
      </c>
      <c r="P14" s="105">
        <v>231.07</v>
      </c>
      <c r="Q14" s="105">
        <v>514.36</v>
      </c>
      <c r="R14" s="105">
        <v>62.4</v>
      </c>
      <c r="S14" s="105">
        <v>29.69</v>
      </c>
      <c r="T14" s="105">
        <v>154.29</v>
      </c>
      <c r="U14" s="105">
        <v>64.77</v>
      </c>
      <c r="V14" s="105">
        <v>94.64</v>
      </c>
      <c r="W14" s="105">
        <v>113.38</v>
      </c>
      <c r="X14" s="105">
        <v>60.94</v>
      </c>
      <c r="Y14" s="105">
        <v>127.39</v>
      </c>
      <c r="Z14" s="105">
        <v>145.16</v>
      </c>
      <c r="AA14" s="105">
        <v>112.38</v>
      </c>
      <c r="AB14" s="105">
        <v>9.89</v>
      </c>
      <c r="AC14" s="105">
        <v>226.99</v>
      </c>
      <c r="AD14" s="105">
        <v>126.3</v>
      </c>
      <c r="AE14" s="105">
        <v>90.72</v>
      </c>
      <c r="AF14" s="105">
        <v>33.479999999999997</v>
      </c>
      <c r="AG14" s="105">
        <v>86.01</v>
      </c>
      <c r="AH14" s="105">
        <v>77.62</v>
      </c>
      <c r="AI14" s="105">
        <v>38.24</v>
      </c>
      <c r="AJ14" s="105">
        <v>29.33</v>
      </c>
      <c r="AK14" s="105">
        <v>20.7</v>
      </c>
      <c r="AL14" s="105">
        <v>58.56</v>
      </c>
      <c r="AM14" s="105">
        <v>130.06</v>
      </c>
      <c r="AN14" s="105">
        <v>230.86</v>
      </c>
      <c r="AO14" s="105">
        <v>56.31</v>
      </c>
      <c r="AP14" s="105">
        <v>66.52</v>
      </c>
      <c r="AQ14" s="105">
        <v>133.84</v>
      </c>
      <c r="AR14" s="105">
        <v>62.26</v>
      </c>
      <c r="AS14" s="105">
        <v>14.59</v>
      </c>
      <c r="AT14" s="105">
        <v>78.819999999999993</v>
      </c>
      <c r="AU14" s="105">
        <v>239.2</v>
      </c>
      <c r="AV14" s="105">
        <v>105.25</v>
      </c>
      <c r="AW14" s="105">
        <v>365.36</v>
      </c>
      <c r="AX14" s="105">
        <v>19.475000000000001</v>
      </c>
      <c r="AY14" s="105">
        <v>103.76</v>
      </c>
      <c r="AZ14" s="105">
        <v>143.66227892000001</v>
      </c>
      <c r="BA14" s="105">
        <v>91.88</v>
      </c>
      <c r="BB14" s="105">
        <v>74.709999999999994</v>
      </c>
      <c r="BC14" s="105">
        <v>255.685</v>
      </c>
      <c r="BD14" s="105">
        <v>142.61000000000001</v>
      </c>
    </row>
    <row r="15" spans="1:56" x14ac:dyDescent="0.25">
      <c r="C15" s="98">
        <v>44266</v>
      </c>
      <c r="D15" s="105">
        <v>226.15</v>
      </c>
      <c r="E15" s="105">
        <v>196.75</v>
      </c>
      <c r="F15" s="105">
        <v>141.19</v>
      </c>
      <c r="G15" s="105">
        <v>67.41</v>
      </c>
      <c r="H15" s="105">
        <v>219.76</v>
      </c>
      <c r="I15" s="105">
        <v>273.88</v>
      </c>
      <c r="J15" s="105">
        <v>121.96</v>
      </c>
      <c r="K15" s="105">
        <v>3113.59</v>
      </c>
      <c r="L15" s="105">
        <v>523.05999999999995</v>
      </c>
      <c r="M15" s="105">
        <v>237.13</v>
      </c>
      <c r="N15" s="105">
        <v>2100.54</v>
      </c>
      <c r="O15" s="105">
        <v>151.9</v>
      </c>
      <c r="P15" s="105">
        <v>228.61</v>
      </c>
      <c r="Q15" s="105">
        <v>544</v>
      </c>
      <c r="R15" s="105">
        <v>61.86</v>
      </c>
      <c r="S15" s="105">
        <v>27.21</v>
      </c>
      <c r="T15" s="105">
        <v>148.83000000000001</v>
      </c>
      <c r="U15" s="105">
        <v>63.16</v>
      </c>
      <c r="V15" s="105">
        <v>90.99</v>
      </c>
      <c r="W15" s="105">
        <v>108.58</v>
      </c>
      <c r="X15" s="105">
        <v>58.47</v>
      </c>
      <c r="Y15" s="105">
        <v>127.54</v>
      </c>
      <c r="Z15" s="105">
        <v>156.88</v>
      </c>
      <c r="AA15" s="105">
        <v>124.19</v>
      </c>
      <c r="AB15" s="105">
        <v>10.210000000000001</v>
      </c>
      <c r="AC15" s="105">
        <v>221.91</v>
      </c>
      <c r="AD15" s="105">
        <v>122.27</v>
      </c>
      <c r="AE15" s="105">
        <v>96.21</v>
      </c>
      <c r="AF15" s="105">
        <v>33.450000000000003</v>
      </c>
      <c r="AG15" s="105">
        <v>92.43</v>
      </c>
      <c r="AH15" s="105">
        <v>73.7</v>
      </c>
      <c r="AI15" s="105">
        <v>37.03</v>
      </c>
      <c r="AJ15" s="105">
        <v>28.44</v>
      </c>
      <c r="AK15" s="105">
        <v>19.434999999999999</v>
      </c>
      <c r="AL15" s="105">
        <v>57.51</v>
      </c>
      <c r="AM15" s="105">
        <v>127.14</v>
      </c>
      <c r="AN15" s="105">
        <v>239.26</v>
      </c>
      <c r="AO15" s="105">
        <v>55.51</v>
      </c>
      <c r="AP15" s="105">
        <v>66.08</v>
      </c>
      <c r="AQ15" s="105">
        <v>138.19</v>
      </c>
      <c r="AR15" s="105">
        <v>58.45</v>
      </c>
      <c r="AS15" s="105">
        <v>14.1</v>
      </c>
      <c r="AT15" s="105">
        <v>81.03</v>
      </c>
      <c r="AU15" s="105">
        <v>238.2</v>
      </c>
      <c r="AV15" s="105">
        <v>108.57</v>
      </c>
      <c r="AW15" s="105">
        <v>389.84</v>
      </c>
      <c r="AX15" s="105">
        <v>20.6</v>
      </c>
      <c r="AY15" s="105">
        <v>106.8</v>
      </c>
      <c r="AZ15" s="105">
        <v>132.93365048000001</v>
      </c>
      <c r="BA15" s="105">
        <v>93.22</v>
      </c>
      <c r="BB15" s="105">
        <v>73.75</v>
      </c>
      <c r="BC15" s="105">
        <v>251.13</v>
      </c>
      <c r="BD15" s="105">
        <v>136.47</v>
      </c>
    </row>
    <row r="16" spans="1:56" x14ac:dyDescent="0.25">
      <c r="C16" s="98">
        <v>44259</v>
      </c>
      <c r="D16" s="105">
        <v>211.5</v>
      </c>
      <c r="E16" s="105">
        <v>188.03</v>
      </c>
      <c r="F16" s="105">
        <v>132.04</v>
      </c>
      <c r="G16" s="105">
        <v>65.61</v>
      </c>
      <c r="H16" s="105">
        <v>212.77</v>
      </c>
      <c r="I16" s="105">
        <v>257.64</v>
      </c>
      <c r="J16" s="105">
        <v>120.13</v>
      </c>
      <c r="K16" s="105">
        <v>2977.57</v>
      </c>
      <c r="L16" s="105">
        <v>511.29</v>
      </c>
      <c r="M16" s="105">
        <v>226.73</v>
      </c>
      <c r="N16" s="105">
        <v>2033.93</v>
      </c>
      <c r="O16" s="105">
        <v>146.09</v>
      </c>
      <c r="P16" s="105">
        <v>211.15</v>
      </c>
      <c r="Q16" s="105">
        <v>520.45000000000005</v>
      </c>
      <c r="R16" s="105">
        <v>58.92</v>
      </c>
      <c r="S16" s="105">
        <v>27.91</v>
      </c>
      <c r="T16" s="105">
        <v>144.77000000000001</v>
      </c>
      <c r="U16" s="105">
        <v>62.35</v>
      </c>
      <c r="V16" s="105">
        <v>80.42</v>
      </c>
      <c r="W16" s="105">
        <v>98.24</v>
      </c>
      <c r="X16" s="105">
        <v>56.08</v>
      </c>
      <c r="Y16" s="105">
        <v>120.36</v>
      </c>
      <c r="Z16" s="105">
        <v>140.07</v>
      </c>
      <c r="AA16" s="105">
        <v>118.46</v>
      </c>
      <c r="AB16" s="105">
        <v>10.48</v>
      </c>
      <c r="AC16" s="105">
        <v>193.53</v>
      </c>
      <c r="AD16" s="105">
        <v>115.04</v>
      </c>
      <c r="AE16" s="105">
        <v>85.15</v>
      </c>
      <c r="AF16" s="105">
        <v>29.57</v>
      </c>
      <c r="AG16" s="105">
        <v>82.16</v>
      </c>
      <c r="AH16" s="105">
        <v>69.86</v>
      </c>
      <c r="AI16" s="105">
        <v>34.17</v>
      </c>
      <c r="AJ16" s="105">
        <v>26.774999999999999</v>
      </c>
      <c r="AK16" s="105">
        <v>18.82</v>
      </c>
      <c r="AL16" s="105">
        <v>57.02</v>
      </c>
      <c r="AM16" s="105">
        <v>120.11</v>
      </c>
      <c r="AN16" s="105">
        <v>235.8</v>
      </c>
      <c r="AO16" s="105">
        <v>54.8</v>
      </c>
      <c r="AP16" s="105">
        <v>62.55</v>
      </c>
      <c r="AQ16" s="105">
        <v>139.47</v>
      </c>
      <c r="AR16" s="105">
        <v>55.42</v>
      </c>
      <c r="AS16" s="105">
        <v>13.59</v>
      </c>
      <c r="AT16" s="105">
        <v>79.42</v>
      </c>
      <c r="AU16" s="105">
        <v>240.88</v>
      </c>
      <c r="AV16" s="105">
        <v>101.81</v>
      </c>
      <c r="AW16" s="105">
        <v>348.69</v>
      </c>
      <c r="AX16" s="105">
        <v>18.8</v>
      </c>
      <c r="AY16" s="105">
        <v>103.33</v>
      </c>
      <c r="AZ16" s="105">
        <v>122.54607744</v>
      </c>
      <c r="BA16" s="105">
        <v>82.19</v>
      </c>
      <c r="BB16" s="105">
        <v>68.790000000000006</v>
      </c>
      <c r="BC16" s="105">
        <v>244.03</v>
      </c>
      <c r="BD16" s="105">
        <v>128.08000000000001</v>
      </c>
    </row>
    <row r="17" spans="3:56" x14ac:dyDescent="0.25">
      <c r="C17" s="98">
        <v>44252</v>
      </c>
      <c r="D17" s="105">
        <v>213.75</v>
      </c>
      <c r="E17" s="105">
        <v>190.98</v>
      </c>
      <c r="F17" s="105">
        <v>135.54</v>
      </c>
      <c r="G17" s="105">
        <v>65.3</v>
      </c>
      <c r="H17" s="105">
        <v>221.82</v>
      </c>
      <c r="I17" s="105">
        <v>254.69</v>
      </c>
      <c r="J17" s="105">
        <v>120.99</v>
      </c>
      <c r="K17" s="105">
        <v>3057.16</v>
      </c>
      <c r="L17" s="105">
        <v>546.70000000000005</v>
      </c>
      <c r="M17" s="105">
        <v>228.99</v>
      </c>
      <c r="N17" s="105">
        <v>2015.95</v>
      </c>
      <c r="O17" s="105">
        <v>147.57</v>
      </c>
      <c r="P17" s="105">
        <v>217.93</v>
      </c>
      <c r="Q17" s="105">
        <v>556.11</v>
      </c>
      <c r="R17" s="105">
        <v>59.84</v>
      </c>
      <c r="S17" s="105">
        <v>26.99</v>
      </c>
      <c r="T17" s="105">
        <v>150.09</v>
      </c>
      <c r="U17" s="105">
        <v>62.55</v>
      </c>
      <c r="V17" s="105">
        <v>80.400000000000006</v>
      </c>
      <c r="W17" s="105">
        <v>102.94</v>
      </c>
      <c r="X17" s="105">
        <v>58.31</v>
      </c>
      <c r="Y17" s="105">
        <v>133.1</v>
      </c>
      <c r="Z17" s="105">
        <v>154.35</v>
      </c>
      <c r="AA17" s="105">
        <v>130.71</v>
      </c>
      <c r="AB17" s="105">
        <v>11.04</v>
      </c>
      <c r="AC17" s="105">
        <v>207.91</v>
      </c>
      <c r="AD17" s="105">
        <v>113.4</v>
      </c>
      <c r="AE17" s="105">
        <v>89.64</v>
      </c>
      <c r="AF17" s="105">
        <v>30.78</v>
      </c>
      <c r="AG17" s="105">
        <v>82.32</v>
      </c>
      <c r="AH17" s="105">
        <v>73.040000000000006</v>
      </c>
      <c r="AI17" s="105">
        <v>33.409999999999997</v>
      </c>
      <c r="AJ17" s="105">
        <v>28.18</v>
      </c>
      <c r="AK17" s="105">
        <v>18.489999999999998</v>
      </c>
      <c r="AL17" s="105">
        <v>55.66</v>
      </c>
      <c r="AM17" s="105">
        <v>122.47</v>
      </c>
      <c r="AN17" s="105">
        <v>245.78</v>
      </c>
      <c r="AO17" s="105">
        <v>56.5</v>
      </c>
      <c r="AP17" s="105">
        <v>67.680000000000007</v>
      </c>
      <c r="AQ17" s="105">
        <v>145.08000000000001</v>
      </c>
      <c r="AR17" s="105">
        <v>56.12</v>
      </c>
      <c r="AS17" s="105">
        <v>15.05</v>
      </c>
      <c r="AT17" s="105">
        <v>80.400000000000006</v>
      </c>
      <c r="AU17" s="105">
        <v>247.15</v>
      </c>
      <c r="AV17" s="105">
        <v>98.88</v>
      </c>
      <c r="AW17" s="105">
        <v>368.31</v>
      </c>
      <c r="AX17" s="105">
        <v>19.37</v>
      </c>
      <c r="AY17" s="105">
        <v>108.47</v>
      </c>
      <c r="AZ17" s="105">
        <v>125.85918703999999</v>
      </c>
      <c r="BA17" s="105">
        <v>82.17</v>
      </c>
      <c r="BB17" s="105">
        <v>69.010000000000005</v>
      </c>
      <c r="BC17" s="105">
        <v>248.71</v>
      </c>
      <c r="BD17" s="105">
        <v>125.17</v>
      </c>
    </row>
    <row r="18" spans="3:56" x14ac:dyDescent="0.25">
      <c r="C18" s="98">
        <v>44245</v>
      </c>
      <c r="D18" s="105">
        <v>209.35</v>
      </c>
      <c r="E18" s="105">
        <v>183</v>
      </c>
      <c r="F18" s="105">
        <v>145.09</v>
      </c>
      <c r="G18" s="105">
        <v>62.07</v>
      </c>
      <c r="H18" s="105">
        <v>199.92</v>
      </c>
      <c r="I18" s="105">
        <v>269.39</v>
      </c>
      <c r="J18" s="105">
        <v>129.71</v>
      </c>
      <c r="K18" s="105">
        <v>3328.23</v>
      </c>
      <c r="L18" s="105">
        <v>548.22</v>
      </c>
      <c r="M18" s="105">
        <v>243.79</v>
      </c>
      <c r="N18" s="105">
        <v>2105.81</v>
      </c>
      <c r="O18" s="105">
        <v>152.99</v>
      </c>
      <c r="P18" s="105">
        <v>226.18</v>
      </c>
      <c r="Q18" s="105">
        <v>594.99</v>
      </c>
      <c r="R18" s="105">
        <v>62.3</v>
      </c>
      <c r="S18" s="105">
        <v>27.77</v>
      </c>
      <c r="T18" s="105">
        <v>131.97999999999999</v>
      </c>
      <c r="U18" s="105">
        <v>58.24</v>
      </c>
      <c r="V18" s="105">
        <v>86.38</v>
      </c>
      <c r="W18" s="105">
        <v>116.76</v>
      </c>
      <c r="X18" s="105">
        <v>51.95</v>
      </c>
      <c r="Y18" s="105">
        <v>139.51</v>
      </c>
      <c r="Z18" s="105">
        <v>159.58000000000001</v>
      </c>
      <c r="AA18" s="105">
        <v>143.11000000000001</v>
      </c>
      <c r="AB18" s="105">
        <v>12.1</v>
      </c>
      <c r="AC18" s="105">
        <v>237.15</v>
      </c>
      <c r="AD18" s="105">
        <v>118.22</v>
      </c>
      <c r="AE18" s="105">
        <v>102.35</v>
      </c>
      <c r="AF18" s="105">
        <v>27.65</v>
      </c>
      <c r="AG18" s="105">
        <v>96.05</v>
      </c>
      <c r="AH18" s="105">
        <v>73.180000000000007</v>
      </c>
      <c r="AI18" s="105">
        <v>32.01</v>
      </c>
      <c r="AJ18" s="105">
        <v>28.094999999999999</v>
      </c>
      <c r="AK18" s="105">
        <v>16.809999999999999</v>
      </c>
      <c r="AL18" s="105">
        <v>55.69</v>
      </c>
      <c r="AM18" s="105">
        <v>120.73</v>
      </c>
      <c r="AN18" s="105">
        <v>245.16</v>
      </c>
      <c r="AO18" s="105">
        <v>56.98</v>
      </c>
      <c r="AP18" s="105">
        <v>68.3</v>
      </c>
      <c r="AQ18" s="105">
        <v>166.65</v>
      </c>
      <c r="AR18" s="105">
        <v>57.36</v>
      </c>
      <c r="AS18" s="105">
        <v>18.27</v>
      </c>
      <c r="AT18" s="105">
        <v>74.930000000000007</v>
      </c>
      <c r="AU18" s="105">
        <v>255.82</v>
      </c>
      <c r="AV18" s="105">
        <v>107.76</v>
      </c>
      <c r="AW18" s="105">
        <v>401.55</v>
      </c>
      <c r="AX18" s="105">
        <v>20.995000000000001</v>
      </c>
      <c r="AY18" s="105">
        <v>97.32</v>
      </c>
      <c r="AZ18" s="105">
        <v>112.12927108</v>
      </c>
      <c r="BA18" s="105">
        <v>84.21</v>
      </c>
      <c r="BB18" s="105">
        <v>73.58</v>
      </c>
      <c r="BC18" s="105">
        <v>229.48</v>
      </c>
      <c r="BD18" s="105">
        <v>122.77</v>
      </c>
    </row>
    <row r="19" spans="3:56" x14ac:dyDescent="0.25">
      <c r="C19" s="98">
        <v>44238</v>
      </c>
      <c r="D19" s="105">
        <v>210.66</v>
      </c>
      <c r="E19" s="105">
        <v>190.91</v>
      </c>
      <c r="F19" s="105">
        <v>143.54</v>
      </c>
      <c r="G19" s="105">
        <v>62.7</v>
      </c>
      <c r="H19" s="105">
        <v>198.35</v>
      </c>
      <c r="I19" s="105">
        <v>270.39</v>
      </c>
      <c r="J19" s="105">
        <v>135.13</v>
      </c>
      <c r="K19" s="105">
        <v>3262.13</v>
      </c>
      <c r="L19" s="105">
        <v>557.59</v>
      </c>
      <c r="M19" s="105">
        <v>244.49</v>
      </c>
      <c r="N19" s="105">
        <v>2088.75</v>
      </c>
      <c r="O19" s="105">
        <v>150.41999999999999</v>
      </c>
      <c r="P19" s="105">
        <v>236.39</v>
      </c>
      <c r="Q19" s="105">
        <v>599</v>
      </c>
      <c r="R19" s="105">
        <v>61.57</v>
      </c>
      <c r="S19" s="105">
        <v>27.94</v>
      </c>
      <c r="T19" s="105">
        <v>126.65</v>
      </c>
      <c r="U19" s="105">
        <v>55</v>
      </c>
      <c r="V19" s="105">
        <v>94.56</v>
      </c>
      <c r="W19" s="105">
        <v>119.59</v>
      </c>
      <c r="X19" s="105">
        <v>51.42</v>
      </c>
      <c r="Y19" s="105">
        <v>171.37</v>
      </c>
      <c r="Z19" s="105">
        <v>167.79</v>
      </c>
      <c r="AA19" s="105">
        <v>146.01</v>
      </c>
      <c r="AB19" s="105">
        <v>11.98</v>
      </c>
      <c r="AC19" s="105">
        <v>242.2</v>
      </c>
      <c r="AD19" s="105">
        <v>117.6</v>
      </c>
      <c r="AE19" s="105">
        <v>104</v>
      </c>
      <c r="AF19" s="105">
        <v>27.85</v>
      </c>
      <c r="AG19" s="105">
        <v>92.08</v>
      </c>
      <c r="AH19" s="105">
        <v>76.19</v>
      </c>
      <c r="AI19" s="105">
        <v>32.18</v>
      </c>
      <c r="AJ19" s="105">
        <v>27.77</v>
      </c>
      <c r="AK19" s="105">
        <v>16.52</v>
      </c>
      <c r="AL19" s="105">
        <v>58.34</v>
      </c>
      <c r="AM19" s="105">
        <v>120.91</v>
      </c>
      <c r="AN19" s="105">
        <v>245.34</v>
      </c>
      <c r="AO19" s="105">
        <v>54.6</v>
      </c>
      <c r="AP19" s="105">
        <v>69.02</v>
      </c>
      <c r="AQ19" s="105">
        <v>169.96</v>
      </c>
      <c r="AR19" s="105">
        <v>58.38</v>
      </c>
      <c r="AS19" s="105">
        <v>18.239999999999998</v>
      </c>
      <c r="AT19" s="105">
        <v>76.22</v>
      </c>
      <c r="AU19" s="105">
        <v>253.39</v>
      </c>
      <c r="AV19" s="105">
        <v>109.09</v>
      </c>
      <c r="AW19" s="105">
        <v>407.32</v>
      </c>
      <c r="AX19" s="105">
        <v>21.25</v>
      </c>
      <c r="AY19" s="105">
        <v>97.74</v>
      </c>
      <c r="AZ19" s="105">
        <v>117.82002404000001</v>
      </c>
      <c r="BA19" s="105">
        <v>90.82</v>
      </c>
      <c r="BB19" s="105">
        <v>73.349999999999994</v>
      </c>
      <c r="BC19" s="105">
        <v>215.43</v>
      </c>
      <c r="BD19" s="105">
        <v>130.47999999999999</v>
      </c>
    </row>
    <row r="20" spans="3:56" x14ac:dyDescent="0.25">
      <c r="C20" s="98">
        <v>44231</v>
      </c>
      <c r="D20" s="105">
        <v>209.25</v>
      </c>
      <c r="E20" s="105">
        <v>180.23</v>
      </c>
      <c r="F20" s="105">
        <v>140.63</v>
      </c>
      <c r="G20" s="105">
        <v>63.35</v>
      </c>
      <c r="H20" s="105">
        <v>191.65</v>
      </c>
      <c r="I20" s="105">
        <v>266.49</v>
      </c>
      <c r="J20" s="105">
        <v>137.38999999999999</v>
      </c>
      <c r="K20" s="105">
        <v>3331</v>
      </c>
      <c r="L20" s="105">
        <v>552.16</v>
      </c>
      <c r="M20" s="105">
        <v>242.01</v>
      </c>
      <c r="N20" s="105">
        <v>2053.63</v>
      </c>
      <c r="O20" s="105">
        <v>147.22</v>
      </c>
      <c r="P20" s="105">
        <v>223.51</v>
      </c>
      <c r="Q20" s="105">
        <v>615.16</v>
      </c>
      <c r="R20" s="105">
        <v>63.59</v>
      </c>
      <c r="S20" s="105">
        <v>27.9</v>
      </c>
      <c r="T20" s="105">
        <v>125.45</v>
      </c>
      <c r="U20" s="105">
        <v>52.95</v>
      </c>
      <c r="V20" s="105">
        <v>86.87</v>
      </c>
      <c r="W20" s="105">
        <v>113.84</v>
      </c>
      <c r="X20" s="105">
        <v>49.13</v>
      </c>
      <c r="Y20" s="105">
        <v>152.88999999999999</v>
      </c>
      <c r="Z20" s="105">
        <v>154.01</v>
      </c>
      <c r="AA20" s="105">
        <v>138.37</v>
      </c>
      <c r="AB20" s="105">
        <v>10.29</v>
      </c>
      <c r="AC20" s="105">
        <v>233.88</v>
      </c>
      <c r="AD20" s="105">
        <v>118.08</v>
      </c>
      <c r="AE20" s="105">
        <v>98.18</v>
      </c>
      <c r="AF20" s="105">
        <v>27.45</v>
      </c>
      <c r="AG20" s="105">
        <v>92.05</v>
      </c>
      <c r="AH20" s="105">
        <v>74.05</v>
      </c>
      <c r="AI20" s="105">
        <v>28.63</v>
      </c>
      <c r="AJ20" s="105">
        <v>27.46</v>
      </c>
      <c r="AK20" s="105">
        <v>15.95</v>
      </c>
      <c r="AL20" s="105">
        <v>58.89</v>
      </c>
      <c r="AM20" s="105">
        <v>121.02</v>
      </c>
      <c r="AN20" s="105">
        <v>237.08</v>
      </c>
      <c r="AO20" s="105">
        <v>55.14</v>
      </c>
      <c r="AP20" s="105">
        <v>68.58</v>
      </c>
      <c r="AQ20" s="105">
        <v>172.26</v>
      </c>
      <c r="AR20" s="105">
        <v>57.66</v>
      </c>
      <c r="AS20" s="105">
        <v>18</v>
      </c>
      <c r="AT20" s="105">
        <v>76.52</v>
      </c>
      <c r="AU20" s="105">
        <v>254.89</v>
      </c>
      <c r="AV20" s="105">
        <v>106.14</v>
      </c>
      <c r="AW20" s="105">
        <v>428.16</v>
      </c>
      <c r="AX20" s="105">
        <v>20.96</v>
      </c>
      <c r="AY20" s="105">
        <v>103.46</v>
      </c>
      <c r="AZ20" s="105">
        <v>118.0051684</v>
      </c>
      <c r="BA20" s="105">
        <v>82.57</v>
      </c>
      <c r="BB20" s="105">
        <v>72.41</v>
      </c>
      <c r="BC20" s="105">
        <v>219.38</v>
      </c>
      <c r="BD20" s="105">
        <v>131.88</v>
      </c>
    </row>
    <row r="21" spans="3:56" x14ac:dyDescent="0.25">
      <c r="C21" s="98">
        <v>44224</v>
      </c>
      <c r="D21" s="105">
        <v>198.22</v>
      </c>
      <c r="E21" s="105">
        <v>171.88</v>
      </c>
      <c r="F21" s="105">
        <v>134.72</v>
      </c>
      <c r="G21" s="105">
        <v>61.22</v>
      </c>
      <c r="H21" s="105">
        <v>184.34</v>
      </c>
      <c r="I21" s="105">
        <v>265</v>
      </c>
      <c r="J21" s="105">
        <v>137.09</v>
      </c>
      <c r="K21" s="105">
        <v>3237.62</v>
      </c>
      <c r="L21" s="105">
        <v>538.6</v>
      </c>
      <c r="M21" s="105">
        <v>238.93</v>
      </c>
      <c r="N21" s="105">
        <v>1853.2</v>
      </c>
      <c r="O21" s="105">
        <v>148.21</v>
      </c>
      <c r="P21" s="105">
        <v>216.85</v>
      </c>
      <c r="Q21" s="105">
        <v>536.58000000000004</v>
      </c>
      <c r="R21" s="105">
        <v>63.64</v>
      </c>
      <c r="S21" s="105">
        <v>28.13</v>
      </c>
      <c r="T21" s="105">
        <v>120.71</v>
      </c>
      <c r="U21" s="105">
        <v>49.08</v>
      </c>
      <c r="V21" s="105">
        <v>84.31</v>
      </c>
      <c r="W21" s="105">
        <v>112.31</v>
      </c>
      <c r="X21" s="105">
        <v>44.6</v>
      </c>
      <c r="Y21" s="105">
        <v>153.69</v>
      </c>
      <c r="Z21" s="105">
        <v>145.68</v>
      </c>
      <c r="AA21" s="105">
        <v>131.66</v>
      </c>
      <c r="AB21" s="105">
        <v>9.85</v>
      </c>
      <c r="AC21" s="105">
        <v>238.4</v>
      </c>
      <c r="AD21" s="105">
        <v>114.67</v>
      </c>
      <c r="AE21" s="105">
        <v>91.97</v>
      </c>
      <c r="AF21" s="105">
        <v>27.21</v>
      </c>
      <c r="AG21" s="105">
        <v>97.55</v>
      </c>
      <c r="AH21" s="105">
        <v>68.11</v>
      </c>
      <c r="AI21" s="105">
        <v>27.17</v>
      </c>
      <c r="AJ21" s="105">
        <v>26.95</v>
      </c>
      <c r="AK21" s="105">
        <v>14.65</v>
      </c>
      <c r="AL21" s="105">
        <v>58.89</v>
      </c>
      <c r="AM21" s="105">
        <v>120.08</v>
      </c>
      <c r="AN21" s="105">
        <v>230</v>
      </c>
      <c r="AO21" s="105">
        <v>55.37</v>
      </c>
      <c r="AP21" s="105">
        <v>65.489999999999995</v>
      </c>
      <c r="AQ21" s="105">
        <v>168.48</v>
      </c>
      <c r="AR21" s="105">
        <v>59.73</v>
      </c>
      <c r="AS21" s="105">
        <v>17.190000000000001</v>
      </c>
      <c r="AT21" s="105">
        <v>74.150000000000006</v>
      </c>
      <c r="AU21" s="105">
        <v>256.20999999999998</v>
      </c>
      <c r="AV21" s="105">
        <v>102.87</v>
      </c>
      <c r="AW21" s="105">
        <v>386.79</v>
      </c>
      <c r="AX21" s="105">
        <v>21.15</v>
      </c>
      <c r="AY21" s="105">
        <v>85.45</v>
      </c>
      <c r="AZ21" s="105">
        <v>109.55673892</v>
      </c>
      <c r="BA21" s="105">
        <v>76.89</v>
      </c>
      <c r="BB21" s="105">
        <v>73.05</v>
      </c>
      <c r="BC21" s="105">
        <v>187.82</v>
      </c>
      <c r="BD21" s="105">
        <v>133.5</v>
      </c>
    </row>
    <row r="22" spans="3:56" x14ac:dyDescent="0.25">
      <c r="C22" s="98">
        <v>44217</v>
      </c>
      <c r="D22" s="105">
        <v>205.14</v>
      </c>
      <c r="E22" s="105">
        <v>171.28</v>
      </c>
      <c r="F22" s="105">
        <v>141.61000000000001</v>
      </c>
      <c r="G22" s="105">
        <v>61.21</v>
      </c>
      <c r="H22" s="105">
        <v>192.19</v>
      </c>
      <c r="I22" s="105">
        <v>272.87</v>
      </c>
      <c r="J22" s="105">
        <v>136.87</v>
      </c>
      <c r="K22" s="105">
        <v>3306.99</v>
      </c>
      <c r="L22" s="105">
        <v>579.84</v>
      </c>
      <c r="M22" s="105">
        <v>224.97</v>
      </c>
      <c r="N22" s="105">
        <v>1884.15</v>
      </c>
      <c r="O22" s="105">
        <v>148.97999999999999</v>
      </c>
      <c r="P22" s="105">
        <v>228.69</v>
      </c>
      <c r="Q22" s="105">
        <v>543.80999999999995</v>
      </c>
      <c r="R22" s="105">
        <v>65.11</v>
      </c>
      <c r="S22" s="105">
        <v>27.76</v>
      </c>
      <c r="T22" s="105">
        <v>126.62</v>
      </c>
      <c r="U22" s="105">
        <v>55.38</v>
      </c>
      <c r="V22" s="105">
        <v>83.6</v>
      </c>
      <c r="W22" s="105">
        <v>114.5</v>
      </c>
      <c r="X22" s="105">
        <v>47.77</v>
      </c>
      <c r="Y22" s="105">
        <v>154.08000000000001</v>
      </c>
      <c r="Z22" s="105">
        <v>145.44999999999999</v>
      </c>
      <c r="AA22" s="105">
        <v>142.6</v>
      </c>
      <c r="AB22" s="105">
        <v>10.35</v>
      </c>
      <c r="AC22" s="105">
        <v>255.5</v>
      </c>
      <c r="AD22" s="105">
        <v>120.05</v>
      </c>
      <c r="AE22" s="105">
        <v>95.19</v>
      </c>
      <c r="AF22" s="105">
        <v>28.41</v>
      </c>
      <c r="AG22" s="105">
        <v>93.2</v>
      </c>
      <c r="AH22" s="105">
        <v>67.78</v>
      </c>
      <c r="AI22" s="105">
        <v>28.63</v>
      </c>
      <c r="AJ22" s="105">
        <v>24.73</v>
      </c>
      <c r="AK22" s="105">
        <v>15.27</v>
      </c>
      <c r="AL22" s="105">
        <v>59.33</v>
      </c>
      <c r="AM22" s="105">
        <v>131.65</v>
      </c>
      <c r="AN22" s="105">
        <v>243.6</v>
      </c>
      <c r="AO22" s="105">
        <v>57.27</v>
      </c>
      <c r="AP22" s="105">
        <v>68.06</v>
      </c>
      <c r="AQ22" s="105">
        <v>171.83</v>
      </c>
      <c r="AR22" s="105">
        <v>62.31</v>
      </c>
      <c r="AS22" s="105">
        <v>17.309999999999999</v>
      </c>
      <c r="AT22" s="105">
        <v>76.83</v>
      </c>
      <c r="AU22" s="105">
        <v>261.89999999999998</v>
      </c>
      <c r="AV22" s="105">
        <v>107.79</v>
      </c>
      <c r="AW22" s="105">
        <v>404.53</v>
      </c>
      <c r="AX22" s="105">
        <v>22.6</v>
      </c>
      <c r="AY22" s="105">
        <v>91.71</v>
      </c>
      <c r="AZ22" s="105">
        <v>112.12927108</v>
      </c>
      <c r="BA22" s="105">
        <v>76.91</v>
      </c>
      <c r="BB22" s="105">
        <v>70.62</v>
      </c>
      <c r="BC22" s="105">
        <v>190.25</v>
      </c>
      <c r="BD22" s="105">
        <v>137.71</v>
      </c>
    </row>
    <row r="23" spans="3:56" x14ac:dyDescent="0.25">
      <c r="C23" s="98">
        <v>44210</v>
      </c>
      <c r="D23" s="105">
        <v>201.86</v>
      </c>
      <c r="E23" s="105">
        <v>173.43</v>
      </c>
      <c r="F23" s="105">
        <v>141.30000000000001</v>
      </c>
      <c r="G23" s="105">
        <v>61.6</v>
      </c>
      <c r="H23" s="105">
        <v>197.4</v>
      </c>
      <c r="I23" s="105">
        <v>245.64</v>
      </c>
      <c r="J23" s="105">
        <v>128.91</v>
      </c>
      <c r="K23" s="105">
        <v>3127.47</v>
      </c>
      <c r="L23" s="105">
        <v>500.86</v>
      </c>
      <c r="M23" s="105">
        <v>213.02</v>
      </c>
      <c r="N23" s="105">
        <v>1730.92</v>
      </c>
      <c r="O23" s="105">
        <v>147.41999999999999</v>
      </c>
      <c r="P23" s="105">
        <v>223.9</v>
      </c>
      <c r="Q23" s="105">
        <v>554.64</v>
      </c>
      <c r="R23" s="105">
        <v>63.56</v>
      </c>
      <c r="S23" s="105">
        <v>28.21</v>
      </c>
      <c r="T23" s="105">
        <v>128.93</v>
      </c>
      <c r="U23" s="105">
        <v>55.68</v>
      </c>
      <c r="V23" s="105">
        <v>75.010000000000005</v>
      </c>
      <c r="W23" s="105">
        <v>113.92</v>
      </c>
      <c r="X23" s="105">
        <v>48.82</v>
      </c>
      <c r="Y23" s="105">
        <v>146.28</v>
      </c>
      <c r="Z23" s="105">
        <v>143.5</v>
      </c>
      <c r="AA23" s="105">
        <v>133.5</v>
      </c>
      <c r="AB23" s="105">
        <v>9.91</v>
      </c>
      <c r="AC23" s="105">
        <v>256.77</v>
      </c>
      <c r="AD23" s="105">
        <v>120.8</v>
      </c>
      <c r="AE23" s="105">
        <v>91.98</v>
      </c>
      <c r="AF23" s="105">
        <v>28.9</v>
      </c>
      <c r="AG23" s="105">
        <v>96.5</v>
      </c>
      <c r="AH23" s="105">
        <v>67.08</v>
      </c>
      <c r="AI23" s="105">
        <v>28.6</v>
      </c>
      <c r="AJ23" s="105">
        <v>24.67</v>
      </c>
      <c r="AK23" s="105">
        <v>15.72</v>
      </c>
      <c r="AL23" s="105">
        <v>61.63</v>
      </c>
      <c r="AM23" s="105">
        <v>128.97</v>
      </c>
      <c r="AN23" s="105">
        <v>242.13</v>
      </c>
      <c r="AO23" s="105">
        <v>57.04</v>
      </c>
      <c r="AP23" s="105">
        <v>68.02</v>
      </c>
      <c r="AQ23" s="105">
        <v>170.95</v>
      </c>
      <c r="AR23" s="105">
        <v>63.33</v>
      </c>
      <c r="AS23" s="105">
        <v>17.309999999999999</v>
      </c>
      <c r="AT23" s="105">
        <v>75.510000000000005</v>
      </c>
      <c r="AU23" s="105">
        <v>257.77</v>
      </c>
      <c r="AV23" s="105">
        <v>109.97</v>
      </c>
      <c r="AW23" s="105">
        <v>412.99</v>
      </c>
      <c r="AX23" s="105">
        <v>22.34</v>
      </c>
      <c r="AY23" s="105">
        <v>90.83</v>
      </c>
      <c r="AZ23" s="105">
        <v>113.29860388</v>
      </c>
      <c r="BA23" s="105">
        <v>75.260000000000005</v>
      </c>
      <c r="BB23" s="105">
        <v>71.459999999999994</v>
      </c>
      <c r="BC23" s="105">
        <v>196.11</v>
      </c>
      <c r="BD23" s="105">
        <v>139.13</v>
      </c>
    </row>
    <row r="24" spans="3:56" x14ac:dyDescent="0.25">
      <c r="C24" s="98">
        <v>44203</v>
      </c>
      <c r="D24" s="105">
        <v>213.81</v>
      </c>
      <c r="E24" s="105">
        <v>178.58</v>
      </c>
      <c r="F24" s="105">
        <v>144.94999999999999</v>
      </c>
      <c r="G24" s="105">
        <v>63.07</v>
      </c>
      <c r="H24" s="105">
        <v>194.23</v>
      </c>
      <c r="I24" s="105">
        <v>268.74</v>
      </c>
      <c r="J24" s="105">
        <v>130.91999999999999</v>
      </c>
      <c r="K24" s="105">
        <v>3162.16</v>
      </c>
      <c r="L24" s="105">
        <v>508.89</v>
      </c>
      <c r="M24" s="105">
        <v>218.29</v>
      </c>
      <c r="N24" s="105">
        <v>1774.34</v>
      </c>
      <c r="O24" s="105">
        <v>151.16999999999999</v>
      </c>
      <c r="P24" s="105">
        <v>228.87</v>
      </c>
      <c r="Q24" s="105">
        <v>558.36</v>
      </c>
      <c r="R24" s="105">
        <v>65.16</v>
      </c>
      <c r="S24" s="105">
        <v>27.74</v>
      </c>
      <c r="T24" s="105">
        <v>130.35</v>
      </c>
      <c r="U24" s="105">
        <v>58.15</v>
      </c>
      <c r="V24" s="105">
        <v>75.69</v>
      </c>
      <c r="W24" s="105">
        <v>107.71</v>
      </c>
      <c r="X24" s="105">
        <v>47.33</v>
      </c>
      <c r="Y24" s="105">
        <v>144.85</v>
      </c>
      <c r="Z24" s="105">
        <v>146.83000000000001</v>
      </c>
      <c r="AA24" s="105">
        <v>136.22999999999999</v>
      </c>
      <c r="AB24" s="105">
        <v>9.84</v>
      </c>
      <c r="AC24" s="105">
        <v>240.77</v>
      </c>
      <c r="AD24" s="105">
        <v>126.89</v>
      </c>
      <c r="AE24" s="105">
        <v>90.6</v>
      </c>
      <c r="AF24" s="105">
        <v>26.91</v>
      </c>
      <c r="AG24" s="105">
        <v>93.03</v>
      </c>
      <c r="AH24" s="105">
        <v>62.65</v>
      </c>
      <c r="AI24" s="105">
        <v>27.95</v>
      </c>
      <c r="AJ24" s="105">
        <v>25.6</v>
      </c>
      <c r="AK24" s="105">
        <v>14.51</v>
      </c>
      <c r="AL24" s="105">
        <v>62.05</v>
      </c>
      <c r="AM24" s="105">
        <v>128.99</v>
      </c>
      <c r="AN24" s="105">
        <v>243.72</v>
      </c>
      <c r="AO24" s="105">
        <v>58.53</v>
      </c>
      <c r="AP24" s="105">
        <v>69.900000000000006</v>
      </c>
      <c r="AQ24" s="105">
        <v>163.04</v>
      </c>
      <c r="AR24" s="105">
        <v>65.14</v>
      </c>
      <c r="AS24" s="105">
        <v>18.52</v>
      </c>
      <c r="AT24" s="105">
        <v>75.59</v>
      </c>
      <c r="AU24" s="105">
        <v>253.5</v>
      </c>
      <c r="AV24" s="105">
        <v>114.75</v>
      </c>
      <c r="AW24" s="105">
        <v>431.74</v>
      </c>
      <c r="AX24" s="105">
        <v>22.77</v>
      </c>
      <c r="AY24" s="105">
        <v>95.64</v>
      </c>
      <c r="AZ24" s="105">
        <v>111.8661712</v>
      </c>
      <c r="BA24" s="105">
        <v>77.03</v>
      </c>
      <c r="BB24" s="105">
        <v>74.41</v>
      </c>
      <c r="BC24" s="105">
        <v>190.53</v>
      </c>
      <c r="BD24" s="105">
        <v>139.34</v>
      </c>
    </row>
    <row r="25" spans="3:56" x14ac:dyDescent="0.25">
      <c r="C25" s="98">
        <v>44196</v>
      </c>
      <c r="D25" s="105">
        <v>218.73</v>
      </c>
      <c r="E25" s="105">
        <v>181.18</v>
      </c>
      <c r="F25" s="105">
        <v>141.47</v>
      </c>
      <c r="G25" s="105">
        <v>64.69</v>
      </c>
      <c r="H25" s="105">
        <v>182.02</v>
      </c>
      <c r="I25" s="105">
        <v>273.16000000000003</v>
      </c>
      <c r="J25" s="105">
        <v>132.69</v>
      </c>
      <c r="K25" s="105">
        <v>3256.93</v>
      </c>
      <c r="L25" s="105">
        <v>540.73</v>
      </c>
      <c r="M25" s="105">
        <v>222.42</v>
      </c>
      <c r="N25" s="105">
        <v>1752.64</v>
      </c>
      <c r="O25" s="105">
        <v>152.33000000000001</v>
      </c>
      <c r="P25" s="105">
        <v>219.05</v>
      </c>
      <c r="Q25" s="105">
        <v>534.38</v>
      </c>
      <c r="R25" s="105">
        <v>66.67</v>
      </c>
      <c r="S25" s="105">
        <v>28.2</v>
      </c>
      <c r="T25" s="105">
        <v>131.91999999999999</v>
      </c>
      <c r="U25" s="105">
        <v>59.6</v>
      </c>
      <c r="V25" s="105">
        <v>76.23</v>
      </c>
      <c r="W25" s="105">
        <v>99.79</v>
      </c>
      <c r="X25" s="105">
        <v>46.61</v>
      </c>
      <c r="Y25" s="105">
        <v>132.55000000000001</v>
      </c>
      <c r="Z25" s="105">
        <v>141.99</v>
      </c>
      <c r="AA25" s="105">
        <v>133.26</v>
      </c>
      <c r="AB25" s="105">
        <v>9.8699999999999992</v>
      </c>
      <c r="AC25" s="105">
        <v>229.8</v>
      </c>
      <c r="AD25" s="105">
        <v>119.2</v>
      </c>
      <c r="AE25" s="105">
        <v>83.72</v>
      </c>
      <c r="AF25" s="105">
        <v>23.01</v>
      </c>
      <c r="AG25" s="105">
        <v>81.77</v>
      </c>
      <c r="AH25" s="105">
        <v>56.21</v>
      </c>
      <c r="AI25" s="105">
        <v>27</v>
      </c>
      <c r="AJ25" s="105">
        <v>25.17</v>
      </c>
      <c r="AK25" s="105">
        <v>14.54</v>
      </c>
      <c r="AL25" s="105">
        <v>62.82</v>
      </c>
      <c r="AM25" s="105">
        <v>125.88</v>
      </c>
      <c r="AN25" s="105">
        <v>245.04</v>
      </c>
      <c r="AO25" s="105">
        <v>58.75</v>
      </c>
      <c r="AP25" s="105">
        <v>68.290000000000006</v>
      </c>
      <c r="AQ25" s="105">
        <v>169.89</v>
      </c>
      <c r="AR25" s="105">
        <v>59.89</v>
      </c>
      <c r="AS25" s="105">
        <v>18.739999999999998</v>
      </c>
      <c r="AT25" s="105">
        <v>74.260000000000005</v>
      </c>
      <c r="AU25" s="105">
        <v>250.22</v>
      </c>
      <c r="AV25" s="105">
        <v>108.04</v>
      </c>
      <c r="AW25" s="105">
        <v>452.25</v>
      </c>
      <c r="AX25" s="105">
        <v>23.06</v>
      </c>
      <c r="AY25" s="105">
        <v>83.58</v>
      </c>
      <c r="AZ25" s="105">
        <v>100.45543196</v>
      </c>
      <c r="BA25" s="105">
        <v>72.930000000000007</v>
      </c>
      <c r="BB25" s="105">
        <v>76.77</v>
      </c>
      <c r="BC25" s="105">
        <v>189.24</v>
      </c>
      <c r="BD25" s="105">
        <v>136.22</v>
      </c>
    </row>
    <row r="26" spans="3:56" x14ac:dyDescent="0.25">
      <c r="C26" s="98">
        <v>44189</v>
      </c>
      <c r="D26" s="105">
        <v>208.7</v>
      </c>
      <c r="E26" s="105">
        <v>173.73</v>
      </c>
      <c r="F26" s="105">
        <v>141.6</v>
      </c>
      <c r="G26" s="105">
        <v>64.959999999999994</v>
      </c>
      <c r="H26" s="105">
        <v>179.56</v>
      </c>
      <c r="I26" s="105">
        <v>267.39999999999998</v>
      </c>
      <c r="J26" s="105">
        <v>131.97</v>
      </c>
      <c r="K26" s="105">
        <v>3172.69</v>
      </c>
      <c r="L26" s="105">
        <v>513.97</v>
      </c>
      <c r="M26" s="105">
        <v>222.75</v>
      </c>
      <c r="N26" s="105">
        <v>1734.16</v>
      </c>
      <c r="O26" s="105">
        <v>149.94999999999999</v>
      </c>
      <c r="P26" s="105">
        <v>215.81</v>
      </c>
      <c r="Q26" s="105">
        <v>528.03</v>
      </c>
      <c r="R26" s="105">
        <v>64.63</v>
      </c>
      <c r="S26" s="105">
        <v>26.89</v>
      </c>
      <c r="T26" s="105">
        <v>128.75</v>
      </c>
      <c r="U26" s="105">
        <v>57.01</v>
      </c>
      <c r="V26" s="105">
        <v>80.430000000000007</v>
      </c>
      <c r="W26" s="105">
        <v>102.55</v>
      </c>
      <c r="X26" s="105">
        <v>46.28</v>
      </c>
      <c r="Y26" s="105">
        <v>140.76</v>
      </c>
      <c r="Z26" s="105">
        <v>143.31</v>
      </c>
      <c r="AA26" s="105">
        <v>138.63</v>
      </c>
      <c r="AB26" s="105">
        <v>9.91</v>
      </c>
      <c r="AC26" s="105">
        <v>233.15</v>
      </c>
      <c r="AD26" s="105">
        <v>119.14</v>
      </c>
      <c r="AE26" s="105">
        <v>86.29</v>
      </c>
      <c r="AF26" s="105">
        <v>21.96</v>
      </c>
      <c r="AG26" s="105">
        <v>82.51</v>
      </c>
      <c r="AH26" s="105">
        <v>55.59</v>
      </c>
      <c r="AI26" s="105">
        <v>28.06</v>
      </c>
      <c r="AJ26" s="105">
        <v>25.05</v>
      </c>
      <c r="AK26" s="105">
        <v>14.43</v>
      </c>
      <c r="AL26" s="105">
        <v>62.19</v>
      </c>
      <c r="AM26" s="105">
        <v>124.69</v>
      </c>
      <c r="AN26" s="105">
        <v>237.06</v>
      </c>
      <c r="AO26" s="105">
        <v>58.84</v>
      </c>
      <c r="AP26" s="105">
        <v>66.98</v>
      </c>
      <c r="AQ26" s="105">
        <v>180.2</v>
      </c>
      <c r="AR26" s="105">
        <v>60.48</v>
      </c>
      <c r="AS26" s="105">
        <v>17.77</v>
      </c>
      <c r="AT26" s="105">
        <v>72.42</v>
      </c>
      <c r="AU26" s="105">
        <v>247.99</v>
      </c>
      <c r="AV26" s="105">
        <v>109.03</v>
      </c>
      <c r="AW26" s="105">
        <v>462.13</v>
      </c>
      <c r="AX26" s="105">
        <v>22.37</v>
      </c>
      <c r="AY26" s="105">
        <v>81.48</v>
      </c>
      <c r="AZ26" s="105">
        <v>100.57236524</v>
      </c>
      <c r="BA26" s="105">
        <v>76.959999999999994</v>
      </c>
      <c r="BB26" s="105">
        <v>76.55</v>
      </c>
      <c r="BC26" s="105">
        <v>179.23</v>
      </c>
      <c r="BD26" s="105">
        <v>132.62</v>
      </c>
    </row>
    <row r="27" spans="3:56" x14ac:dyDescent="0.25">
      <c r="C27" s="98">
        <v>44182</v>
      </c>
      <c r="D27" s="105">
        <v>211.18</v>
      </c>
      <c r="E27" s="105">
        <v>173.55</v>
      </c>
      <c r="F27" s="105">
        <v>140.5</v>
      </c>
      <c r="G27" s="105">
        <v>63.61</v>
      </c>
      <c r="H27" s="105">
        <v>179.17</v>
      </c>
      <c r="I27" s="105">
        <v>274.48</v>
      </c>
      <c r="J27" s="105">
        <v>128.69999999999999</v>
      </c>
      <c r="K27" s="105">
        <v>3236.08</v>
      </c>
      <c r="L27" s="105">
        <v>532.9</v>
      </c>
      <c r="M27" s="105">
        <v>219.42</v>
      </c>
      <c r="N27" s="105">
        <v>1740.51</v>
      </c>
      <c r="O27" s="105">
        <v>151.61000000000001</v>
      </c>
      <c r="P27" s="105">
        <v>217.8</v>
      </c>
      <c r="Q27" s="105">
        <v>526.72</v>
      </c>
      <c r="R27" s="105">
        <v>67.010000000000005</v>
      </c>
      <c r="S27" s="105">
        <v>27.35</v>
      </c>
      <c r="T27" s="105">
        <v>130.29</v>
      </c>
      <c r="U27" s="105">
        <v>57.34</v>
      </c>
      <c r="V27" s="105">
        <v>79.95</v>
      </c>
      <c r="W27" s="105">
        <v>102.34</v>
      </c>
      <c r="X27" s="105">
        <v>46.39</v>
      </c>
      <c r="Y27" s="105">
        <v>145.83000000000001</v>
      </c>
      <c r="Z27" s="105">
        <v>136.62</v>
      </c>
      <c r="AA27" s="105">
        <v>132.97999999999999</v>
      </c>
      <c r="AB27" s="105">
        <v>9.61</v>
      </c>
      <c r="AC27" s="105">
        <v>241.66</v>
      </c>
      <c r="AD27" s="105">
        <v>119.18</v>
      </c>
      <c r="AE27" s="105">
        <v>82.5</v>
      </c>
      <c r="AF27" s="105">
        <v>23.1</v>
      </c>
      <c r="AG27" s="105">
        <v>83.15</v>
      </c>
      <c r="AH27" s="105">
        <v>52.75</v>
      </c>
      <c r="AI27" s="105">
        <v>27.35</v>
      </c>
      <c r="AJ27" s="105">
        <v>24.45</v>
      </c>
      <c r="AK27" s="105">
        <v>14.28</v>
      </c>
      <c r="AL27" s="105">
        <v>62.9</v>
      </c>
      <c r="AM27" s="105">
        <v>125.55</v>
      </c>
      <c r="AN27" s="105">
        <v>238.1</v>
      </c>
      <c r="AO27" s="105">
        <v>60.01</v>
      </c>
      <c r="AP27" s="105">
        <v>67.510000000000005</v>
      </c>
      <c r="AQ27" s="105">
        <v>166.26</v>
      </c>
      <c r="AR27" s="105">
        <v>61.64</v>
      </c>
      <c r="AS27" s="105">
        <v>17.72</v>
      </c>
      <c r="AT27" s="105">
        <v>74.44</v>
      </c>
      <c r="AU27" s="105">
        <v>248.7</v>
      </c>
      <c r="AV27" s="105">
        <v>113.05</v>
      </c>
      <c r="AW27" s="105">
        <v>441.8</v>
      </c>
      <c r="AX27" s="105">
        <v>14.38</v>
      </c>
      <c r="AY27" s="105">
        <v>77.92</v>
      </c>
      <c r="AZ27" s="105">
        <v>97.249511200000001</v>
      </c>
      <c r="BA27" s="105">
        <v>78.489999999999995</v>
      </c>
      <c r="BB27" s="105">
        <v>81.400000000000006</v>
      </c>
      <c r="BC27" s="105">
        <v>176</v>
      </c>
      <c r="BD27" s="105">
        <v>132.37</v>
      </c>
    </row>
    <row r="28" spans="3:56" x14ac:dyDescent="0.25">
      <c r="C28" s="98">
        <v>44175</v>
      </c>
      <c r="D28" s="105">
        <v>207.61</v>
      </c>
      <c r="E28" s="105">
        <v>154.69</v>
      </c>
      <c r="F28" s="105">
        <v>137.58000000000001</v>
      </c>
      <c r="G28" s="105">
        <v>59.48</v>
      </c>
      <c r="H28" s="105">
        <v>178.85</v>
      </c>
      <c r="I28" s="105">
        <v>277.12</v>
      </c>
      <c r="J28" s="105">
        <v>123.24</v>
      </c>
      <c r="K28" s="105">
        <v>3101.49</v>
      </c>
      <c r="L28" s="105">
        <v>501.09</v>
      </c>
      <c r="M28" s="105">
        <v>210.52</v>
      </c>
      <c r="N28" s="105">
        <v>1767.65</v>
      </c>
      <c r="O28" s="105">
        <v>149.69999999999999</v>
      </c>
      <c r="P28" s="105">
        <v>207.29</v>
      </c>
      <c r="Q28" s="105">
        <v>508.39</v>
      </c>
      <c r="R28" s="105">
        <v>65.180000000000007</v>
      </c>
      <c r="S28" s="105">
        <v>28.12</v>
      </c>
      <c r="T28" s="105">
        <v>131.77000000000001</v>
      </c>
      <c r="U28" s="105">
        <v>57.3</v>
      </c>
      <c r="V28" s="105">
        <v>72.290000000000006</v>
      </c>
      <c r="W28" s="105">
        <v>103.03</v>
      </c>
      <c r="X28" s="105">
        <v>46.8</v>
      </c>
      <c r="Y28" s="105">
        <v>129.91999999999999</v>
      </c>
      <c r="Z28" s="105">
        <v>132.22999999999999</v>
      </c>
      <c r="AA28" s="105">
        <v>124.08</v>
      </c>
      <c r="AB28" s="105">
        <v>8.66</v>
      </c>
      <c r="AC28" s="105">
        <v>232.9</v>
      </c>
      <c r="AD28" s="105">
        <v>120.2</v>
      </c>
      <c r="AE28" s="105">
        <v>77.540000000000006</v>
      </c>
      <c r="AF28" s="105">
        <v>22.25</v>
      </c>
      <c r="AG28" s="105">
        <v>77.77</v>
      </c>
      <c r="AH28" s="105">
        <v>54.59</v>
      </c>
      <c r="AI28" s="105">
        <v>25.59</v>
      </c>
      <c r="AJ28" s="105">
        <v>23.29</v>
      </c>
      <c r="AK28" s="105">
        <v>15.5</v>
      </c>
      <c r="AL28" s="105">
        <v>62.88</v>
      </c>
      <c r="AM28" s="105">
        <v>124.96</v>
      </c>
      <c r="AN28" s="105">
        <v>235.13</v>
      </c>
      <c r="AO28" s="105">
        <v>60.51</v>
      </c>
      <c r="AP28" s="105">
        <v>66.52</v>
      </c>
      <c r="AQ28" s="105">
        <v>153.49</v>
      </c>
      <c r="AR28" s="105">
        <v>59.18</v>
      </c>
      <c r="AS28" s="105">
        <v>17.690000000000001</v>
      </c>
      <c r="AT28" s="105">
        <v>77.239999999999995</v>
      </c>
      <c r="AU28" s="105">
        <v>242.33</v>
      </c>
      <c r="AV28" s="105">
        <v>108.29</v>
      </c>
      <c r="AW28" s="105">
        <v>426.99</v>
      </c>
      <c r="AX28" s="105">
        <v>13.69</v>
      </c>
      <c r="AY28" s="105">
        <v>77.099999999999994</v>
      </c>
      <c r="AZ28" s="105">
        <v>86.910660359999994</v>
      </c>
      <c r="BA28" s="105">
        <v>70.894567170000002</v>
      </c>
      <c r="BB28" s="105">
        <v>79.77</v>
      </c>
      <c r="BC28" s="105">
        <v>177.8</v>
      </c>
      <c r="BD28" s="105">
        <v>132.52000000000001</v>
      </c>
    </row>
    <row r="29" spans="3:56" x14ac:dyDescent="0.25">
      <c r="C29" s="38">
        <v>44168</v>
      </c>
      <c r="D29" s="105">
        <v>208.05</v>
      </c>
      <c r="E29" s="105">
        <v>153.24</v>
      </c>
      <c r="F29" s="105">
        <v>136.96</v>
      </c>
      <c r="G29" s="105">
        <v>59.27</v>
      </c>
      <c r="H29" s="105">
        <v>174.63</v>
      </c>
      <c r="I29" s="105">
        <v>281.85000000000002</v>
      </c>
      <c r="J29" s="105">
        <v>122.94</v>
      </c>
      <c r="K29" s="105">
        <v>3186.73</v>
      </c>
      <c r="L29" s="105">
        <v>497.52</v>
      </c>
      <c r="M29" s="105">
        <v>214.24</v>
      </c>
      <c r="N29" s="105">
        <v>1821.84</v>
      </c>
      <c r="O29" s="105">
        <v>149.83000000000001</v>
      </c>
      <c r="P29" s="105">
        <v>209.78</v>
      </c>
      <c r="Q29" s="105">
        <v>511</v>
      </c>
      <c r="R29" s="105">
        <v>67.31</v>
      </c>
      <c r="S29" s="105">
        <v>28.46</v>
      </c>
      <c r="T29" s="105">
        <v>132.32</v>
      </c>
      <c r="U29" s="105">
        <v>58.66</v>
      </c>
      <c r="V29" s="105">
        <v>75.42</v>
      </c>
      <c r="W29" s="105">
        <v>106.54</v>
      </c>
      <c r="X29" s="105">
        <v>47.82</v>
      </c>
      <c r="Y29" s="105">
        <v>123.66</v>
      </c>
      <c r="Z29" s="105">
        <v>132.97</v>
      </c>
      <c r="AA29" s="105">
        <v>129.74</v>
      </c>
      <c r="AB29" s="105">
        <v>8.42</v>
      </c>
      <c r="AC29" s="105">
        <v>233.48</v>
      </c>
      <c r="AD29" s="105">
        <v>116.4</v>
      </c>
      <c r="AE29" s="105">
        <v>76.180000000000007</v>
      </c>
      <c r="AF29" s="105">
        <v>21.23</v>
      </c>
      <c r="AG29" s="105">
        <v>89.5</v>
      </c>
      <c r="AH29" s="105">
        <v>57</v>
      </c>
      <c r="AI29" s="105">
        <v>25.29</v>
      </c>
      <c r="AJ29" s="105">
        <v>23.37</v>
      </c>
      <c r="AK29" s="105">
        <v>15.89</v>
      </c>
      <c r="AL29" s="105">
        <v>61.54</v>
      </c>
      <c r="AM29" s="105">
        <v>123.61</v>
      </c>
      <c r="AN29" s="105">
        <v>234.78</v>
      </c>
      <c r="AO29" s="105">
        <v>61.74</v>
      </c>
      <c r="AP29" s="105">
        <v>65.91</v>
      </c>
      <c r="AQ29" s="105">
        <v>158.03</v>
      </c>
      <c r="AR29" s="105">
        <v>59.51</v>
      </c>
      <c r="AS29" s="105">
        <v>17.37</v>
      </c>
      <c r="AT29" s="105">
        <v>74.680000000000007</v>
      </c>
      <c r="AU29" s="105">
        <v>238.51</v>
      </c>
      <c r="AV29" s="105">
        <v>112.12</v>
      </c>
      <c r="AW29" s="105">
        <v>428.48</v>
      </c>
      <c r="AX29" s="105">
        <v>15.31</v>
      </c>
      <c r="AY29" s="105">
        <v>75.27</v>
      </c>
      <c r="AZ29" s="105">
        <v>90.633036439999998</v>
      </c>
      <c r="BA29" s="105">
        <v>67.752129240000002</v>
      </c>
      <c r="BB29" s="105">
        <v>78.099999999999994</v>
      </c>
      <c r="BC29" s="105">
        <v>180.67</v>
      </c>
      <c r="BD29" s="105">
        <v>132.18</v>
      </c>
    </row>
    <row r="30" spans="3:56" x14ac:dyDescent="0.25">
      <c r="C30" s="38">
        <v>44160</v>
      </c>
      <c r="D30" s="105">
        <v>210.89</v>
      </c>
      <c r="E30" s="105">
        <v>149.09</v>
      </c>
      <c r="F30" s="105">
        <v>135.54</v>
      </c>
      <c r="G30" s="105">
        <v>57.41</v>
      </c>
      <c r="H30" s="105">
        <v>174.63</v>
      </c>
      <c r="I30" s="105">
        <v>275.58999999999997</v>
      </c>
      <c r="J30" s="105">
        <v>116.03</v>
      </c>
      <c r="K30" s="105">
        <v>3185.07</v>
      </c>
      <c r="L30" s="105">
        <v>485</v>
      </c>
      <c r="M30" s="105">
        <v>213.87</v>
      </c>
      <c r="N30" s="105">
        <v>1764.13</v>
      </c>
      <c r="O30" s="105">
        <v>148.15</v>
      </c>
      <c r="P30" s="105">
        <v>204.7</v>
      </c>
      <c r="Q30" s="105">
        <v>473.69</v>
      </c>
      <c r="R30" s="105">
        <v>68.11</v>
      </c>
      <c r="S30" s="105">
        <v>29.39</v>
      </c>
      <c r="T30" s="105">
        <v>129.22</v>
      </c>
      <c r="U30" s="105">
        <v>56.54</v>
      </c>
      <c r="V30" s="105">
        <v>77.040000000000006</v>
      </c>
      <c r="W30" s="105">
        <v>113.9</v>
      </c>
      <c r="X30" s="105">
        <v>48.27</v>
      </c>
      <c r="Y30" s="105">
        <v>121.47</v>
      </c>
      <c r="Z30" s="105">
        <v>131.12</v>
      </c>
      <c r="AA30" s="105">
        <v>130.49</v>
      </c>
      <c r="AB30" s="105">
        <v>8.0399999999999991</v>
      </c>
      <c r="AC30" s="105">
        <v>219.98</v>
      </c>
      <c r="AD30" s="105">
        <v>105.42</v>
      </c>
      <c r="AE30" s="105">
        <v>73.5</v>
      </c>
      <c r="AF30" s="105">
        <v>22.57</v>
      </c>
      <c r="AG30" s="105">
        <v>90.26</v>
      </c>
      <c r="AH30" s="105">
        <v>60.06</v>
      </c>
      <c r="AI30" s="105">
        <v>25.5</v>
      </c>
      <c r="AJ30" s="105">
        <v>22.77</v>
      </c>
      <c r="AK30" s="105">
        <v>15.82</v>
      </c>
      <c r="AL30" s="105">
        <v>63.71</v>
      </c>
      <c r="AM30" s="105">
        <v>124.2</v>
      </c>
      <c r="AN30" s="105">
        <v>233.72</v>
      </c>
      <c r="AO30" s="105">
        <v>60.41</v>
      </c>
      <c r="AP30" s="105">
        <v>62.8</v>
      </c>
      <c r="AQ30" s="105">
        <v>198.86</v>
      </c>
      <c r="AR30" s="105">
        <v>57.78</v>
      </c>
      <c r="AS30" s="105">
        <v>17.07</v>
      </c>
      <c r="AT30" s="105">
        <v>71.680000000000007</v>
      </c>
      <c r="AU30" s="105">
        <v>227.47</v>
      </c>
      <c r="AV30" s="105">
        <v>111.73</v>
      </c>
      <c r="AW30" s="105">
        <v>407.17</v>
      </c>
      <c r="AX30" s="105">
        <v>15.12</v>
      </c>
      <c r="AY30" s="105">
        <v>70.900000000000006</v>
      </c>
      <c r="AZ30" s="105">
        <v>90.818180799999993</v>
      </c>
      <c r="BA30" s="105">
        <v>66.010654349999996</v>
      </c>
      <c r="BB30" s="105">
        <v>82.13</v>
      </c>
      <c r="BC30" s="105">
        <v>172.37</v>
      </c>
      <c r="BD30" s="105">
        <v>135.58000000000001</v>
      </c>
    </row>
    <row r="31" spans="3:56" x14ac:dyDescent="0.25">
      <c r="C31" s="38">
        <v>44154</v>
      </c>
      <c r="D31" s="105">
        <v>207.57</v>
      </c>
      <c r="E31" s="105">
        <v>141.72</v>
      </c>
      <c r="F31" s="105">
        <v>131.91</v>
      </c>
      <c r="G31" s="105">
        <v>56.45</v>
      </c>
      <c r="H31" s="105">
        <v>172.9</v>
      </c>
      <c r="I31" s="105">
        <v>272.94</v>
      </c>
      <c r="J31" s="105">
        <v>118.64</v>
      </c>
      <c r="K31" s="105">
        <v>3117.02</v>
      </c>
      <c r="L31" s="105">
        <v>484.67</v>
      </c>
      <c r="M31" s="105">
        <v>212.42</v>
      </c>
      <c r="N31" s="105">
        <v>1758.57</v>
      </c>
      <c r="O31" s="105">
        <v>149.4</v>
      </c>
      <c r="P31" s="105">
        <v>204.21</v>
      </c>
      <c r="Q31" s="105">
        <v>441.35</v>
      </c>
      <c r="R31" s="105">
        <v>69.349999999999994</v>
      </c>
      <c r="S31" s="105">
        <v>29.23</v>
      </c>
      <c r="T31" s="105">
        <v>121.11</v>
      </c>
      <c r="U31" s="105">
        <v>58.56</v>
      </c>
      <c r="V31" s="105">
        <v>76.3</v>
      </c>
      <c r="W31" s="105">
        <v>118.83</v>
      </c>
      <c r="X31" s="105">
        <v>46.08</v>
      </c>
      <c r="Y31" s="105">
        <v>129.19999999999999</v>
      </c>
      <c r="Z31" s="105">
        <v>135.01</v>
      </c>
      <c r="AA31" s="105">
        <v>127.07</v>
      </c>
      <c r="AB31" s="105">
        <v>8.16</v>
      </c>
      <c r="AC31" s="105">
        <v>220.1</v>
      </c>
      <c r="AD31" s="105">
        <v>105.93</v>
      </c>
      <c r="AE31" s="105">
        <v>75.34</v>
      </c>
      <c r="AF31" s="105">
        <v>19.579999999999998</v>
      </c>
      <c r="AG31" s="105">
        <v>90.4</v>
      </c>
      <c r="AH31" s="105">
        <v>55.97</v>
      </c>
      <c r="AI31" s="105">
        <v>25.555</v>
      </c>
      <c r="AJ31" s="105">
        <v>22.55</v>
      </c>
      <c r="AK31" s="105">
        <v>14.81</v>
      </c>
      <c r="AL31" s="105">
        <v>63.62</v>
      </c>
      <c r="AM31" s="105">
        <v>117.18</v>
      </c>
      <c r="AN31" s="105">
        <v>233.57</v>
      </c>
      <c r="AO31" s="105">
        <v>60.21</v>
      </c>
      <c r="AP31" s="105">
        <v>61.56</v>
      </c>
      <c r="AQ31" s="105">
        <v>199.28</v>
      </c>
      <c r="AR31" s="105">
        <v>61.41</v>
      </c>
      <c r="AS31" s="105">
        <v>18.11</v>
      </c>
      <c r="AT31" s="105">
        <v>71.989999999999995</v>
      </c>
      <c r="AU31" s="105">
        <v>232.9</v>
      </c>
      <c r="AV31" s="105">
        <v>94.55</v>
      </c>
      <c r="AW31" s="105">
        <v>392.64</v>
      </c>
      <c r="AX31" s="105">
        <v>14.24</v>
      </c>
      <c r="AY31" s="105">
        <v>66.56</v>
      </c>
      <c r="AZ31" s="105">
        <v>89.765781279999999</v>
      </c>
      <c r="BA31" s="105">
        <v>63.354661919999998</v>
      </c>
      <c r="BB31" s="105">
        <v>76.290000000000006</v>
      </c>
      <c r="BC31" s="105">
        <v>158.32</v>
      </c>
      <c r="BD31" s="105">
        <v>134.91999999999999</v>
      </c>
    </row>
    <row r="32" spans="3:56" x14ac:dyDescent="0.25">
      <c r="C32" s="38">
        <v>44147</v>
      </c>
      <c r="D32" s="105">
        <v>208.26</v>
      </c>
      <c r="E32" s="105">
        <v>135.52000000000001</v>
      </c>
      <c r="F32" s="105">
        <v>126.64</v>
      </c>
      <c r="G32" s="105">
        <v>56.45</v>
      </c>
      <c r="H32" s="105">
        <v>169.13</v>
      </c>
      <c r="I32" s="105">
        <v>275.08</v>
      </c>
      <c r="J32" s="105">
        <v>119.21</v>
      </c>
      <c r="K32" s="105">
        <v>3110.28</v>
      </c>
      <c r="L32" s="105">
        <v>486.77</v>
      </c>
      <c r="M32" s="105">
        <v>215.44</v>
      </c>
      <c r="N32" s="105">
        <v>1742.82</v>
      </c>
      <c r="O32" s="105">
        <v>153.56</v>
      </c>
      <c r="P32" s="105">
        <v>194.9</v>
      </c>
      <c r="Q32" s="105">
        <v>452.76</v>
      </c>
      <c r="R32" s="105">
        <v>73.760000000000005</v>
      </c>
      <c r="S32" s="105">
        <v>28.89</v>
      </c>
      <c r="T32" s="105">
        <v>115.34</v>
      </c>
      <c r="U32" s="105">
        <v>55.56</v>
      </c>
      <c r="V32" s="105">
        <v>73.989999999999995</v>
      </c>
      <c r="W32" s="105">
        <v>114</v>
      </c>
      <c r="X32" s="105">
        <v>41.92</v>
      </c>
      <c r="Y32" s="105">
        <v>127.26880375</v>
      </c>
      <c r="Z32" s="105">
        <v>128.35</v>
      </c>
      <c r="AA32" s="105">
        <v>119.39</v>
      </c>
      <c r="AB32" s="105">
        <v>8.18</v>
      </c>
      <c r="AC32" s="105">
        <v>205.38</v>
      </c>
      <c r="AD32" s="105">
        <v>101.72</v>
      </c>
      <c r="AE32" s="105">
        <v>69.06</v>
      </c>
      <c r="AF32" s="105">
        <v>17.36</v>
      </c>
      <c r="AG32" s="105">
        <v>84.63</v>
      </c>
      <c r="AH32" s="105">
        <v>51.46</v>
      </c>
      <c r="AI32" s="105">
        <v>22.62</v>
      </c>
      <c r="AJ32" s="105">
        <v>23.48</v>
      </c>
      <c r="AK32" s="105">
        <v>13.39</v>
      </c>
      <c r="AL32" s="105">
        <v>62.79</v>
      </c>
      <c r="AM32" s="105">
        <v>114.5</v>
      </c>
      <c r="AN32" s="105">
        <v>225.22</v>
      </c>
      <c r="AO32" s="105">
        <v>60.79</v>
      </c>
      <c r="AP32" s="105">
        <v>59.4</v>
      </c>
      <c r="AQ32" s="105">
        <v>191.75</v>
      </c>
      <c r="AR32" s="105">
        <v>65.02</v>
      </c>
      <c r="AS32" s="105">
        <v>15.51</v>
      </c>
      <c r="AT32" s="105">
        <v>68.010000000000005</v>
      </c>
      <c r="AU32" s="105">
        <v>240.21</v>
      </c>
      <c r="AV32" s="105">
        <v>93.19</v>
      </c>
      <c r="AW32" s="105">
        <v>379.98</v>
      </c>
      <c r="AX32" s="105">
        <v>14.32</v>
      </c>
      <c r="AY32" s="105">
        <v>62.9</v>
      </c>
      <c r="AZ32" s="105">
        <v>87.446604559999997</v>
      </c>
      <c r="BA32" s="105">
        <v>59.969001239999997</v>
      </c>
      <c r="BB32" s="105">
        <v>74.77</v>
      </c>
      <c r="BC32" s="105">
        <v>145.86000000000001</v>
      </c>
      <c r="BD32" s="105">
        <v>130.82</v>
      </c>
    </row>
    <row r="33" spans="3:56" x14ac:dyDescent="0.25">
      <c r="C33" s="38">
        <v>44140</v>
      </c>
      <c r="D33" s="105">
        <v>197.64</v>
      </c>
      <c r="E33" s="105">
        <v>126.96</v>
      </c>
      <c r="F33" s="105">
        <v>129.69999999999999</v>
      </c>
      <c r="G33" s="105">
        <v>56.66</v>
      </c>
      <c r="H33" s="105">
        <v>163.09</v>
      </c>
      <c r="I33" s="105">
        <v>294.68</v>
      </c>
      <c r="J33" s="105">
        <v>119.03</v>
      </c>
      <c r="K33" s="105">
        <v>3322</v>
      </c>
      <c r="L33" s="105">
        <v>513.76</v>
      </c>
      <c r="M33" s="105">
        <v>223.29</v>
      </c>
      <c r="N33" s="105">
        <v>1762.5</v>
      </c>
      <c r="O33" s="105">
        <v>144.6</v>
      </c>
      <c r="P33" s="105">
        <v>183.48</v>
      </c>
      <c r="Q33" s="105">
        <v>491.91</v>
      </c>
      <c r="R33" s="105">
        <v>73.73</v>
      </c>
      <c r="S33" s="105">
        <v>28.06</v>
      </c>
      <c r="T33" s="105">
        <v>100.91</v>
      </c>
      <c r="U33" s="105">
        <v>52.6</v>
      </c>
      <c r="V33" s="105">
        <v>78.72</v>
      </c>
      <c r="W33" s="105">
        <v>123.06</v>
      </c>
      <c r="X33" s="105">
        <v>41.05</v>
      </c>
      <c r="Y33" s="105">
        <v>126.92236315</v>
      </c>
      <c r="Z33" s="105">
        <v>136.62</v>
      </c>
      <c r="AA33" s="105">
        <v>123.69</v>
      </c>
      <c r="AB33" s="105">
        <v>9.15</v>
      </c>
      <c r="AC33" s="105">
        <v>212.12</v>
      </c>
      <c r="AD33" s="105">
        <v>98.57</v>
      </c>
      <c r="AE33" s="105">
        <v>77.34</v>
      </c>
      <c r="AF33" s="105">
        <v>17.170000000000002</v>
      </c>
      <c r="AG33" s="105">
        <v>90.24</v>
      </c>
      <c r="AH33" s="105">
        <v>56.82</v>
      </c>
      <c r="AI33" s="105">
        <v>24.412500000000001</v>
      </c>
      <c r="AJ33" s="105">
        <v>21.94</v>
      </c>
      <c r="AK33" s="105">
        <v>12.54</v>
      </c>
      <c r="AL33" s="105">
        <v>59.38</v>
      </c>
      <c r="AM33" s="105">
        <v>114.77</v>
      </c>
      <c r="AN33" s="105">
        <v>210.6</v>
      </c>
      <c r="AO33" s="105">
        <v>58.15</v>
      </c>
      <c r="AP33" s="105">
        <v>54.61</v>
      </c>
      <c r="AQ33" s="105">
        <v>208.98</v>
      </c>
      <c r="AR33" s="105">
        <v>67.849999999999994</v>
      </c>
      <c r="AS33" s="105">
        <v>15.14</v>
      </c>
      <c r="AT33" s="105">
        <v>60.83</v>
      </c>
      <c r="AU33" s="105">
        <v>234.65</v>
      </c>
      <c r="AV33" s="105">
        <v>95.1</v>
      </c>
      <c r="AW33" s="105">
        <v>373.26</v>
      </c>
      <c r="AX33" s="105">
        <v>15.08</v>
      </c>
      <c r="AY33" s="105">
        <v>67.55</v>
      </c>
      <c r="AZ33" s="105">
        <v>88.284626399999993</v>
      </c>
      <c r="BA33" s="105">
        <v>59.56038702</v>
      </c>
      <c r="BB33" s="105">
        <v>71.739999999999995</v>
      </c>
      <c r="BC33" s="105">
        <v>138.94</v>
      </c>
      <c r="BD33" s="105">
        <v>127.36</v>
      </c>
    </row>
    <row r="34" spans="3:56" x14ac:dyDescent="0.25">
      <c r="C34" s="38">
        <v>44133</v>
      </c>
      <c r="D34" s="105">
        <v>184.87</v>
      </c>
      <c r="E34" s="105">
        <v>121.54</v>
      </c>
      <c r="F34" s="105">
        <v>122.86</v>
      </c>
      <c r="G34" s="105">
        <v>56.02</v>
      </c>
      <c r="H34" s="105">
        <v>154.66999999999999</v>
      </c>
      <c r="I34" s="105">
        <v>280.83</v>
      </c>
      <c r="J34" s="105">
        <v>115.32</v>
      </c>
      <c r="K34" s="105">
        <v>3211.01</v>
      </c>
      <c r="L34" s="105">
        <v>504.21</v>
      </c>
      <c r="M34" s="105">
        <v>204.72</v>
      </c>
      <c r="N34" s="105">
        <v>1556.88</v>
      </c>
      <c r="O34" s="105">
        <v>137.83000000000001</v>
      </c>
      <c r="P34" s="105">
        <v>165.85</v>
      </c>
      <c r="Q34" s="105">
        <v>436.57</v>
      </c>
      <c r="R34" s="105">
        <v>70.739999999999995</v>
      </c>
      <c r="S34" s="105">
        <v>27.59</v>
      </c>
      <c r="T34" s="105">
        <v>93.33</v>
      </c>
      <c r="U34" s="105">
        <v>47.84</v>
      </c>
      <c r="V34" s="105">
        <v>71.599999999999994</v>
      </c>
      <c r="W34" s="105">
        <v>112.28</v>
      </c>
      <c r="X34" s="105">
        <v>39.57</v>
      </c>
      <c r="Y34" s="105">
        <v>115.39358985</v>
      </c>
      <c r="Z34" s="105">
        <v>118.29</v>
      </c>
      <c r="AA34" s="105">
        <v>118.7</v>
      </c>
      <c r="AB34" s="105">
        <v>9.33</v>
      </c>
      <c r="AC34" s="105">
        <v>197.8</v>
      </c>
      <c r="AD34" s="105">
        <v>89.23</v>
      </c>
      <c r="AE34" s="105">
        <v>71.47</v>
      </c>
      <c r="AF34" s="105">
        <v>18.3</v>
      </c>
      <c r="AG34" s="105">
        <v>90.27</v>
      </c>
      <c r="AH34" s="105">
        <v>56.18</v>
      </c>
      <c r="AI34" s="105">
        <v>21.532499999999999</v>
      </c>
      <c r="AJ34" s="105">
        <v>21.48</v>
      </c>
      <c r="AK34" s="105">
        <v>11.56</v>
      </c>
      <c r="AL34" s="105">
        <v>56.07</v>
      </c>
      <c r="AM34" s="105">
        <v>108.91</v>
      </c>
      <c r="AN34" s="105">
        <v>205.39</v>
      </c>
      <c r="AO34" s="105">
        <v>56.76</v>
      </c>
      <c r="AP34" s="105">
        <v>51.73</v>
      </c>
      <c r="AQ34" s="105">
        <v>205.87</v>
      </c>
      <c r="AR34" s="105">
        <v>60.34</v>
      </c>
      <c r="AS34" s="105">
        <v>14.37</v>
      </c>
      <c r="AT34" s="105">
        <v>55.29</v>
      </c>
      <c r="AU34" s="105">
        <v>232.47</v>
      </c>
      <c r="AV34" s="105">
        <v>91.91</v>
      </c>
      <c r="AW34" s="105">
        <v>373.09</v>
      </c>
      <c r="AX34" s="105">
        <v>14.26</v>
      </c>
      <c r="AY34" s="105">
        <v>65.489999999999995</v>
      </c>
      <c r="AZ34" s="105">
        <v>75.246565680000003</v>
      </c>
      <c r="BA34" s="105">
        <v>53.654938649999998</v>
      </c>
      <c r="BB34" s="105">
        <v>68.819999999999993</v>
      </c>
      <c r="BC34" s="105">
        <v>137.57</v>
      </c>
      <c r="BD34" s="105">
        <v>125.2</v>
      </c>
    </row>
    <row r="35" spans="3:56" x14ac:dyDescent="0.25">
      <c r="C35" s="38">
        <v>44126</v>
      </c>
      <c r="D35" s="105">
        <v>197.99</v>
      </c>
      <c r="E35" s="105">
        <v>127.56</v>
      </c>
      <c r="F35" s="105">
        <v>130.02000000000001</v>
      </c>
      <c r="G35" s="105">
        <v>59.69</v>
      </c>
      <c r="H35" s="105">
        <v>169.66</v>
      </c>
      <c r="I35" s="105">
        <v>278.12</v>
      </c>
      <c r="J35" s="105">
        <v>115.75</v>
      </c>
      <c r="K35" s="105">
        <v>3176.4</v>
      </c>
      <c r="L35" s="105">
        <v>485.23</v>
      </c>
      <c r="M35" s="105">
        <v>214.89</v>
      </c>
      <c r="N35" s="105">
        <v>1606.66</v>
      </c>
      <c r="O35" s="105">
        <v>145.44</v>
      </c>
      <c r="P35" s="105">
        <v>178.4</v>
      </c>
      <c r="Q35" s="105">
        <v>453.23</v>
      </c>
      <c r="R35" s="105">
        <v>71.41</v>
      </c>
      <c r="S35" s="105">
        <v>28.43</v>
      </c>
      <c r="T35" s="105">
        <v>100.82</v>
      </c>
      <c r="U35" s="105">
        <v>49.81</v>
      </c>
      <c r="V35" s="105">
        <v>76.540000000000006</v>
      </c>
      <c r="W35" s="105">
        <v>117.46</v>
      </c>
      <c r="X35" s="105">
        <v>41.93</v>
      </c>
      <c r="Y35" s="105">
        <v>118.72326895</v>
      </c>
      <c r="Z35" s="105">
        <v>114.72</v>
      </c>
      <c r="AA35" s="105">
        <v>132</v>
      </c>
      <c r="AB35" s="105">
        <v>9.3000000000000007</v>
      </c>
      <c r="AC35" s="105">
        <v>192.67</v>
      </c>
      <c r="AD35" s="105">
        <v>95.94</v>
      </c>
      <c r="AE35" s="105">
        <v>75.34</v>
      </c>
      <c r="AF35" s="105">
        <v>18.71</v>
      </c>
      <c r="AG35" s="105">
        <v>92.5</v>
      </c>
      <c r="AH35" s="105">
        <v>59.53</v>
      </c>
      <c r="AI35" s="105">
        <v>22.204999999999998</v>
      </c>
      <c r="AJ35" s="105">
        <v>22</v>
      </c>
      <c r="AK35" s="105">
        <v>13</v>
      </c>
      <c r="AL35" s="105">
        <v>59.89</v>
      </c>
      <c r="AM35" s="105">
        <v>115.76</v>
      </c>
      <c r="AN35" s="105">
        <v>224.64</v>
      </c>
      <c r="AO35" s="105">
        <v>57.33</v>
      </c>
      <c r="AP35" s="105">
        <v>56.02</v>
      </c>
      <c r="AQ35" s="105">
        <v>219.46</v>
      </c>
      <c r="AR35" s="105">
        <v>60.54</v>
      </c>
      <c r="AS35" s="105">
        <v>15.6</v>
      </c>
      <c r="AT35" s="105">
        <v>65.209999999999994</v>
      </c>
      <c r="AU35" s="105">
        <v>241.09</v>
      </c>
      <c r="AV35" s="105">
        <v>93.84</v>
      </c>
      <c r="AW35" s="105">
        <v>377.33</v>
      </c>
      <c r="AX35" s="105">
        <v>14.4</v>
      </c>
      <c r="AY35" s="105">
        <v>65.89</v>
      </c>
      <c r="AZ35" s="105">
        <v>79.797219159999997</v>
      </c>
      <c r="BA35" s="105">
        <v>57.643791749999998</v>
      </c>
      <c r="BB35" s="105">
        <v>73.95</v>
      </c>
      <c r="BC35" s="105">
        <v>141.04</v>
      </c>
      <c r="BD35" s="105">
        <v>124.59</v>
      </c>
    </row>
    <row r="36" spans="3:56" x14ac:dyDescent="0.25">
      <c r="C36" s="38">
        <v>44119</v>
      </c>
      <c r="D36" s="105">
        <v>199.55</v>
      </c>
      <c r="E36" s="105">
        <v>127.36</v>
      </c>
      <c r="F36" s="105">
        <v>129</v>
      </c>
      <c r="G36" s="105">
        <v>60.52</v>
      </c>
      <c r="H36" s="105">
        <v>165.04</v>
      </c>
      <c r="I36" s="105">
        <v>266.72000000000003</v>
      </c>
      <c r="J36" s="105">
        <v>120.71</v>
      </c>
      <c r="K36" s="105">
        <v>3338.65</v>
      </c>
      <c r="L36" s="105">
        <v>541.94000000000005</v>
      </c>
      <c r="M36" s="105">
        <v>219.66</v>
      </c>
      <c r="N36" s="105">
        <v>1555.47</v>
      </c>
      <c r="O36" s="105">
        <v>150.41999999999999</v>
      </c>
      <c r="P36" s="105">
        <v>181.55</v>
      </c>
      <c r="Q36" s="105">
        <v>336.67</v>
      </c>
      <c r="R36" s="105">
        <v>72.2</v>
      </c>
      <c r="S36" s="105">
        <v>28.55</v>
      </c>
      <c r="T36" s="105">
        <v>97.07</v>
      </c>
      <c r="U36" s="105">
        <v>45.74</v>
      </c>
      <c r="V36" s="105">
        <v>84.68</v>
      </c>
      <c r="W36" s="105">
        <v>120.56</v>
      </c>
      <c r="X36" s="105">
        <v>38.799999999999997</v>
      </c>
      <c r="Y36" s="105">
        <v>128.6256961</v>
      </c>
      <c r="Z36" s="105">
        <v>125.12</v>
      </c>
      <c r="AA36" s="105">
        <v>130.05000000000001</v>
      </c>
      <c r="AB36" s="105">
        <v>9.18</v>
      </c>
      <c r="AC36" s="105">
        <v>192.36</v>
      </c>
      <c r="AD36" s="105">
        <v>97.91</v>
      </c>
      <c r="AE36" s="105">
        <v>78.33</v>
      </c>
      <c r="AF36" s="105">
        <v>19.489999999999998</v>
      </c>
      <c r="AG36" s="105">
        <v>93.69</v>
      </c>
      <c r="AH36" s="105">
        <v>63.05</v>
      </c>
      <c r="AI36" s="105">
        <v>23.807500000000001</v>
      </c>
      <c r="AJ36" s="105">
        <v>23.45</v>
      </c>
      <c r="AK36" s="105">
        <v>12.31</v>
      </c>
      <c r="AL36" s="105">
        <v>56.81</v>
      </c>
      <c r="AM36" s="105">
        <v>124.89</v>
      </c>
      <c r="AN36" s="105">
        <v>222.33</v>
      </c>
      <c r="AO36" s="105">
        <v>58.16</v>
      </c>
      <c r="AP36" s="105">
        <v>57.41</v>
      </c>
      <c r="AQ36" s="105">
        <v>205.29</v>
      </c>
      <c r="AR36" s="105">
        <v>63</v>
      </c>
      <c r="AS36" s="105">
        <v>15.734999999999999</v>
      </c>
      <c r="AT36" s="105">
        <v>66.58</v>
      </c>
      <c r="AU36" s="105">
        <v>235.01</v>
      </c>
      <c r="AV36" s="105">
        <v>96.54</v>
      </c>
      <c r="AW36" s="105">
        <v>375.91</v>
      </c>
      <c r="AX36" s="105">
        <v>14.295</v>
      </c>
      <c r="AY36" s="105">
        <v>71.22</v>
      </c>
      <c r="AZ36" s="105">
        <v>78.530441960000005</v>
      </c>
      <c r="BA36" s="105">
        <v>57.118430609999997</v>
      </c>
      <c r="BB36" s="105">
        <v>73.39</v>
      </c>
      <c r="BC36" s="105">
        <v>130.29</v>
      </c>
      <c r="BD36" s="105">
        <v>123.12</v>
      </c>
    </row>
    <row r="37" spans="3:56" x14ac:dyDescent="0.25">
      <c r="C37" s="38">
        <v>44112</v>
      </c>
      <c r="D37" s="105">
        <v>202.98</v>
      </c>
      <c r="E37" s="105">
        <v>123.09</v>
      </c>
      <c r="F37" s="105">
        <v>129.71</v>
      </c>
      <c r="G37" s="105">
        <v>60.89</v>
      </c>
      <c r="H37" s="105">
        <v>156.66</v>
      </c>
      <c r="I37" s="105">
        <v>263.76</v>
      </c>
      <c r="J37" s="105">
        <v>114.97</v>
      </c>
      <c r="K37" s="105">
        <v>3190.55</v>
      </c>
      <c r="L37" s="105">
        <v>531.79</v>
      </c>
      <c r="M37" s="105">
        <v>210.58</v>
      </c>
      <c r="N37" s="105">
        <v>1483.43</v>
      </c>
      <c r="O37" s="105">
        <v>143.51</v>
      </c>
      <c r="P37" s="105">
        <v>185.15</v>
      </c>
      <c r="Q37" s="105">
        <v>327.57</v>
      </c>
      <c r="R37" s="105">
        <v>72.510000000000005</v>
      </c>
      <c r="S37" s="105">
        <v>29.11</v>
      </c>
      <c r="T37" s="105">
        <v>100.31</v>
      </c>
      <c r="U37" s="105">
        <v>46.11</v>
      </c>
      <c r="V37" s="105">
        <v>84.01</v>
      </c>
      <c r="W37" s="105">
        <v>114.92</v>
      </c>
      <c r="X37" s="105">
        <v>38.99</v>
      </c>
      <c r="Y37" s="105">
        <v>125.4307439</v>
      </c>
      <c r="Z37" s="105">
        <v>120.03</v>
      </c>
      <c r="AA37" s="105">
        <v>128.9</v>
      </c>
      <c r="AB37" s="105">
        <v>9.3000000000000007</v>
      </c>
      <c r="AC37" s="105">
        <v>197.24</v>
      </c>
      <c r="AD37" s="105">
        <v>95.9</v>
      </c>
      <c r="AE37" s="105">
        <v>76.33</v>
      </c>
      <c r="AF37" s="105">
        <v>19.72</v>
      </c>
      <c r="AG37" s="105">
        <v>93.38</v>
      </c>
      <c r="AH37" s="105">
        <v>61.43</v>
      </c>
      <c r="AI37" s="105">
        <v>22.274999999999999</v>
      </c>
      <c r="AJ37" s="105">
        <v>22.49</v>
      </c>
      <c r="AK37" s="105">
        <v>12.75</v>
      </c>
      <c r="AL37" s="105">
        <v>56.1</v>
      </c>
      <c r="AM37" s="105">
        <v>131.49</v>
      </c>
      <c r="AN37" s="105">
        <v>219.09</v>
      </c>
      <c r="AO37" s="105">
        <v>59.19</v>
      </c>
      <c r="AP37" s="105">
        <v>58.3</v>
      </c>
      <c r="AQ37" s="105">
        <v>209.05</v>
      </c>
      <c r="AR37" s="105">
        <v>61.72</v>
      </c>
      <c r="AS37" s="105">
        <v>15.72</v>
      </c>
      <c r="AT37" s="105">
        <v>67.84</v>
      </c>
      <c r="AU37" s="105">
        <v>236.21</v>
      </c>
      <c r="AV37" s="105">
        <v>91.53</v>
      </c>
      <c r="AW37" s="105">
        <v>359.53</v>
      </c>
      <c r="AX37" s="105">
        <v>13.21</v>
      </c>
      <c r="AY37" s="105">
        <v>67.91</v>
      </c>
      <c r="AZ37" s="105">
        <v>77.624209039999997</v>
      </c>
      <c r="BA37" s="105">
        <v>56.7195453</v>
      </c>
      <c r="BB37" s="105">
        <v>73.91</v>
      </c>
      <c r="BC37" s="105">
        <v>121.78</v>
      </c>
      <c r="BD37" s="105">
        <v>125.63</v>
      </c>
    </row>
    <row r="38" spans="3:56" x14ac:dyDescent="0.25">
      <c r="C38" s="38">
        <v>44105</v>
      </c>
      <c r="D38" s="105">
        <v>203.35</v>
      </c>
      <c r="E38" s="105">
        <v>123.31</v>
      </c>
      <c r="F38" s="105">
        <v>126.64</v>
      </c>
      <c r="G38" s="105">
        <v>59.68</v>
      </c>
      <c r="H38" s="105">
        <v>146.71</v>
      </c>
      <c r="I38" s="105">
        <v>266.63</v>
      </c>
      <c r="J38" s="105">
        <v>116.79</v>
      </c>
      <c r="K38" s="105">
        <v>3221.26</v>
      </c>
      <c r="L38" s="105">
        <v>527.51</v>
      </c>
      <c r="M38" s="105">
        <v>212.46</v>
      </c>
      <c r="N38" s="105">
        <v>1487.9</v>
      </c>
      <c r="O38" s="105">
        <v>143.93</v>
      </c>
      <c r="P38" s="105">
        <v>184.61</v>
      </c>
      <c r="Q38" s="105">
        <v>317.61</v>
      </c>
      <c r="R38" s="105">
        <v>70.38</v>
      </c>
      <c r="S38" s="105">
        <v>27.55</v>
      </c>
      <c r="T38" s="105">
        <v>94.35</v>
      </c>
      <c r="U38" s="105">
        <v>46.22</v>
      </c>
      <c r="V38" s="105">
        <v>82.93</v>
      </c>
      <c r="W38" s="105">
        <v>114.09</v>
      </c>
      <c r="X38" s="105">
        <v>37.93</v>
      </c>
      <c r="Y38" s="105">
        <v>135.0540939</v>
      </c>
      <c r="Z38" s="105">
        <v>113.33</v>
      </c>
      <c r="AA38" s="105">
        <v>123.97</v>
      </c>
      <c r="AB38" s="105">
        <v>9.49</v>
      </c>
      <c r="AC38" s="105">
        <v>183.56</v>
      </c>
      <c r="AD38" s="105">
        <v>85.18</v>
      </c>
      <c r="AE38" s="105">
        <v>73.45</v>
      </c>
      <c r="AF38" s="105">
        <v>17.79</v>
      </c>
      <c r="AG38" s="105">
        <v>88.24</v>
      </c>
      <c r="AH38" s="105">
        <v>60.25</v>
      </c>
      <c r="AI38" s="105">
        <v>22.43</v>
      </c>
      <c r="AJ38" s="105">
        <v>23.02</v>
      </c>
      <c r="AK38" s="105">
        <v>11.46</v>
      </c>
      <c r="AL38" s="105">
        <v>50.44</v>
      </c>
      <c r="AM38" s="105">
        <v>121.09</v>
      </c>
      <c r="AN38" s="105">
        <v>208.67</v>
      </c>
      <c r="AO38" s="105">
        <v>59.45</v>
      </c>
      <c r="AP38" s="105">
        <v>57.08</v>
      </c>
      <c r="AQ38" s="105">
        <v>192.56</v>
      </c>
      <c r="AR38" s="105">
        <v>62.83</v>
      </c>
      <c r="AS38" s="105">
        <v>14.8</v>
      </c>
      <c r="AT38" s="105">
        <v>62.62</v>
      </c>
      <c r="AU38" s="105">
        <v>230.85</v>
      </c>
      <c r="AV38" s="105">
        <v>91.87</v>
      </c>
      <c r="AW38" s="105">
        <v>320.44</v>
      </c>
      <c r="AX38" s="105">
        <v>12.63</v>
      </c>
      <c r="AY38" s="105">
        <v>64.52</v>
      </c>
      <c r="AZ38" s="105">
        <v>71.436489640000005</v>
      </c>
      <c r="BA38" s="105">
        <v>53.86897467</v>
      </c>
      <c r="BB38" s="105">
        <v>68.88</v>
      </c>
      <c r="BC38" s="105">
        <v>118.18</v>
      </c>
      <c r="BD38" s="105">
        <v>122.47</v>
      </c>
    </row>
    <row r="39" spans="3:56" x14ac:dyDescent="0.25">
      <c r="C39" s="38">
        <v>44098</v>
      </c>
      <c r="D39" s="105">
        <v>195.52</v>
      </c>
      <c r="E39" s="105">
        <v>122.49</v>
      </c>
      <c r="F39" s="105">
        <v>124.75</v>
      </c>
      <c r="G39" s="105">
        <v>59.3</v>
      </c>
      <c r="H39" s="105">
        <v>145.13999999999999</v>
      </c>
      <c r="I39" s="105">
        <v>249.53</v>
      </c>
      <c r="J39" s="105">
        <v>108.22</v>
      </c>
      <c r="K39" s="105">
        <v>3019.79</v>
      </c>
      <c r="L39" s="105">
        <v>473.08</v>
      </c>
      <c r="M39" s="105">
        <v>203.19</v>
      </c>
      <c r="N39" s="105">
        <v>1422.86</v>
      </c>
      <c r="O39" s="105">
        <v>137.66</v>
      </c>
      <c r="P39" s="105">
        <v>181.87</v>
      </c>
      <c r="Q39" s="105">
        <v>311.88</v>
      </c>
      <c r="R39" s="105">
        <v>67.069999999999993</v>
      </c>
      <c r="S39" s="105">
        <v>26.07</v>
      </c>
      <c r="T39" s="105">
        <v>91.35</v>
      </c>
      <c r="U39" s="105">
        <v>45.91</v>
      </c>
      <c r="V39" s="105">
        <v>77.540000000000006</v>
      </c>
      <c r="W39" s="105">
        <v>104.77</v>
      </c>
      <c r="X39" s="105">
        <v>36.86</v>
      </c>
      <c r="Y39" s="105">
        <v>129.03950015000001</v>
      </c>
      <c r="Z39" s="105">
        <v>104.28</v>
      </c>
      <c r="AA39" s="105">
        <v>115.99</v>
      </c>
      <c r="AB39" s="105">
        <v>8.85</v>
      </c>
      <c r="AC39" s="105">
        <v>169.73</v>
      </c>
      <c r="AD39" s="105">
        <v>82.24</v>
      </c>
      <c r="AE39" s="105">
        <v>68.02</v>
      </c>
      <c r="AF39" s="105">
        <v>18.82</v>
      </c>
      <c r="AG39" s="105">
        <v>87.58</v>
      </c>
      <c r="AH39" s="105">
        <v>54.79</v>
      </c>
      <c r="AI39" s="105">
        <v>21.44</v>
      </c>
      <c r="AJ39" s="105">
        <v>22.12</v>
      </c>
      <c r="AK39" s="105">
        <v>11.3</v>
      </c>
      <c r="AL39" s="105">
        <v>50.84</v>
      </c>
      <c r="AM39" s="105">
        <v>118.09</v>
      </c>
      <c r="AN39" s="105">
        <v>198.96</v>
      </c>
      <c r="AO39" s="105">
        <v>59.19</v>
      </c>
      <c r="AP39" s="105">
        <v>52.83</v>
      </c>
      <c r="AQ39" s="105">
        <v>175.91</v>
      </c>
      <c r="AR39" s="105">
        <v>61.44</v>
      </c>
      <c r="AS39" s="105">
        <v>14.21</v>
      </c>
      <c r="AT39" s="105">
        <v>61.56</v>
      </c>
      <c r="AU39" s="105">
        <v>221.16</v>
      </c>
      <c r="AV39" s="105">
        <v>88.43</v>
      </c>
      <c r="AW39" s="105">
        <v>273.41000000000003</v>
      </c>
      <c r="AX39" s="105">
        <v>12.52</v>
      </c>
      <c r="AY39" s="105">
        <v>57.67</v>
      </c>
      <c r="AZ39" s="105">
        <v>68.932168559999994</v>
      </c>
      <c r="BA39" s="105">
        <v>50.590331999999997</v>
      </c>
      <c r="BB39" s="105">
        <v>67.14</v>
      </c>
      <c r="BC39" s="105">
        <v>121.5</v>
      </c>
      <c r="BD39" s="105">
        <v>117.84</v>
      </c>
    </row>
    <row r="40" spans="3:56" x14ac:dyDescent="0.25">
      <c r="C40" s="38">
        <v>44091</v>
      </c>
      <c r="D40" s="105">
        <v>205.27</v>
      </c>
      <c r="E40" s="105">
        <v>130.22</v>
      </c>
      <c r="F40" s="105">
        <v>116.36</v>
      </c>
      <c r="G40" s="105">
        <v>60.18</v>
      </c>
      <c r="H40" s="105">
        <v>153.87</v>
      </c>
      <c r="I40" s="105">
        <v>254.82</v>
      </c>
      <c r="J40" s="105">
        <v>110.34</v>
      </c>
      <c r="K40" s="105">
        <v>3008.73</v>
      </c>
      <c r="L40" s="105">
        <v>470.2</v>
      </c>
      <c r="M40" s="105">
        <v>202.91</v>
      </c>
      <c r="N40" s="105">
        <v>1487.04</v>
      </c>
      <c r="O40" s="105">
        <v>140.5</v>
      </c>
      <c r="P40" s="105">
        <v>192.21</v>
      </c>
      <c r="Q40" s="105">
        <v>328.03</v>
      </c>
      <c r="R40" s="105">
        <v>68.44</v>
      </c>
      <c r="S40" s="105">
        <v>27.5</v>
      </c>
      <c r="T40" s="105">
        <v>104.41</v>
      </c>
      <c r="U40" s="105">
        <v>49.08</v>
      </c>
      <c r="V40" s="105">
        <v>78.14</v>
      </c>
      <c r="W40" s="105">
        <v>105.63</v>
      </c>
      <c r="X40" s="105">
        <v>40.4</v>
      </c>
      <c r="Y40" s="105">
        <v>128.56795600000001</v>
      </c>
      <c r="Z40" s="105">
        <v>105.97</v>
      </c>
      <c r="AA40" s="105">
        <v>119.52</v>
      </c>
      <c r="AB40" s="105">
        <v>8.3800000000000008</v>
      </c>
      <c r="AC40" s="105">
        <v>168.76</v>
      </c>
      <c r="AD40" s="105">
        <v>90.34</v>
      </c>
      <c r="AE40" s="105">
        <v>68.39</v>
      </c>
      <c r="AF40" s="105">
        <v>19.260000000000002</v>
      </c>
      <c r="AG40" s="105">
        <v>84.19</v>
      </c>
      <c r="AH40" s="105">
        <v>58.55</v>
      </c>
      <c r="AI40" s="105">
        <v>22.74</v>
      </c>
      <c r="AJ40" s="105">
        <v>26.9</v>
      </c>
      <c r="AK40" s="105">
        <v>12.91</v>
      </c>
      <c r="AL40" s="105">
        <v>52.63</v>
      </c>
      <c r="AM40" s="105">
        <v>124.92</v>
      </c>
      <c r="AN40" s="105">
        <v>211.57</v>
      </c>
      <c r="AO40" s="105">
        <v>60.59</v>
      </c>
      <c r="AP40" s="105">
        <v>55.94</v>
      </c>
      <c r="AQ40" s="105">
        <v>177.68</v>
      </c>
      <c r="AR40" s="105">
        <v>66.319999999999993</v>
      </c>
      <c r="AS40" s="105">
        <v>16.16</v>
      </c>
      <c r="AT40" s="105">
        <v>68.400000000000006</v>
      </c>
      <c r="AU40" s="105">
        <v>227.8</v>
      </c>
      <c r="AV40" s="105">
        <v>88.54</v>
      </c>
      <c r="AW40" s="105">
        <v>278.93</v>
      </c>
      <c r="AX40" s="105">
        <v>12.75</v>
      </c>
      <c r="AY40" s="105">
        <v>59.25</v>
      </c>
      <c r="AZ40" s="105">
        <v>74.311099440000007</v>
      </c>
      <c r="BA40" s="105">
        <v>53.907890309999999</v>
      </c>
      <c r="BB40" s="105">
        <v>68.95</v>
      </c>
      <c r="BC40" s="105">
        <v>138.51</v>
      </c>
      <c r="BD40" s="105">
        <v>119.47</v>
      </c>
    </row>
    <row r="41" spans="3:56" x14ac:dyDescent="0.25">
      <c r="C41" s="38">
        <v>44084</v>
      </c>
      <c r="D41" s="105">
        <v>201.54</v>
      </c>
      <c r="E41" s="105">
        <v>133.22</v>
      </c>
      <c r="F41" s="105">
        <v>114.79</v>
      </c>
      <c r="G41" s="105">
        <v>57.33</v>
      </c>
      <c r="H41" s="105">
        <v>149.86000000000001</v>
      </c>
      <c r="I41" s="105">
        <v>268.08999999999997</v>
      </c>
      <c r="J41" s="105">
        <v>113.49</v>
      </c>
      <c r="K41" s="105">
        <v>3175.11</v>
      </c>
      <c r="L41" s="105">
        <v>480.67</v>
      </c>
      <c r="M41" s="105">
        <v>205.37</v>
      </c>
      <c r="N41" s="105">
        <v>1526.05</v>
      </c>
      <c r="O41" s="105">
        <v>145.15</v>
      </c>
      <c r="P41" s="105">
        <v>188.73</v>
      </c>
      <c r="Q41" s="105">
        <v>327.95</v>
      </c>
      <c r="R41" s="105">
        <v>69.13</v>
      </c>
      <c r="S41" s="105">
        <v>27.28</v>
      </c>
      <c r="T41" s="105">
        <v>100.38</v>
      </c>
      <c r="U41" s="105">
        <v>52.32</v>
      </c>
      <c r="V41" s="105">
        <v>75.5</v>
      </c>
      <c r="W41" s="105">
        <v>107.38</v>
      </c>
      <c r="X41" s="105">
        <v>38.94</v>
      </c>
      <c r="Y41" s="105">
        <v>129.60727779999999</v>
      </c>
      <c r="Z41" s="105">
        <v>107.64</v>
      </c>
      <c r="AA41" s="105">
        <v>122.38</v>
      </c>
      <c r="AB41" s="105">
        <v>8.5</v>
      </c>
      <c r="AC41" s="105">
        <v>165.73</v>
      </c>
      <c r="AD41" s="105">
        <v>86</v>
      </c>
      <c r="AE41" s="105">
        <v>68.844999999999999</v>
      </c>
      <c r="AF41" s="105">
        <v>17.72</v>
      </c>
      <c r="AG41" s="105">
        <v>91.65</v>
      </c>
      <c r="AH41" s="105">
        <v>55.89</v>
      </c>
      <c r="AI41" s="105">
        <v>21.285</v>
      </c>
      <c r="AJ41" s="105">
        <v>27.324999999999999</v>
      </c>
      <c r="AK41" s="105">
        <v>12.25</v>
      </c>
      <c r="AL41" s="105">
        <v>50.5</v>
      </c>
      <c r="AM41" s="105">
        <v>120.56</v>
      </c>
      <c r="AN41" s="105">
        <v>201.78</v>
      </c>
      <c r="AO41" s="105">
        <v>59.53</v>
      </c>
      <c r="AP41" s="105">
        <v>54.11</v>
      </c>
      <c r="AQ41" s="105">
        <v>192.83</v>
      </c>
      <c r="AR41" s="105">
        <v>66.489999999999995</v>
      </c>
      <c r="AS41" s="105">
        <v>15.06</v>
      </c>
      <c r="AT41" s="105">
        <v>61.78</v>
      </c>
      <c r="AU41" s="105">
        <v>234.18</v>
      </c>
      <c r="AV41" s="105">
        <v>90.25</v>
      </c>
      <c r="AW41" s="105">
        <v>275.49</v>
      </c>
      <c r="AX41" s="105">
        <v>12.69</v>
      </c>
      <c r="AY41" s="105">
        <v>56.61</v>
      </c>
      <c r="AZ41" s="105">
        <v>73.112533319999997</v>
      </c>
      <c r="BA41" s="105">
        <v>53.03228841</v>
      </c>
      <c r="BB41" s="105">
        <v>69.64</v>
      </c>
      <c r="BC41" s="105">
        <v>134.32</v>
      </c>
      <c r="BD41" s="105">
        <v>118.36</v>
      </c>
    </row>
    <row r="42" spans="3:56" x14ac:dyDescent="0.25">
      <c r="C42" s="38">
        <v>44077</v>
      </c>
      <c r="D42" s="105">
        <v>208.96</v>
      </c>
      <c r="E42" s="105">
        <v>133.24</v>
      </c>
      <c r="F42" s="105">
        <v>112.85</v>
      </c>
      <c r="G42" s="105">
        <v>57.1</v>
      </c>
      <c r="H42" s="105">
        <v>146.76</v>
      </c>
      <c r="I42" s="105">
        <v>291.12</v>
      </c>
      <c r="J42" s="105">
        <v>120.88</v>
      </c>
      <c r="K42" s="105">
        <v>3368</v>
      </c>
      <c r="L42" s="105">
        <v>525.75</v>
      </c>
      <c r="M42" s="105">
        <v>217.3</v>
      </c>
      <c r="N42" s="105">
        <v>1629.51</v>
      </c>
      <c r="O42" s="105">
        <v>148.36000000000001</v>
      </c>
      <c r="P42" s="105">
        <v>190.58</v>
      </c>
      <c r="Q42" s="105">
        <v>314.52</v>
      </c>
      <c r="R42" s="105">
        <v>70.650000000000006</v>
      </c>
      <c r="S42" s="105">
        <v>28.28</v>
      </c>
      <c r="T42" s="105">
        <v>103.09</v>
      </c>
      <c r="U42" s="105">
        <v>50.63</v>
      </c>
      <c r="V42" s="105">
        <v>75.31</v>
      </c>
      <c r="W42" s="105">
        <v>108.7</v>
      </c>
      <c r="X42" s="105">
        <v>38.74</v>
      </c>
      <c r="Y42" s="105">
        <v>144.63895049999999</v>
      </c>
      <c r="Z42" s="105">
        <v>109.01</v>
      </c>
      <c r="AA42" s="105">
        <v>127.94</v>
      </c>
      <c r="AB42" s="105">
        <v>9.1</v>
      </c>
      <c r="AC42" s="105">
        <v>173.31</v>
      </c>
      <c r="AD42" s="105">
        <v>87.36</v>
      </c>
      <c r="AE42" s="105">
        <v>70.655000000000001</v>
      </c>
      <c r="AF42" s="105">
        <v>18.48</v>
      </c>
      <c r="AG42" s="105">
        <v>93.03</v>
      </c>
      <c r="AH42" s="105">
        <v>54.78</v>
      </c>
      <c r="AI42" s="105">
        <v>20.68</v>
      </c>
      <c r="AJ42" s="105">
        <v>26.32</v>
      </c>
      <c r="AK42" s="105">
        <v>11.75</v>
      </c>
      <c r="AL42" s="105">
        <v>52.96</v>
      </c>
      <c r="AM42" s="105">
        <v>124.45</v>
      </c>
      <c r="AN42" s="105">
        <v>198.14</v>
      </c>
      <c r="AO42" s="105">
        <v>60.61</v>
      </c>
      <c r="AP42" s="105">
        <v>55.52</v>
      </c>
      <c r="AQ42" s="105">
        <v>206.72</v>
      </c>
      <c r="AR42" s="105">
        <v>66.13</v>
      </c>
      <c r="AS42" s="105">
        <v>15.46</v>
      </c>
      <c r="AT42" s="105">
        <v>60.37</v>
      </c>
      <c r="AU42" s="105">
        <v>235.06</v>
      </c>
      <c r="AV42" s="105">
        <v>92.92</v>
      </c>
      <c r="AW42" s="105">
        <v>284</v>
      </c>
      <c r="AX42" s="105">
        <v>13.95</v>
      </c>
      <c r="AY42" s="105">
        <v>56.2</v>
      </c>
      <c r="AZ42" s="105">
        <v>71.631378440000006</v>
      </c>
      <c r="BA42" s="105">
        <v>54.909968040000003</v>
      </c>
      <c r="BB42" s="105">
        <v>74.099999999999994</v>
      </c>
      <c r="BC42" s="105">
        <v>131.63999999999999</v>
      </c>
      <c r="BD42" s="105">
        <v>122</v>
      </c>
    </row>
    <row r="43" spans="3:56" x14ac:dyDescent="0.25">
      <c r="C43" s="38">
        <v>44070</v>
      </c>
      <c r="D43" s="105">
        <v>211.03</v>
      </c>
      <c r="E43" s="105">
        <v>133.72999999999999</v>
      </c>
      <c r="F43" s="105">
        <v>110.84</v>
      </c>
      <c r="G43" s="105">
        <v>57.18</v>
      </c>
      <c r="H43" s="105">
        <v>143.37</v>
      </c>
      <c r="I43" s="105">
        <v>293.22000000000003</v>
      </c>
      <c r="J43" s="105">
        <v>125.01</v>
      </c>
      <c r="K43" s="105">
        <v>3400</v>
      </c>
      <c r="L43" s="105">
        <v>526.27</v>
      </c>
      <c r="M43" s="105">
        <v>226.58</v>
      </c>
      <c r="N43" s="105">
        <v>1628.52</v>
      </c>
      <c r="O43" s="105">
        <v>148.69999999999999</v>
      </c>
      <c r="P43" s="105">
        <v>182.65</v>
      </c>
      <c r="Q43" s="105">
        <v>305.64</v>
      </c>
      <c r="R43" s="105">
        <v>68.63</v>
      </c>
      <c r="S43" s="105">
        <v>27.65</v>
      </c>
      <c r="T43" s="105">
        <v>101.79</v>
      </c>
      <c r="U43" s="105">
        <v>50.53</v>
      </c>
      <c r="V43" s="105">
        <v>75.8</v>
      </c>
      <c r="W43" s="105">
        <v>111.22</v>
      </c>
      <c r="X43" s="105">
        <v>37.65</v>
      </c>
      <c r="Y43" s="105">
        <v>159.39154604999999</v>
      </c>
      <c r="Z43" s="105">
        <v>110.07</v>
      </c>
      <c r="AA43" s="105">
        <v>127.9</v>
      </c>
      <c r="AB43" s="105">
        <v>8.99</v>
      </c>
      <c r="AC43" s="105">
        <v>178.19</v>
      </c>
      <c r="AD43" s="105">
        <v>88.4</v>
      </c>
      <c r="AE43" s="105">
        <v>73.405000000000001</v>
      </c>
      <c r="AF43" s="105">
        <v>18.420000000000002</v>
      </c>
      <c r="AG43" s="105">
        <v>106.99</v>
      </c>
      <c r="AH43" s="105">
        <v>53</v>
      </c>
      <c r="AI43" s="105">
        <v>21.62</v>
      </c>
      <c r="AJ43" s="105">
        <v>25.99</v>
      </c>
      <c r="AK43" s="105">
        <v>11.6</v>
      </c>
      <c r="AL43" s="105">
        <v>51.75</v>
      </c>
      <c r="AM43" s="105">
        <v>124.65</v>
      </c>
      <c r="AN43" s="105">
        <v>196.2</v>
      </c>
      <c r="AO43" s="105">
        <v>59.43</v>
      </c>
      <c r="AP43" s="105">
        <v>53.67</v>
      </c>
      <c r="AQ43" s="105">
        <v>215.39</v>
      </c>
      <c r="AR43" s="105">
        <v>64.760000000000005</v>
      </c>
      <c r="AS43" s="105">
        <v>16.18</v>
      </c>
      <c r="AT43" s="105">
        <v>60.03</v>
      </c>
      <c r="AU43" s="105">
        <v>246.57</v>
      </c>
      <c r="AV43" s="105">
        <v>96.72</v>
      </c>
      <c r="AW43" s="105">
        <v>293</v>
      </c>
      <c r="AX43" s="105">
        <v>14.67</v>
      </c>
      <c r="AY43" s="105">
        <v>55.97</v>
      </c>
      <c r="AZ43" s="105">
        <v>70.695912199999995</v>
      </c>
      <c r="BA43" s="105">
        <v>56.70981639</v>
      </c>
      <c r="BB43" s="105">
        <v>73.930000000000007</v>
      </c>
      <c r="BC43" s="105">
        <v>131.55000000000001</v>
      </c>
      <c r="BD43" s="105">
        <v>123.66</v>
      </c>
    </row>
    <row r="44" spans="3:56" x14ac:dyDescent="0.25">
      <c r="C44" s="38">
        <v>44063</v>
      </c>
      <c r="D44" s="105">
        <v>204.15</v>
      </c>
      <c r="E44" s="105">
        <v>128.12</v>
      </c>
      <c r="F44" s="105">
        <v>108.01</v>
      </c>
      <c r="G44" s="105">
        <v>55.26</v>
      </c>
      <c r="H44" s="105">
        <v>137.47999999999999</v>
      </c>
      <c r="I44" s="105">
        <v>269.01</v>
      </c>
      <c r="J44" s="105">
        <v>118.27500000000001</v>
      </c>
      <c r="K44" s="105">
        <v>3297.37</v>
      </c>
      <c r="L44" s="105">
        <v>497.9</v>
      </c>
      <c r="M44" s="105">
        <v>214.58</v>
      </c>
      <c r="N44" s="105">
        <v>1576.25</v>
      </c>
      <c r="O44" s="105">
        <v>147.74</v>
      </c>
      <c r="P44" s="105">
        <v>178.34</v>
      </c>
      <c r="Q44" s="105">
        <v>297.25</v>
      </c>
      <c r="R44" s="105">
        <v>69.010000000000005</v>
      </c>
      <c r="S44" s="105">
        <v>28.02</v>
      </c>
      <c r="T44" s="105">
        <v>94.02</v>
      </c>
      <c r="U44" s="105">
        <v>47.46</v>
      </c>
      <c r="V44" s="105">
        <v>76.94</v>
      </c>
      <c r="W44" s="105">
        <v>111.7</v>
      </c>
      <c r="X44" s="105">
        <v>34.46</v>
      </c>
      <c r="Y44" s="105">
        <v>158.9969887</v>
      </c>
      <c r="Z44" s="105">
        <v>115</v>
      </c>
      <c r="AA44" s="105">
        <v>119.82</v>
      </c>
      <c r="AB44" s="105">
        <v>9.43</v>
      </c>
      <c r="AC44" s="105">
        <v>181.19</v>
      </c>
      <c r="AD44" s="105">
        <v>83.18</v>
      </c>
      <c r="AE44" s="105">
        <v>73.22</v>
      </c>
      <c r="AF44" s="105">
        <v>17.809999999999999</v>
      </c>
      <c r="AG44" s="105">
        <v>106.4</v>
      </c>
      <c r="AH44" s="105">
        <v>45.23</v>
      </c>
      <c r="AI44" s="105">
        <v>21.75</v>
      </c>
      <c r="AJ44" s="105">
        <v>24.75</v>
      </c>
      <c r="AK44" s="105">
        <v>10.82</v>
      </c>
      <c r="AL44" s="105">
        <v>51.24</v>
      </c>
      <c r="AM44" s="105">
        <v>123.15</v>
      </c>
      <c r="AN44" s="105">
        <v>187.86</v>
      </c>
      <c r="AO44" s="105">
        <v>58.96</v>
      </c>
      <c r="AP44" s="105">
        <v>51.65</v>
      </c>
      <c r="AQ44" s="105">
        <v>200.17</v>
      </c>
      <c r="AR44" s="105">
        <v>67.23</v>
      </c>
      <c r="AS44" s="105">
        <v>16.34</v>
      </c>
      <c r="AT44" s="105">
        <v>57.93</v>
      </c>
      <c r="AU44" s="105">
        <v>258.93</v>
      </c>
      <c r="AV44" s="105">
        <v>98.91</v>
      </c>
      <c r="AW44" s="105">
        <v>293.43</v>
      </c>
      <c r="AX44" s="105">
        <v>14.875</v>
      </c>
      <c r="AY44" s="105">
        <v>57.6</v>
      </c>
      <c r="AZ44" s="105">
        <v>69.234246200000001</v>
      </c>
      <c r="BA44" s="105">
        <v>57.030870419999999</v>
      </c>
      <c r="BB44" s="105">
        <v>75</v>
      </c>
      <c r="BC44" s="105">
        <v>116.96</v>
      </c>
      <c r="BD44" s="105">
        <v>122.03</v>
      </c>
    </row>
    <row r="45" spans="3:56" x14ac:dyDescent="0.25">
      <c r="C45" s="38">
        <v>44056</v>
      </c>
      <c r="D45" s="105">
        <v>197.58</v>
      </c>
      <c r="E45" s="105">
        <v>130.96</v>
      </c>
      <c r="F45" s="105">
        <v>106.52</v>
      </c>
      <c r="G45" s="105">
        <v>54.02</v>
      </c>
      <c r="H45" s="105">
        <v>140.66999999999999</v>
      </c>
      <c r="I45" s="105">
        <v>261.3</v>
      </c>
      <c r="J45" s="105">
        <v>115.01</v>
      </c>
      <c r="K45" s="105">
        <v>3161.02</v>
      </c>
      <c r="L45" s="105">
        <v>481.33</v>
      </c>
      <c r="M45" s="105">
        <v>208.7</v>
      </c>
      <c r="N45" s="105">
        <v>1516.65</v>
      </c>
      <c r="O45" s="105">
        <v>146.57</v>
      </c>
      <c r="P45" s="105">
        <v>176.62</v>
      </c>
      <c r="Q45" s="105">
        <v>312.22000000000003</v>
      </c>
      <c r="R45" s="105">
        <v>71.28</v>
      </c>
      <c r="S45" s="105">
        <v>29.12</v>
      </c>
      <c r="T45" s="105">
        <v>96.495000000000005</v>
      </c>
      <c r="U45" s="105">
        <v>48.62</v>
      </c>
      <c r="V45" s="105">
        <v>74.58</v>
      </c>
      <c r="W45" s="105">
        <v>107.9</v>
      </c>
      <c r="X45" s="105">
        <v>34.71</v>
      </c>
      <c r="Y45" s="105">
        <v>151.43303560000001</v>
      </c>
      <c r="Z45" s="105">
        <v>106.21</v>
      </c>
      <c r="AA45" s="105">
        <v>116.81</v>
      </c>
      <c r="AB45" s="105">
        <v>9.25</v>
      </c>
      <c r="AC45" s="105">
        <v>188.55</v>
      </c>
      <c r="AD45" s="105">
        <v>85.99</v>
      </c>
      <c r="AE45" s="105">
        <v>71.61</v>
      </c>
      <c r="AF45" s="105">
        <v>17.46</v>
      </c>
      <c r="AG45" s="105">
        <v>102.67</v>
      </c>
      <c r="AH45" s="105">
        <v>46.27</v>
      </c>
      <c r="AI45" s="105">
        <v>21.83</v>
      </c>
      <c r="AJ45" s="105">
        <v>23.91</v>
      </c>
      <c r="AK45" s="105">
        <v>11.34</v>
      </c>
      <c r="AL45" s="105">
        <v>53.61</v>
      </c>
      <c r="AM45" s="105">
        <v>125.03</v>
      </c>
      <c r="AN45" s="105">
        <v>190.96</v>
      </c>
      <c r="AO45" s="105">
        <v>58.52</v>
      </c>
      <c r="AP45" s="105">
        <v>57.11</v>
      </c>
      <c r="AQ45" s="105">
        <v>193.37</v>
      </c>
      <c r="AR45" s="105">
        <v>64.11</v>
      </c>
      <c r="AS45" s="105">
        <v>16.14</v>
      </c>
      <c r="AT45" s="105">
        <v>58.6</v>
      </c>
      <c r="AU45" s="105">
        <v>262.33</v>
      </c>
      <c r="AV45" s="105">
        <v>97.27</v>
      </c>
      <c r="AW45" s="105">
        <v>301.88</v>
      </c>
      <c r="AX45" s="105">
        <v>14.84</v>
      </c>
      <c r="AY45" s="105">
        <v>57.63</v>
      </c>
      <c r="AZ45" s="105">
        <v>71.06620092</v>
      </c>
      <c r="BA45" s="105">
        <v>56.690358570000001</v>
      </c>
      <c r="BB45" s="105">
        <v>75.67</v>
      </c>
      <c r="BC45" s="105">
        <v>118.06</v>
      </c>
      <c r="BD45" s="105">
        <v>124.44</v>
      </c>
    </row>
    <row r="46" spans="3:56" x14ac:dyDescent="0.25">
      <c r="C46" s="38">
        <v>44049</v>
      </c>
      <c r="D46" s="105">
        <v>198.77</v>
      </c>
      <c r="E46" s="105">
        <v>130.82</v>
      </c>
      <c r="F46" s="105">
        <v>100.45</v>
      </c>
      <c r="G46" s="105">
        <v>55.28</v>
      </c>
      <c r="H46" s="105">
        <v>134.38999999999999</v>
      </c>
      <c r="I46" s="105">
        <v>265.27999999999997</v>
      </c>
      <c r="J46" s="105">
        <v>113.9025</v>
      </c>
      <c r="K46" s="105">
        <v>3225</v>
      </c>
      <c r="L46" s="105">
        <v>509.08</v>
      </c>
      <c r="M46" s="105">
        <v>216.35</v>
      </c>
      <c r="N46" s="105">
        <v>1504.95</v>
      </c>
      <c r="O46" s="105">
        <v>143.66999999999999</v>
      </c>
      <c r="P46" s="105">
        <v>171.09</v>
      </c>
      <c r="Q46" s="105">
        <v>301.8</v>
      </c>
      <c r="R46" s="105">
        <v>70.099999999999994</v>
      </c>
      <c r="S46" s="105">
        <v>26.5</v>
      </c>
      <c r="T46" s="105">
        <v>90.39</v>
      </c>
      <c r="U46" s="105">
        <v>45.22</v>
      </c>
      <c r="V46" s="105">
        <v>73.290000000000006</v>
      </c>
      <c r="W46" s="105">
        <v>102.75</v>
      </c>
      <c r="X46" s="105">
        <v>33.020000000000003</v>
      </c>
      <c r="Y46" s="105">
        <v>162.3266678</v>
      </c>
      <c r="Z46" s="105">
        <v>102.71</v>
      </c>
      <c r="AA46" s="105">
        <v>116.3</v>
      </c>
      <c r="AB46" s="105">
        <v>9.9499999999999993</v>
      </c>
      <c r="AC46" s="105">
        <v>186.56</v>
      </c>
      <c r="AD46" s="105">
        <v>76.849999999999994</v>
      </c>
      <c r="AE46" s="105">
        <v>69.305000000000007</v>
      </c>
      <c r="AF46" s="105">
        <v>16.14</v>
      </c>
      <c r="AG46" s="105">
        <v>103.13</v>
      </c>
      <c r="AH46" s="105">
        <v>45.69</v>
      </c>
      <c r="AI46" s="105">
        <v>21.57</v>
      </c>
      <c r="AJ46" s="105">
        <v>24.61</v>
      </c>
      <c r="AK46" s="105">
        <v>10.82</v>
      </c>
      <c r="AL46" s="105">
        <v>53.87</v>
      </c>
      <c r="AM46" s="105">
        <v>126.12</v>
      </c>
      <c r="AN46" s="105">
        <v>188.59</v>
      </c>
      <c r="AO46" s="105">
        <v>57.83</v>
      </c>
      <c r="AP46" s="105">
        <v>53.41</v>
      </c>
      <c r="AQ46" s="105">
        <v>213.66</v>
      </c>
      <c r="AR46" s="105">
        <v>70.11</v>
      </c>
      <c r="AS46" s="105">
        <v>16.420000000000002</v>
      </c>
      <c r="AT46" s="105">
        <v>56.4</v>
      </c>
      <c r="AU46" s="105">
        <v>259.61</v>
      </c>
      <c r="AV46" s="105">
        <v>95.6</v>
      </c>
      <c r="AW46" s="105">
        <v>298.66000000000003</v>
      </c>
      <c r="AX46" s="105">
        <v>15.494999999999999</v>
      </c>
      <c r="AY46" s="105">
        <v>53.06</v>
      </c>
      <c r="AZ46" s="105">
        <v>66.5545252</v>
      </c>
      <c r="BA46" s="105">
        <v>56.573611649999997</v>
      </c>
      <c r="BB46" s="105">
        <v>74.92</v>
      </c>
      <c r="BC46" s="105">
        <v>118.01</v>
      </c>
      <c r="BD46" s="105">
        <v>118.87</v>
      </c>
    </row>
    <row r="47" spans="3:56" x14ac:dyDescent="0.25">
      <c r="C47" s="38">
        <v>44042</v>
      </c>
      <c r="D47" s="105">
        <v>194.06</v>
      </c>
      <c r="E47" s="105">
        <v>115.66</v>
      </c>
      <c r="F47" s="105">
        <v>96.82</v>
      </c>
      <c r="G47" s="105">
        <v>55.25</v>
      </c>
      <c r="H47" s="105">
        <v>136.72999999999999</v>
      </c>
      <c r="I47" s="105">
        <v>234.5</v>
      </c>
      <c r="J47" s="105">
        <v>96.19</v>
      </c>
      <c r="K47" s="105">
        <v>3051.88</v>
      </c>
      <c r="L47" s="105">
        <v>485.8</v>
      </c>
      <c r="M47" s="105">
        <v>203.9</v>
      </c>
      <c r="N47" s="105">
        <v>1538.37</v>
      </c>
      <c r="O47" s="105">
        <v>145.29</v>
      </c>
      <c r="P47" s="105">
        <v>180.83</v>
      </c>
      <c r="Q47" s="105">
        <v>296.13</v>
      </c>
      <c r="R47" s="105">
        <v>69</v>
      </c>
      <c r="S47" s="105">
        <v>26.5</v>
      </c>
      <c r="T47" s="105">
        <v>85.51</v>
      </c>
      <c r="U47" s="105">
        <v>45.5</v>
      </c>
      <c r="V47" s="105">
        <v>72.28</v>
      </c>
      <c r="W47" s="105">
        <v>100.03</v>
      </c>
      <c r="X47" s="105">
        <v>30.96</v>
      </c>
      <c r="Y47" s="105">
        <v>152.7610579</v>
      </c>
      <c r="Z47" s="105">
        <v>95.12</v>
      </c>
      <c r="AA47" s="105">
        <v>114.98</v>
      </c>
      <c r="AB47" s="105">
        <v>9.7100000000000009</v>
      </c>
      <c r="AC47" s="105">
        <v>168.26</v>
      </c>
      <c r="AD47" s="105">
        <v>86.62</v>
      </c>
      <c r="AE47" s="105">
        <v>69.930000000000007</v>
      </c>
      <c r="AF47" s="105">
        <v>13.5</v>
      </c>
      <c r="AG47" s="105">
        <v>106.8</v>
      </c>
      <c r="AH47" s="105">
        <v>46.25</v>
      </c>
      <c r="AI47" s="105">
        <v>20.254999999999999</v>
      </c>
      <c r="AJ47" s="105">
        <v>24.26</v>
      </c>
      <c r="AK47" s="105">
        <v>10.199999999999999</v>
      </c>
      <c r="AL47" s="105">
        <v>54.87</v>
      </c>
      <c r="AM47" s="105">
        <v>122.9</v>
      </c>
      <c r="AN47" s="105">
        <v>200.2</v>
      </c>
      <c r="AO47" s="105">
        <v>57.3</v>
      </c>
      <c r="AP47" s="105">
        <v>51.6</v>
      </c>
      <c r="AQ47" s="105">
        <v>209.39</v>
      </c>
      <c r="AR47" s="105">
        <v>65.66</v>
      </c>
      <c r="AS47" s="105">
        <v>16.329999999999998</v>
      </c>
      <c r="AT47" s="105">
        <v>53.59</v>
      </c>
      <c r="AU47" s="105">
        <v>273.83999999999997</v>
      </c>
      <c r="AV47" s="105">
        <v>93.95</v>
      </c>
      <c r="AW47" s="105">
        <v>286.52999999999997</v>
      </c>
      <c r="AX47" s="105">
        <v>15.3</v>
      </c>
      <c r="AY47" s="105">
        <v>49.66</v>
      </c>
      <c r="AZ47" s="105">
        <v>66.184236479999996</v>
      </c>
      <c r="BA47" s="105">
        <v>46.45554525</v>
      </c>
      <c r="BB47" s="105">
        <v>76.540000000000006</v>
      </c>
      <c r="BC47" s="105">
        <v>111.49</v>
      </c>
      <c r="BD47" s="105">
        <v>105.28</v>
      </c>
    </row>
    <row r="48" spans="3:56" x14ac:dyDescent="0.25">
      <c r="C48" s="38">
        <v>44035</v>
      </c>
      <c r="D48" s="105">
        <v>197.43</v>
      </c>
      <c r="E48" s="105">
        <v>118.12</v>
      </c>
      <c r="F48" s="105">
        <v>98.3</v>
      </c>
      <c r="G48" s="105">
        <v>55.76</v>
      </c>
      <c r="H48" s="105">
        <v>136.6</v>
      </c>
      <c r="I48" s="105">
        <v>232.6</v>
      </c>
      <c r="J48" s="105">
        <v>92.844999999999999</v>
      </c>
      <c r="K48" s="105">
        <v>2986.55</v>
      </c>
      <c r="L48" s="105">
        <v>477.58</v>
      </c>
      <c r="M48" s="105">
        <v>202.54</v>
      </c>
      <c r="N48" s="105">
        <v>1516.75</v>
      </c>
      <c r="O48" s="105">
        <v>146.33000000000001</v>
      </c>
      <c r="P48" s="105">
        <v>179</v>
      </c>
      <c r="Q48" s="105">
        <v>299.05</v>
      </c>
      <c r="R48" s="105">
        <v>68.27</v>
      </c>
      <c r="S48" s="105">
        <v>25.91</v>
      </c>
      <c r="T48" s="105">
        <v>88.97</v>
      </c>
      <c r="U48" s="105">
        <v>44.88</v>
      </c>
      <c r="V48" s="105">
        <v>70.08</v>
      </c>
      <c r="W48" s="105">
        <v>96.08</v>
      </c>
      <c r="X48" s="105">
        <v>32.79</v>
      </c>
      <c r="Y48" s="105">
        <v>133.6298381</v>
      </c>
      <c r="Z48" s="105">
        <v>88.29</v>
      </c>
      <c r="AA48" s="105">
        <v>103.73</v>
      </c>
      <c r="AB48" s="105">
        <v>9.52</v>
      </c>
      <c r="AC48" s="105">
        <v>156.69999999999999</v>
      </c>
      <c r="AD48" s="105">
        <v>80</v>
      </c>
      <c r="AE48" s="105">
        <v>66.81</v>
      </c>
      <c r="AF48" s="105">
        <v>13.54</v>
      </c>
      <c r="AG48" s="105">
        <v>102.78</v>
      </c>
      <c r="AH48" s="105">
        <v>44.18</v>
      </c>
      <c r="AI48" s="105">
        <v>18.690000000000001</v>
      </c>
      <c r="AJ48" s="105">
        <v>26.03</v>
      </c>
      <c r="AK48" s="105">
        <v>10.71</v>
      </c>
      <c r="AL48" s="105">
        <v>56.66</v>
      </c>
      <c r="AM48" s="105">
        <v>127.33</v>
      </c>
      <c r="AN48" s="105">
        <v>195.16</v>
      </c>
      <c r="AO48" s="105">
        <v>55.85</v>
      </c>
      <c r="AP48" s="105">
        <v>53.39</v>
      </c>
      <c r="AQ48" s="105">
        <v>201.93</v>
      </c>
      <c r="AR48" s="105">
        <v>65.77</v>
      </c>
      <c r="AS48" s="105">
        <v>16.079999999999998</v>
      </c>
      <c r="AT48" s="105">
        <v>54.94</v>
      </c>
      <c r="AU48" s="105">
        <v>272.70999999999998</v>
      </c>
      <c r="AV48" s="105">
        <v>96.32</v>
      </c>
      <c r="AW48" s="105">
        <v>291.2</v>
      </c>
      <c r="AX48" s="105">
        <v>13.35</v>
      </c>
      <c r="AY48" s="105">
        <v>49.18</v>
      </c>
      <c r="AZ48" s="105">
        <v>62.033105040000002</v>
      </c>
      <c r="BA48" s="105">
        <v>45.978828659999998</v>
      </c>
      <c r="BB48" s="105">
        <v>79.040000000000006</v>
      </c>
      <c r="BC48" s="105">
        <v>113.76</v>
      </c>
      <c r="BD48" s="105">
        <v>107.35</v>
      </c>
    </row>
    <row r="49" spans="3:56" x14ac:dyDescent="0.25">
      <c r="C49" s="38">
        <v>44028</v>
      </c>
      <c r="D49" s="105">
        <v>193.5</v>
      </c>
      <c r="E49" s="105">
        <v>119.43</v>
      </c>
      <c r="F49" s="105">
        <v>97.26</v>
      </c>
      <c r="G49" s="105">
        <v>55.82</v>
      </c>
      <c r="H49" s="105">
        <v>138.56</v>
      </c>
      <c r="I49" s="105">
        <v>240.93</v>
      </c>
      <c r="J49" s="105">
        <v>96.522499999999994</v>
      </c>
      <c r="K49" s="105">
        <v>2999.9</v>
      </c>
      <c r="L49" s="105">
        <v>527.39</v>
      </c>
      <c r="M49" s="105">
        <v>203.92</v>
      </c>
      <c r="N49" s="105">
        <v>1514.92</v>
      </c>
      <c r="O49" s="105">
        <v>134.44999999999999</v>
      </c>
      <c r="P49" s="105">
        <v>181.24</v>
      </c>
      <c r="Q49" s="105">
        <v>309</v>
      </c>
      <c r="R49" s="105">
        <v>64.989999999999995</v>
      </c>
      <c r="S49" s="105">
        <v>25.85</v>
      </c>
      <c r="T49" s="105">
        <v>93.11</v>
      </c>
      <c r="U49" s="105">
        <v>49.71</v>
      </c>
      <c r="V49" s="105">
        <v>69.81</v>
      </c>
      <c r="W49" s="105">
        <v>88.35</v>
      </c>
      <c r="X49" s="105">
        <v>34.21</v>
      </c>
      <c r="Y49" s="105">
        <v>127.73072455000001</v>
      </c>
      <c r="Z49" s="105">
        <v>89.33</v>
      </c>
      <c r="AA49" s="105">
        <v>98.16</v>
      </c>
      <c r="AB49" s="105">
        <v>9.43</v>
      </c>
      <c r="AC49" s="105">
        <v>152.05000000000001</v>
      </c>
      <c r="AD49" s="105">
        <v>80.17</v>
      </c>
      <c r="AE49" s="105">
        <v>66.295000000000002</v>
      </c>
      <c r="AF49" s="105">
        <v>13.2</v>
      </c>
      <c r="AG49" s="105">
        <v>96.12</v>
      </c>
      <c r="AH49" s="105">
        <v>41.28</v>
      </c>
      <c r="AI49" s="105">
        <v>18.95</v>
      </c>
      <c r="AJ49" s="105">
        <v>25.64</v>
      </c>
      <c r="AK49" s="105">
        <v>11.02</v>
      </c>
      <c r="AL49" s="105">
        <v>56.09</v>
      </c>
      <c r="AM49" s="105">
        <v>124.01</v>
      </c>
      <c r="AN49" s="105">
        <v>186.59</v>
      </c>
      <c r="AO49" s="105">
        <v>55.78</v>
      </c>
      <c r="AP49" s="105">
        <v>53.51</v>
      </c>
      <c r="AQ49" s="105">
        <v>199.02</v>
      </c>
      <c r="AR49" s="105">
        <v>61.55</v>
      </c>
      <c r="AS49" s="105">
        <v>16.84</v>
      </c>
      <c r="AT49" s="105">
        <v>54.62</v>
      </c>
      <c r="AU49" s="105">
        <v>265.05</v>
      </c>
      <c r="AV49" s="105">
        <v>96.63</v>
      </c>
      <c r="AW49" s="105">
        <v>290.3</v>
      </c>
      <c r="AX49" s="105">
        <v>12.77</v>
      </c>
      <c r="AY49" s="105">
        <v>49.44</v>
      </c>
      <c r="AZ49" s="105">
        <v>60.045239279999997</v>
      </c>
      <c r="BA49" s="105">
        <v>45.03512439</v>
      </c>
      <c r="BB49" s="105">
        <v>74.78</v>
      </c>
      <c r="BC49" s="105">
        <v>115.77</v>
      </c>
      <c r="BD49" s="105">
        <v>105.07</v>
      </c>
    </row>
    <row r="50" spans="3:56" x14ac:dyDescent="0.25">
      <c r="C50" s="38">
        <v>44021</v>
      </c>
      <c r="D50" s="105">
        <v>192.21</v>
      </c>
      <c r="E50" s="105">
        <v>116.81</v>
      </c>
      <c r="F50" s="105">
        <v>96.99</v>
      </c>
      <c r="G50" s="105">
        <v>57.53</v>
      </c>
      <c r="H50" s="105">
        <v>125.73</v>
      </c>
      <c r="I50" s="105">
        <v>244.5</v>
      </c>
      <c r="J50" s="105">
        <v>95.682500000000005</v>
      </c>
      <c r="K50" s="105">
        <v>3182.63</v>
      </c>
      <c r="L50" s="105">
        <v>507.76</v>
      </c>
      <c r="M50" s="105">
        <v>214.32</v>
      </c>
      <c r="N50" s="105">
        <v>1518.66</v>
      </c>
      <c r="O50" s="105">
        <v>126.75</v>
      </c>
      <c r="P50" s="105">
        <v>182.39</v>
      </c>
      <c r="Q50" s="105">
        <v>274.08</v>
      </c>
      <c r="R50" s="105">
        <v>63.24</v>
      </c>
      <c r="S50" s="105">
        <v>24.4</v>
      </c>
      <c r="T50" s="105">
        <v>86.25</v>
      </c>
      <c r="U50" s="105">
        <v>44.68</v>
      </c>
      <c r="V50" s="105">
        <v>63.25</v>
      </c>
      <c r="W50" s="105">
        <v>84.95</v>
      </c>
      <c r="X50" s="105">
        <v>31.57</v>
      </c>
      <c r="Y50" s="105">
        <v>132.98507365</v>
      </c>
      <c r="Z50" s="105">
        <v>88.53</v>
      </c>
      <c r="AA50" s="105">
        <v>101.28</v>
      </c>
      <c r="AB50" s="105">
        <v>10.44</v>
      </c>
      <c r="AC50" s="105">
        <v>161.1</v>
      </c>
      <c r="AD50" s="105">
        <v>75.38</v>
      </c>
      <c r="AE50" s="105">
        <v>64.64</v>
      </c>
      <c r="AF50" s="105">
        <v>11.68</v>
      </c>
      <c r="AG50" s="105">
        <v>100.3</v>
      </c>
      <c r="AH50" s="105">
        <v>38.770000000000003</v>
      </c>
      <c r="AI50" s="105">
        <v>17.737500000000001</v>
      </c>
      <c r="AJ50" s="105">
        <v>24.59</v>
      </c>
      <c r="AK50" s="105">
        <v>9.98</v>
      </c>
      <c r="AL50" s="105">
        <v>53.93</v>
      </c>
      <c r="AM50" s="105">
        <v>115.71</v>
      </c>
      <c r="AN50" s="105">
        <v>177.77</v>
      </c>
      <c r="AO50" s="105">
        <v>53.94</v>
      </c>
      <c r="AP50" s="105">
        <v>49.99</v>
      </c>
      <c r="AQ50" s="105">
        <v>204.85</v>
      </c>
      <c r="AR50" s="105">
        <v>62.73</v>
      </c>
      <c r="AS50" s="105">
        <v>15.88</v>
      </c>
      <c r="AT50" s="105">
        <v>50.98</v>
      </c>
      <c r="AU50" s="105">
        <v>258.61</v>
      </c>
      <c r="AV50" s="105">
        <v>91.334999999999994</v>
      </c>
      <c r="AW50" s="105">
        <v>314.01</v>
      </c>
      <c r="AX50" s="105">
        <v>13</v>
      </c>
      <c r="AY50" s="105">
        <v>47.18</v>
      </c>
      <c r="AZ50" s="105">
        <v>52.054798480000002</v>
      </c>
      <c r="BA50" s="105">
        <v>43.556330070000001</v>
      </c>
      <c r="BB50" s="105">
        <v>74.069999999999993</v>
      </c>
      <c r="BC50" s="105">
        <v>101.74</v>
      </c>
      <c r="BD50" s="105">
        <v>97.56</v>
      </c>
    </row>
    <row r="51" spans="3:56" x14ac:dyDescent="0.25">
      <c r="C51" s="38">
        <v>44014</v>
      </c>
      <c r="D51" s="105">
        <v>195.67</v>
      </c>
      <c r="E51" s="105">
        <v>112.18</v>
      </c>
      <c r="F51" s="105">
        <v>98.43</v>
      </c>
      <c r="G51" s="105">
        <v>55.94</v>
      </c>
      <c r="H51" s="105">
        <v>127.72</v>
      </c>
      <c r="I51" s="105">
        <v>233.42</v>
      </c>
      <c r="J51" s="105">
        <v>91.027500000000003</v>
      </c>
      <c r="K51" s="105">
        <v>2890.3</v>
      </c>
      <c r="L51" s="105">
        <v>476.89</v>
      </c>
      <c r="M51" s="105">
        <v>206.26</v>
      </c>
      <c r="N51" s="105">
        <v>1469.93</v>
      </c>
      <c r="O51" s="105">
        <v>129.86000000000001</v>
      </c>
      <c r="P51" s="105">
        <v>185.8</v>
      </c>
      <c r="Q51" s="105">
        <v>279.93</v>
      </c>
      <c r="R51" s="105">
        <v>64.099999999999994</v>
      </c>
      <c r="S51" s="105">
        <v>26.18</v>
      </c>
      <c r="T51" s="105">
        <v>87.8</v>
      </c>
      <c r="U51" s="105">
        <v>46.34</v>
      </c>
      <c r="V51" s="105">
        <v>60.17</v>
      </c>
      <c r="W51" s="105">
        <v>87.45</v>
      </c>
      <c r="X51" s="105">
        <v>34.119999999999997</v>
      </c>
      <c r="Y51" s="105">
        <v>136.20889589999999</v>
      </c>
      <c r="Z51" s="105">
        <v>88.57</v>
      </c>
      <c r="AA51" s="105">
        <v>103</v>
      </c>
      <c r="AB51" s="105">
        <v>9.5299999999999994</v>
      </c>
      <c r="AC51" s="105">
        <v>149.54</v>
      </c>
      <c r="AD51" s="105">
        <v>76.45</v>
      </c>
      <c r="AE51" s="105">
        <v>63.44</v>
      </c>
      <c r="AF51" s="105">
        <v>12.85</v>
      </c>
      <c r="AG51" s="105">
        <v>93.3</v>
      </c>
      <c r="AH51" s="105">
        <v>40.76</v>
      </c>
      <c r="AI51" s="105">
        <v>17.7575</v>
      </c>
      <c r="AJ51" s="105">
        <v>23.95</v>
      </c>
      <c r="AK51" s="105">
        <v>10.67</v>
      </c>
      <c r="AL51" s="105">
        <v>55.54</v>
      </c>
      <c r="AM51" s="105">
        <v>119.7</v>
      </c>
      <c r="AN51" s="105">
        <v>183.94</v>
      </c>
      <c r="AO51" s="105">
        <v>54.79</v>
      </c>
      <c r="AP51" s="105">
        <v>51.75</v>
      </c>
      <c r="AQ51" s="105">
        <v>199.91</v>
      </c>
      <c r="AR51" s="105">
        <v>60.96</v>
      </c>
      <c r="AS51" s="105">
        <v>15.93</v>
      </c>
      <c r="AT51" s="105">
        <v>54.06</v>
      </c>
      <c r="AU51" s="105">
        <v>245.03</v>
      </c>
      <c r="AV51" s="105">
        <v>93.61</v>
      </c>
      <c r="AW51" s="105">
        <v>321.5</v>
      </c>
      <c r="AX51" s="105">
        <v>12.11</v>
      </c>
      <c r="AY51" s="105">
        <v>48.81</v>
      </c>
      <c r="AZ51" s="105">
        <v>53.253364599999998</v>
      </c>
      <c r="BA51" s="105">
        <v>44.869732919999997</v>
      </c>
      <c r="BB51" s="105">
        <v>77.349999999999994</v>
      </c>
      <c r="BC51" s="105">
        <v>109.22</v>
      </c>
      <c r="BD51" s="105">
        <v>100.5</v>
      </c>
    </row>
    <row r="52" spans="3:56" x14ac:dyDescent="0.25">
      <c r="C52" s="38">
        <v>44007</v>
      </c>
      <c r="D52" s="105">
        <v>193.98</v>
      </c>
      <c r="E52" s="105">
        <v>111.36</v>
      </c>
      <c r="F52" s="105">
        <v>101.4</v>
      </c>
      <c r="G52" s="105">
        <v>54.53</v>
      </c>
      <c r="H52" s="105">
        <v>124.71</v>
      </c>
      <c r="I52" s="105">
        <v>235.68</v>
      </c>
      <c r="J52" s="105">
        <v>91.21</v>
      </c>
      <c r="K52" s="105">
        <v>2754.58</v>
      </c>
      <c r="L52" s="105">
        <v>465.91</v>
      </c>
      <c r="M52" s="105">
        <v>200.34</v>
      </c>
      <c r="N52" s="105">
        <v>1441.1</v>
      </c>
      <c r="O52" s="105">
        <v>128.66999999999999</v>
      </c>
      <c r="P52" s="105">
        <v>173.33</v>
      </c>
      <c r="Q52" s="105">
        <v>257.43</v>
      </c>
      <c r="R52" s="105">
        <v>62.9</v>
      </c>
      <c r="S52" s="105">
        <v>25.59</v>
      </c>
      <c r="T52" s="105">
        <v>84.04</v>
      </c>
      <c r="U52" s="105">
        <v>44.99</v>
      </c>
      <c r="V52" s="105">
        <v>59.76</v>
      </c>
      <c r="W52" s="105">
        <v>84.71</v>
      </c>
      <c r="X52" s="105">
        <v>32.97</v>
      </c>
      <c r="Y52" s="105">
        <v>133.48548785</v>
      </c>
      <c r="Z52" s="105">
        <v>88.69</v>
      </c>
      <c r="AA52" s="105">
        <v>95.76</v>
      </c>
      <c r="AB52" s="105">
        <v>9.61</v>
      </c>
      <c r="AC52" s="105">
        <v>151.33000000000001</v>
      </c>
      <c r="AD52" s="105">
        <v>75.69</v>
      </c>
      <c r="AE52" s="105">
        <v>61.475000000000001</v>
      </c>
      <c r="AF52" s="105">
        <v>12.31</v>
      </c>
      <c r="AG52" s="105">
        <v>99.1</v>
      </c>
      <c r="AH52" s="105">
        <v>40.43</v>
      </c>
      <c r="AI52" s="105">
        <v>17.559999999999999</v>
      </c>
      <c r="AJ52" s="105">
        <v>23.77</v>
      </c>
      <c r="AK52" s="105">
        <v>10.67</v>
      </c>
      <c r="AL52" s="105">
        <v>54.89</v>
      </c>
      <c r="AM52" s="105">
        <v>119.03</v>
      </c>
      <c r="AN52" s="105">
        <v>175.61</v>
      </c>
      <c r="AO52" s="105">
        <v>54.28</v>
      </c>
      <c r="AP52" s="105">
        <v>50.87</v>
      </c>
      <c r="AQ52" s="105">
        <v>193.04</v>
      </c>
      <c r="AR52" s="105">
        <v>58.59</v>
      </c>
      <c r="AS52" s="105">
        <v>16.38</v>
      </c>
      <c r="AT52" s="105">
        <v>55</v>
      </c>
      <c r="AU52" s="105">
        <v>228.94</v>
      </c>
      <c r="AV52" s="105">
        <v>93.11</v>
      </c>
      <c r="AW52" s="105">
        <v>317.04000000000002</v>
      </c>
      <c r="AX52" s="105">
        <v>11.85</v>
      </c>
      <c r="AY52" s="105">
        <v>48.65</v>
      </c>
      <c r="AZ52" s="105">
        <v>52.658953760000003</v>
      </c>
      <c r="BA52" s="105">
        <v>44.013588839999997</v>
      </c>
      <c r="BB52" s="105">
        <v>74.05</v>
      </c>
      <c r="BC52" s="105">
        <v>106.95</v>
      </c>
      <c r="BD52" s="105">
        <v>100.3</v>
      </c>
    </row>
    <row r="53" spans="3:56" x14ac:dyDescent="0.25">
      <c r="C53" s="38">
        <v>44000</v>
      </c>
      <c r="D53" s="105">
        <v>193.91</v>
      </c>
      <c r="E53" s="105">
        <v>118.37</v>
      </c>
      <c r="F53" s="105">
        <v>98.45</v>
      </c>
      <c r="G53" s="105">
        <v>53.69</v>
      </c>
      <c r="H53" s="105">
        <v>127.59</v>
      </c>
      <c r="I53" s="105">
        <v>235.94</v>
      </c>
      <c r="J53" s="105">
        <v>87.932500000000005</v>
      </c>
      <c r="K53" s="105">
        <v>2653.98</v>
      </c>
      <c r="L53" s="105">
        <v>449.87</v>
      </c>
      <c r="M53" s="105">
        <v>196.32</v>
      </c>
      <c r="N53" s="105">
        <v>1434.12</v>
      </c>
      <c r="O53" s="105">
        <v>132.54</v>
      </c>
      <c r="P53" s="105">
        <v>184.25</v>
      </c>
      <c r="Q53" s="105">
        <v>264.61</v>
      </c>
      <c r="R53" s="105">
        <v>64.510000000000005</v>
      </c>
      <c r="S53" s="105">
        <v>26.88</v>
      </c>
      <c r="T53" s="105">
        <v>92.75</v>
      </c>
      <c r="U53" s="105">
        <v>48.2</v>
      </c>
      <c r="V53" s="105">
        <v>61.9</v>
      </c>
      <c r="W53" s="105">
        <v>82.3</v>
      </c>
      <c r="X53" s="105">
        <v>35.85</v>
      </c>
      <c r="Y53" s="105">
        <v>116.12496444999999</v>
      </c>
      <c r="Z53" s="105">
        <v>85.83</v>
      </c>
      <c r="AA53" s="105">
        <v>96.51</v>
      </c>
      <c r="AB53" s="105">
        <v>9.2200000000000006</v>
      </c>
      <c r="AC53" s="105">
        <v>154.34</v>
      </c>
      <c r="AD53" s="105">
        <v>80.489999999999995</v>
      </c>
      <c r="AE53" s="105">
        <v>59.98</v>
      </c>
      <c r="AF53" s="105">
        <v>13.09</v>
      </c>
      <c r="AG53" s="105">
        <v>102.58</v>
      </c>
      <c r="AH53" s="105">
        <v>41.02</v>
      </c>
      <c r="AI53" s="105">
        <v>18.324999999999999</v>
      </c>
      <c r="AJ53" s="105">
        <v>23.28</v>
      </c>
      <c r="AK53" s="105">
        <v>12.04</v>
      </c>
      <c r="AL53" s="105">
        <v>58.84</v>
      </c>
      <c r="AM53" s="105">
        <v>124.16</v>
      </c>
      <c r="AN53" s="105">
        <v>190.02</v>
      </c>
      <c r="AO53" s="105">
        <v>56.89</v>
      </c>
      <c r="AP53" s="105">
        <v>53.45</v>
      </c>
      <c r="AQ53" s="105">
        <v>186.2</v>
      </c>
      <c r="AR53" s="105">
        <v>55.53</v>
      </c>
      <c r="AS53" s="105">
        <v>16.329999999999998</v>
      </c>
      <c r="AT53" s="105">
        <v>55.93</v>
      </c>
      <c r="AU53" s="105">
        <v>236.23</v>
      </c>
      <c r="AV53" s="105">
        <v>90.69</v>
      </c>
      <c r="AW53" s="105">
        <v>316.3</v>
      </c>
      <c r="AX53" s="105">
        <v>12.46</v>
      </c>
      <c r="AY53" s="105">
        <v>49.94</v>
      </c>
      <c r="AZ53" s="105">
        <v>52.785631479999999</v>
      </c>
      <c r="BA53" s="105">
        <v>43.721721539999997</v>
      </c>
      <c r="BB53" s="105">
        <v>76.349999999999994</v>
      </c>
      <c r="BC53" s="105">
        <v>114.02</v>
      </c>
      <c r="BD53" s="105">
        <v>107.03</v>
      </c>
    </row>
    <row r="54" spans="3:56" x14ac:dyDescent="0.25">
      <c r="C54" s="38">
        <v>43993</v>
      </c>
      <c r="D54" s="105">
        <v>188.88</v>
      </c>
      <c r="E54" s="105">
        <v>112.64</v>
      </c>
      <c r="F54" s="105">
        <v>95.17</v>
      </c>
      <c r="G54" s="105">
        <v>51.31</v>
      </c>
      <c r="H54" s="105">
        <v>121.55</v>
      </c>
      <c r="I54" s="105">
        <v>224.43</v>
      </c>
      <c r="J54" s="105">
        <v>83.974999999999994</v>
      </c>
      <c r="K54" s="105">
        <v>2557.96</v>
      </c>
      <c r="L54" s="105">
        <v>425.56</v>
      </c>
      <c r="M54" s="105">
        <v>186.27</v>
      </c>
      <c r="N54" s="105">
        <v>1401.9</v>
      </c>
      <c r="O54" s="105">
        <v>129.09</v>
      </c>
      <c r="P54" s="105">
        <v>168.67</v>
      </c>
      <c r="Q54" s="105">
        <v>238.28</v>
      </c>
      <c r="R54" s="105">
        <v>65.08</v>
      </c>
      <c r="S54" s="105">
        <v>26.36</v>
      </c>
      <c r="T54" s="105">
        <v>91.44</v>
      </c>
      <c r="U54" s="105">
        <v>49.09</v>
      </c>
      <c r="V54" s="105">
        <v>57.22</v>
      </c>
      <c r="W54" s="105">
        <v>77.25</v>
      </c>
      <c r="X54" s="105">
        <v>32.83</v>
      </c>
      <c r="Y54" s="105">
        <v>112.08315745</v>
      </c>
      <c r="Z54" s="105">
        <v>78</v>
      </c>
      <c r="AA54" s="105">
        <v>91.36</v>
      </c>
      <c r="AB54" s="105">
        <v>9.18</v>
      </c>
      <c r="AC54" s="105">
        <v>153.28</v>
      </c>
      <c r="AD54" s="105">
        <v>73.58</v>
      </c>
      <c r="AE54" s="105">
        <v>56.914999999999999</v>
      </c>
      <c r="AF54" s="105">
        <v>12.51</v>
      </c>
      <c r="AG54" s="105">
        <v>90.74</v>
      </c>
      <c r="AH54" s="105">
        <v>36.17</v>
      </c>
      <c r="AI54" s="105">
        <v>16.23</v>
      </c>
      <c r="AJ54" s="105">
        <v>23.44</v>
      </c>
      <c r="AK54" s="105">
        <v>11.11</v>
      </c>
      <c r="AL54" s="105">
        <v>56.81</v>
      </c>
      <c r="AM54" s="105">
        <v>118.01</v>
      </c>
      <c r="AN54" s="105">
        <v>183.54</v>
      </c>
      <c r="AO54" s="105">
        <v>56.45</v>
      </c>
      <c r="AP54" s="105">
        <v>52.66</v>
      </c>
      <c r="AQ54" s="105">
        <v>173.74</v>
      </c>
      <c r="AR54" s="105">
        <v>56.04</v>
      </c>
      <c r="AS54" s="105">
        <v>16.3</v>
      </c>
      <c r="AT54" s="105">
        <v>53.37</v>
      </c>
      <c r="AU54" s="105">
        <v>230.19</v>
      </c>
      <c r="AV54" s="105">
        <v>89.1</v>
      </c>
      <c r="AW54" s="105">
        <v>295.68</v>
      </c>
      <c r="AX54" s="105">
        <v>12.26</v>
      </c>
      <c r="AY54" s="105">
        <v>43.55</v>
      </c>
      <c r="AZ54" s="105">
        <v>53.029242480000001</v>
      </c>
      <c r="BA54" s="105">
        <v>41.03654238</v>
      </c>
      <c r="BB54" s="105">
        <v>76.709999999999994</v>
      </c>
      <c r="BC54" s="105">
        <v>106.97</v>
      </c>
      <c r="BD54" s="105">
        <v>104.81</v>
      </c>
    </row>
    <row r="55" spans="3:56" x14ac:dyDescent="0.25">
      <c r="C55" s="38">
        <v>43986</v>
      </c>
      <c r="D55" s="105">
        <v>193.64</v>
      </c>
      <c r="E55" s="105">
        <v>123.69</v>
      </c>
      <c r="F55" s="105">
        <v>101.28</v>
      </c>
      <c r="G55" s="105">
        <v>52.85</v>
      </c>
      <c r="H55" s="105">
        <v>128.96</v>
      </c>
      <c r="I55" s="105">
        <v>226.29</v>
      </c>
      <c r="J55" s="105">
        <v>80.58</v>
      </c>
      <c r="K55" s="105">
        <v>2460.6</v>
      </c>
      <c r="L55" s="105">
        <v>414.33</v>
      </c>
      <c r="M55" s="105">
        <v>182.92</v>
      </c>
      <c r="N55" s="105">
        <v>1414.3</v>
      </c>
      <c r="O55" s="105">
        <v>133.43</v>
      </c>
      <c r="P55" s="105">
        <v>175.73</v>
      </c>
      <c r="Q55" s="105">
        <v>260.07</v>
      </c>
      <c r="R55" s="105">
        <v>65.03</v>
      </c>
      <c r="S55" s="105">
        <v>30.01</v>
      </c>
      <c r="T55" s="105">
        <v>104.82</v>
      </c>
      <c r="U55" s="105">
        <v>52.35</v>
      </c>
      <c r="V55" s="105">
        <v>61.08</v>
      </c>
      <c r="W55" s="105">
        <v>79.92</v>
      </c>
      <c r="X55" s="105">
        <v>38.270000000000003</v>
      </c>
      <c r="Y55" s="105">
        <v>116.28856140000001</v>
      </c>
      <c r="Z55" s="105">
        <v>75.05</v>
      </c>
      <c r="AA55" s="105">
        <v>99.2</v>
      </c>
      <c r="AB55" s="105">
        <v>9.0500000000000007</v>
      </c>
      <c r="AC55" s="105">
        <v>157.82</v>
      </c>
      <c r="AD55" s="105">
        <v>81.61</v>
      </c>
      <c r="AE55" s="105">
        <v>57.174999999999997</v>
      </c>
      <c r="AF55" s="105">
        <v>13.86</v>
      </c>
      <c r="AG55" s="105">
        <v>93.52</v>
      </c>
      <c r="AH55" s="105">
        <v>36.85</v>
      </c>
      <c r="AI55" s="105">
        <v>17.267499999999998</v>
      </c>
      <c r="AJ55" s="105">
        <v>22.48</v>
      </c>
      <c r="AK55" s="105">
        <v>13.02</v>
      </c>
      <c r="AL55" s="105">
        <v>59.06</v>
      </c>
      <c r="AM55" s="105">
        <v>128.88999999999999</v>
      </c>
      <c r="AN55" s="105">
        <v>198.08</v>
      </c>
      <c r="AO55" s="105">
        <v>57.22</v>
      </c>
      <c r="AP55" s="105">
        <v>54.83</v>
      </c>
      <c r="AQ55" s="105">
        <v>181.58</v>
      </c>
      <c r="AR55" s="105">
        <v>55.9</v>
      </c>
      <c r="AS55" s="105">
        <v>17.7</v>
      </c>
      <c r="AT55" s="105">
        <v>58.59</v>
      </c>
      <c r="AU55" s="105">
        <v>243.55</v>
      </c>
      <c r="AV55" s="105">
        <v>93.26</v>
      </c>
      <c r="AW55" s="105">
        <v>303.17</v>
      </c>
      <c r="AX55" s="105">
        <v>13.05</v>
      </c>
      <c r="AY55" s="105">
        <v>47.37</v>
      </c>
      <c r="AZ55" s="105">
        <v>59.480061759999998</v>
      </c>
      <c r="BA55" s="105">
        <v>42.622354710000003</v>
      </c>
      <c r="BB55" s="105">
        <v>82.27</v>
      </c>
      <c r="BC55" s="105">
        <v>125.84</v>
      </c>
      <c r="BD55" s="105">
        <v>110.39</v>
      </c>
    </row>
    <row r="56" spans="3:56" x14ac:dyDescent="0.25">
      <c r="C56" s="38">
        <v>43979</v>
      </c>
      <c r="D56" s="105">
        <v>194.26</v>
      </c>
      <c r="E56" s="105">
        <v>116.75</v>
      </c>
      <c r="F56" s="105">
        <v>98.46</v>
      </c>
      <c r="G56" s="105">
        <v>53.62</v>
      </c>
      <c r="H56" s="105">
        <v>120.74</v>
      </c>
      <c r="I56" s="105">
        <v>225.46</v>
      </c>
      <c r="J56" s="105">
        <v>79.5625</v>
      </c>
      <c r="K56" s="105">
        <v>2401.1</v>
      </c>
      <c r="L56" s="105">
        <v>413.44</v>
      </c>
      <c r="M56" s="105">
        <v>181.4</v>
      </c>
      <c r="N56" s="105">
        <v>1418.24</v>
      </c>
      <c r="O56" s="105">
        <v>135.97999999999999</v>
      </c>
      <c r="P56" s="105">
        <v>175.44</v>
      </c>
      <c r="Q56" s="105">
        <v>249.18</v>
      </c>
      <c r="R56" s="105">
        <v>64.010000000000005</v>
      </c>
      <c r="S56" s="105">
        <v>27.44</v>
      </c>
      <c r="T56" s="105">
        <v>91.64</v>
      </c>
      <c r="U56" s="105">
        <v>48.55</v>
      </c>
      <c r="V56" s="105">
        <v>60.19</v>
      </c>
      <c r="W56" s="105">
        <v>76.430000000000007</v>
      </c>
      <c r="X56" s="105">
        <v>32.549999999999997</v>
      </c>
      <c r="Y56" s="105">
        <v>114.58522845</v>
      </c>
      <c r="Z56" s="105">
        <v>75.64</v>
      </c>
      <c r="AA56" s="105">
        <v>94.11</v>
      </c>
      <c r="AB56" s="105">
        <v>8.07</v>
      </c>
      <c r="AC56" s="105">
        <v>146.94999999999999</v>
      </c>
      <c r="AD56" s="105">
        <v>78.55</v>
      </c>
      <c r="AE56" s="105">
        <v>59.88</v>
      </c>
      <c r="AF56" s="105">
        <v>12.2</v>
      </c>
      <c r="AG56" s="105">
        <v>87.8</v>
      </c>
      <c r="AH56" s="105">
        <v>34.93</v>
      </c>
      <c r="AI56" s="105">
        <v>16.602499999999999</v>
      </c>
      <c r="AJ56" s="105">
        <v>23.15</v>
      </c>
      <c r="AK56" s="105">
        <v>10.17</v>
      </c>
      <c r="AL56" s="105">
        <v>57.99</v>
      </c>
      <c r="AM56" s="105">
        <v>124.53</v>
      </c>
      <c r="AN56" s="105">
        <v>195.35</v>
      </c>
      <c r="AO56" s="105">
        <v>55.72</v>
      </c>
      <c r="AP56" s="105">
        <v>54.08</v>
      </c>
      <c r="AQ56" s="105">
        <v>180</v>
      </c>
      <c r="AR56" s="105">
        <v>58.72</v>
      </c>
      <c r="AS56" s="105">
        <v>17.25</v>
      </c>
      <c r="AT56" s="105">
        <v>55.95</v>
      </c>
      <c r="AU56" s="105">
        <v>241.5</v>
      </c>
      <c r="AV56" s="105">
        <v>97.64</v>
      </c>
      <c r="AW56" s="105">
        <v>287.20999999999998</v>
      </c>
      <c r="AX56" s="105">
        <v>11.945</v>
      </c>
      <c r="AY56" s="105">
        <v>44.84</v>
      </c>
      <c r="AZ56" s="105">
        <v>56.235163239999999</v>
      </c>
      <c r="BA56" s="105">
        <v>41.484072240000003</v>
      </c>
      <c r="BB56" s="105">
        <v>84.24</v>
      </c>
      <c r="BC56" s="105">
        <v>105.94</v>
      </c>
      <c r="BD56" s="105">
        <v>103.49</v>
      </c>
    </row>
    <row r="57" spans="3:56" x14ac:dyDescent="0.25">
      <c r="C57" s="38">
        <v>43972</v>
      </c>
      <c r="D57" s="105">
        <v>190.62</v>
      </c>
      <c r="E57" s="105">
        <v>117.83</v>
      </c>
      <c r="F57" s="105">
        <v>94.26</v>
      </c>
      <c r="G57" s="105">
        <v>52.22</v>
      </c>
      <c r="H57" s="105">
        <v>114.06</v>
      </c>
      <c r="I57" s="105">
        <v>231.39</v>
      </c>
      <c r="J57" s="105">
        <v>79.212500000000006</v>
      </c>
      <c r="K57" s="105">
        <v>2446.7399999999998</v>
      </c>
      <c r="L57" s="105">
        <v>436.25</v>
      </c>
      <c r="M57" s="105">
        <v>183.43</v>
      </c>
      <c r="N57" s="105">
        <v>1406.75</v>
      </c>
      <c r="O57" s="105">
        <v>128.03</v>
      </c>
      <c r="P57" s="105">
        <v>171</v>
      </c>
      <c r="Q57" s="105">
        <v>235.96</v>
      </c>
      <c r="R57" s="105">
        <v>60.15</v>
      </c>
      <c r="S57" s="105">
        <v>25.7</v>
      </c>
      <c r="T57" s="105">
        <v>91.35</v>
      </c>
      <c r="U57" s="105">
        <v>48.57</v>
      </c>
      <c r="V57" s="105">
        <v>59</v>
      </c>
      <c r="W57" s="105">
        <v>77.98</v>
      </c>
      <c r="X57" s="105">
        <v>29.6</v>
      </c>
      <c r="Y57" s="105">
        <v>116.67349539999999</v>
      </c>
      <c r="Z57" s="105">
        <v>70.900000000000006</v>
      </c>
      <c r="AA57" s="105">
        <v>89.97</v>
      </c>
      <c r="AB57" s="105">
        <v>8.1349999999999998</v>
      </c>
      <c r="AC57" s="105">
        <v>147.88999999999999</v>
      </c>
      <c r="AD57" s="105">
        <v>73.12</v>
      </c>
      <c r="AE57" s="105">
        <v>62.405000000000001</v>
      </c>
      <c r="AF57" s="105">
        <v>11.55</v>
      </c>
      <c r="AG57" s="105">
        <v>83.41</v>
      </c>
      <c r="AH57" s="105">
        <v>30.84</v>
      </c>
      <c r="AI57" s="105">
        <v>14.7575</v>
      </c>
      <c r="AJ57" s="105">
        <v>21.22</v>
      </c>
      <c r="AK57" s="105">
        <v>9.42</v>
      </c>
      <c r="AL57" s="105">
        <v>56.27</v>
      </c>
      <c r="AM57" s="105">
        <v>119.12</v>
      </c>
      <c r="AN57" s="105">
        <v>185.09</v>
      </c>
      <c r="AO57" s="105">
        <v>53.97</v>
      </c>
      <c r="AP57" s="105">
        <v>54.3</v>
      </c>
      <c r="AQ57" s="105">
        <v>163.44999999999999</v>
      </c>
      <c r="AR57" s="105">
        <v>63.48</v>
      </c>
      <c r="AS57" s="105">
        <v>15.994999999999999</v>
      </c>
      <c r="AT57" s="105">
        <v>52.48</v>
      </c>
      <c r="AU57" s="105">
        <v>238.94</v>
      </c>
      <c r="AV57" s="105">
        <v>81.22</v>
      </c>
      <c r="AW57" s="105">
        <v>274.27999999999997</v>
      </c>
      <c r="AX57" s="105">
        <v>11.48</v>
      </c>
      <c r="AY57" s="105">
        <v>42.01</v>
      </c>
      <c r="AZ57" s="105">
        <v>49.7940884</v>
      </c>
      <c r="BA57" s="105">
        <v>37.504948050000003</v>
      </c>
      <c r="BB57" s="105">
        <v>78.11</v>
      </c>
      <c r="BC57" s="105">
        <v>89.64</v>
      </c>
      <c r="BD57" s="105">
        <v>101.08</v>
      </c>
    </row>
    <row r="58" spans="3:56" x14ac:dyDescent="0.25">
      <c r="C58" s="38">
        <v>43965</v>
      </c>
      <c r="D58" s="105">
        <v>180.9</v>
      </c>
      <c r="E58" s="105">
        <v>105.91</v>
      </c>
      <c r="F58" s="105">
        <v>86.55</v>
      </c>
      <c r="G58" s="105">
        <v>52.91</v>
      </c>
      <c r="H58" s="105">
        <v>106.19</v>
      </c>
      <c r="I58" s="105">
        <v>206.81</v>
      </c>
      <c r="J58" s="105">
        <v>77.385000000000005</v>
      </c>
      <c r="K58" s="105">
        <v>2388.85</v>
      </c>
      <c r="L58" s="105">
        <v>441.95</v>
      </c>
      <c r="M58" s="105">
        <v>180.53</v>
      </c>
      <c r="N58" s="105">
        <v>1356.86</v>
      </c>
      <c r="O58" s="105">
        <v>131.03</v>
      </c>
      <c r="P58" s="105">
        <v>157.96</v>
      </c>
      <c r="Q58" s="105">
        <v>206.09</v>
      </c>
      <c r="R58" s="105">
        <v>58.2</v>
      </c>
      <c r="S58" s="105">
        <v>25.24</v>
      </c>
      <c r="T58" s="105">
        <v>79.25</v>
      </c>
      <c r="U58" s="105">
        <v>45.68</v>
      </c>
      <c r="V58" s="105">
        <v>48.75</v>
      </c>
      <c r="W58" s="105">
        <v>77.19</v>
      </c>
      <c r="X58" s="105">
        <v>24.78</v>
      </c>
      <c r="Y58" s="105">
        <v>117.31825985</v>
      </c>
      <c r="Z58" s="105">
        <v>70.5</v>
      </c>
      <c r="AA58" s="105">
        <v>85.05</v>
      </c>
      <c r="AB58" s="105">
        <v>7.88</v>
      </c>
      <c r="AC58" s="105">
        <v>143.86000000000001</v>
      </c>
      <c r="AD58" s="105">
        <v>64.39</v>
      </c>
      <c r="AE58" s="105">
        <v>56.134999999999998</v>
      </c>
      <c r="AF58" s="105">
        <v>10.4</v>
      </c>
      <c r="AG58" s="105">
        <v>73.489999999999995</v>
      </c>
      <c r="AH58" s="105">
        <v>27.3</v>
      </c>
      <c r="AI58" s="105">
        <v>13.0975</v>
      </c>
      <c r="AJ58" s="105">
        <v>23.39</v>
      </c>
      <c r="AK58" s="105">
        <v>8.23</v>
      </c>
      <c r="AL58" s="105">
        <v>57.52</v>
      </c>
      <c r="AM58" s="105">
        <v>116.95</v>
      </c>
      <c r="AN58" s="105">
        <v>179.38</v>
      </c>
      <c r="AO58" s="105">
        <v>54.91</v>
      </c>
      <c r="AP58" s="105">
        <v>44.74</v>
      </c>
      <c r="AQ58" s="105">
        <v>151.54</v>
      </c>
      <c r="AR58" s="105">
        <v>66.64</v>
      </c>
      <c r="AS58" s="105">
        <v>15.22</v>
      </c>
      <c r="AT58" s="105">
        <v>47.98</v>
      </c>
      <c r="AU58" s="105">
        <v>258.7</v>
      </c>
      <c r="AV58" s="105">
        <v>75.53</v>
      </c>
      <c r="AW58" s="105">
        <v>252.81</v>
      </c>
      <c r="AX58" s="105">
        <v>11.42</v>
      </c>
      <c r="AY58" s="105">
        <v>38.61</v>
      </c>
      <c r="AZ58" s="105">
        <v>44.512601920000002</v>
      </c>
      <c r="BA58" s="105">
        <v>35.734286429999997</v>
      </c>
      <c r="BB58" s="105">
        <v>75.34</v>
      </c>
      <c r="BC58" s="105">
        <v>74.39</v>
      </c>
      <c r="BD58" s="105">
        <v>89.05</v>
      </c>
    </row>
    <row r="59" spans="3:56" x14ac:dyDescent="0.25">
      <c r="C59" s="38">
        <v>43958</v>
      </c>
      <c r="D59" s="105">
        <v>182.72</v>
      </c>
      <c r="E59" s="105">
        <v>105.57</v>
      </c>
      <c r="F59" s="105">
        <v>88.56</v>
      </c>
      <c r="G59" s="105">
        <v>52.6</v>
      </c>
      <c r="H59" s="105">
        <v>107.29</v>
      </c>
      <c r="I59" s="105">
        <v>211.26</v>
      </c>
      <c r="J59" s="105">
        <v>75.935000000000002</v>
      </c>
      <c r="K59" s="105">
        <v>2367.61</v>
      </c>
      <c r="L59" s="105">
        <v>436.53</v>
      </c>
      <c r="M59" s="105">
        <v>183.6</v>
      </c>
      <c r="N59" s="105">
        <v>1369.28</v>
      </c>
      <c r="O59" s="105">
        <v>130.53</v>
      </c>
      <c r="P59" s="105">
        <v>164.77</v>
      </c>
      <c r="Q59" s="105">
        <v>213.5</v>
      </c>
      <c r="R59" s="105">
        <v>59.96</v>
      </c>
      <c r="S59" s="105">
        <v>24.29</v>
      </c>
      <c r="T59" s="105">
        <v>85.98</v>
      </c>
      <c r="U59" s="105">
        <v>47.37</v>
      </c>
      <c r="V59" s="105">
        <v>50.84</v>
      </c>
      <c r="W59" s="105">
        <v>76.25</v>
      </c>
      <c r="X59" s="105">
        <v>25.45</v>
      </c>
      <c r="Y59" s="105">
        <v>118.367205</v>
      </c>
      <c r="Z59" s="105">
        <v>71.91</v>
      </c>
      <c r="AA59" s="105">
        <v>90.15</v>
      </c>
      <c r="AB59" s="105">
        <v>7.64</v>
      </c>
      <c r="AC59" s="105">
        <v>155.5</v>
      </c>
      <c r="AD59" s="105">
        <v>66.180000000000007</v>
      </c>
      <c r="AE59" s="105">
        <v>55.164999999999999</v>
      </c>
      <c r="AF59" s="105">
        <v>11.1</v>
      </c>
      <c r="AG59" s="105">
        <v>67.02</v>
      </c>
      <c r="AH59" s="105">
        <v>27.8</v>
      </c>
      <c r="AI59" s="105">
        <v>13.46</v>
      </c>
      <c r="AJ59" s="105">
        <v>25.73</v>
      </c>
      <c r="AK59" s="105">
        <v>8.18</v>
      </c>
      <c r="AL59" s="105">
        <v>54.53</v>
      </c>
      <c r="AM59" s="105">
        <v>121.23</v>
      </c>
      <c r="AN59" s="105">
        <v>192.19</v>
      </c>
      <c r="AO59" s="105">
        <v>55.58</v>
      </c>
      <c r="AP59" s="105">
        <v>48.5</v>
      </c>
      <c r="AQ59" s="105">
        <v>150.63</v>
      </c>
      <c r="AR59" s="105">
        <v>64.56</v>
      </c>
      <c r="AS59" s="105">
        <v>17.32</v>
      </c>
      <c r="AT59" s="105">
        <v>52.28</v>
      </c>
      <c r="AU59" s="105">
        <v>256.25</v>
      </c>
      <c r="AV59" s="105">
        <v>76.69</v>
      </c>
      <c r="AW59" s="105">
        <v>268.82</v>
      </c>
      <c r="AX59" s="105">
        <v>11.95</v>
      </c>
      <c r="AY59" s="105">
        <v>40.35</v>
      </c>
      <c r="AZ59" s="105">
        <v>48.186255799999998</v>
      </c>
      <c r="BA59" s="105">
        <v>37.378472219999999</v>
      </c>
      <c r="BB59" s="105">
        <v>78.27</v>
      </c>
      <c r="BC59" s="105">
        <v>66.23</v>
      </c>
      <c r="BD59" s="105">
        <v>98.59</v>
      </c>
    </row>
    <row r="60" spans="3:56" x14ac:dyDescent="0.25">
      <c r="C60" s="38">
        <v>43951</v>
      </c>
      <c r="D60" s="105">
        <v>178.72</v>
      </c>
      <c r="E60" s="105">
        <v>108.15</v>
      </c>
      <c r="F60" s="105">
        <v>87.18</v>
      </c>
      <c r="G60" s="105">
        <v>52.97</v>
      </c>
      <c r="H60" s="105">
        <v>116.38</v>
      </c>
      <c r="I60" s="105">
        <v>204.71</v>
      </c>
      <c r="J60" s="105">
        <v>73.45</v>
      </c>
      <c r="K60" s="105">
        <v>2474</v>
      </c>
      <c r="L60" s="105">
        <v>419.85</v>
      </c>
      <c r="M60" s="105">
        <v>179.21</v>
      </c>
      <c r="N60" s="105">
        <v>1346.7</v>
      </c>
      <c r="O60" s="105">
        <v>132.43</v>
      </c>
      <c r="P60" s="105">
        <v>164.69</v>
      </c>
      <c r="Q60" s="105">
        <v>214.85</v>
      </c>
      <c r="R60" s="105">
        <v>63.56</v>
      </c>
      <c r="S60" s="105">
        <v>25.42</v>
      </c>
      <c r="T60" s="105">
        <v>90.94</v>
      </c>
      <c r="U60" s="105">
        <v>48.02</v>
      </c>
      <c r="V60" s="105">
        <v>50.07</v>
      </c>
      <c r="W60" s="105">
        <v>76.73</v>
      </c>
      <c r="X60" s="105">
        <v>31.25</v>
      </c>
      <c r="Y60" s="105">
        <v>112.85302545</v>
      </c>
      <c r="Z60" s="105">
        <v>75.41</v>
      </c>
      <c r="AA60" s="105">
        <v>83.62</v>
      </c>
      <c r="AB60" s="105">
        <v>7.54</v>
      </c>
      <c r="AC60" s="105">
        <v>150.12</v>
      </c>
      <c r="AD60" s="105">
        <v>66.739999999999995</v>
      </c>
      <c r="AE60" s="105">
        <v>47.61</v>
      </c>
      <c r="AF60" s="105">
        <v>11.51</v>
      </c>
      <c r="AG60" s="105">
        <v>67.91</v>
      </c>
      <c r="AH60" s="105">
        <v>29.39</v>
      </c>
      <c r="AI60" s="105">
        <v>13.4375</v>
      </c>
      <c r="AJ60" s="105">
        <v>23.37</v>
      </c>
      <c r="AK60" s="105">
        <v>9.74</v>
      </c>
      <c r="AL60" s="105">
        <v>58.71</v>
      </c>
      <c r="AM60" s="105">
        <v>125.56</v>
      </c>
      <c r="AN60" s="105">
        <v>186.43</v>
      </c>
      <c r="AO60" s="105">
        <v>57.45</v>
      </c>
      <c r="AP60" s="105">
        <v>49.05</v>
      </c>
      <c r="AQ60" s="105">
        <v>140.36000000000001</v>
      </c>
      <c r="AR60" s="105">
        <v>59.48</v>
      </c>
      <c r="AS60" s="105">
        <v>16.77</v>
      </c>
      <c r="AT60" s="105">
        <v>56.27</v>
      </c>
      <c r="AU60" s="105">
        <v>252.53</v>
      </c>
      <c r="AV60" s="105">
        <v>79.67</v>
      </c>
      <c r="AW60" s="105">
        <v>261.02</v>
      </c>
      <c r="AX60" s="105">
        <v>11.51</v>
      </c>
      <c r="AY60" s="105">
        <v>40.54</v>
      </c>
      <c r="AZ60" s="105">
        <v>51.489620960000003</v>
      </c>
      <c r="BA60" s="105">
        <v>37.92329118</v>
      </c>
      <c r="BB60" s="105">
        <v>79.709999999999994</v>
      </c>
      <c r="BC60" s="105">
        <v>78.48</v>
      </c>
      <c r="BD60" s="105">
        <v>106.24</v>
      </c>
    </row>
    <row r="61" spans="3:56" x14ac:dyDescent="0.25">
      <c r="C61" s="38">
        <v>43944</v>
      </c>
      <c r="D61" s="105">
        <v>166.38</v>
      </c>
      <c r="E61" s="105">
        <v>101</v>
      </c>
      <c r="F61" s="105">
        <v>87.35</v>
      </c>
      <c r="G61" s="105">
        <v>51.97</v>
      </c>
      <c r="H61" s="105">
        <v>112.91</v>
      </c>
      <c r="I61" s="105">
        <v>185.13</v>
      </c>
      <c r="J61" s="105">
        <v>68.757499999999993</v>
      </c>
      <c r="K61" s="105">
        <v>2399.4499999999998</v>
      </c>
      <c r="L61" s="105">
        <v>426.7</v>
      </c>
      <c r="M61" s="105">
        <v>171.42</v>
      </c>
      <c r="N61" s="105">
        <v>1271.17</v>
      </c>
      <c r="O61" s="105">
        <v>136.91</v>
      </c>
      <c r="P61" s="105">
        <v>153.05000000000001</v>
      </c>
      <c r="Q61" s="105">
        <v>188.57</v>
      </c>
      <c r="R61" s="105">
        <v>64.38</v>
      </c>
      <c r="S61" s="105">
        <v>25.19</v>
      </c>
      <c r="T61" s="105">
        <v>81.099999999999994</v>
      </c>
      <c r="U61" s="105">
        <v>45.96</v>
      </c>
      <c r="V61" s="105">
        <v>41.25</v>
      </c>
      <c r="W61" s="105">
        <v>69.599999999999994</v>
      </c>
      <c r="X61" s="105">
        <v>30.14</v>
      </c>
      <c r="Y61" s="105">
        <v>105.279449</v>
      </c>
      <c r="Z61" s="105">
        <v>75.48</v>
      </c>
      <c r="AA61" s="105">
        <v>76.2</v>
      </c>
      <c r="AB61" s="105">
        <v>7.45</v>
      </c>
      <c r="AC61" s="105">
        <v>137.65</v>
      </c>
      <c r="AD61" s="105">
        <v>64.06</v>
      </c>
      <c r="AE61" s="105">
        <v>42.17</v>
      </c>
      <c r="AF61" s="105">
        <v>11.23</v>
      </c>
      <c r="AG61" s="105">
        <v>59.99</v>
      </c>
      <c r="AH61" s="105">
        <v>26.23</v>
      </c>
      <c r="AI61" s="105">
        <v>10.8375</v>
      </c>
      <c r="AJ61" s="105">
        <v>23.97</v>
      </c>
      <c r="AK61" s="105">
        <v>8.01</v>
      </c>
      <c r="AL61" s="105">
        <v>58.23</v>
      </c>
      <c r="AM61" s="105">
        <v>121.35</v>
      </c>
      <c r="AN61" s="105">
        <v>182.48</v>
      </c>
      <c r="AO61" s="105">
        <v>57.59</v>
      </c>
      <c r="AP61" s="105">
        <v>45.74</v>
      </c>
      <c r="AQ61" s="105">
        <v>131.69</v>
      </c>
      <c r="AR61" s="105">
        <v>62.44</v>
      </c>
      <c r="AS61" s="105">
        <v>15.3</v>
      </c>
      <c r="AT61" s="105">
        <v>49.75</v>
      </c>
      <c r="AU61" s="105">
        <v>265.08</v>
      </c>
      <c r="AV61" s="105">
        <v>74.930000000000007</v>
      </c>
      <c r="AW61" s="105">
        <v>211.67</v>
      </c>
      <c r="AX61" s="105">
        <v>10.95</v>
      </c>
      <c r="AY61" s="105">
        <v>35.1</v>
      </c>
      <c r="AZ61" s="105">
        <v>47.669800479999999</v>
      </c>
      <c r="BA61" s="105">
        <v>34.917057990000004</v>
      </c>
      <c r="BB61" s="105">
        <v>85.74</v>
      </c>
      <c r="BC61" s="105">
        <v>70.040000000000006</v>
      </c>
      <c r="BD61" s="105">
        <v>101.25</v>
      </c>
    </row>
    <row r="62" spans="3:56" x14ac:dyDescent="0.25">
      <c r="C62" s="38">
        <v>43937</v>
      </c>
      <c r="D62" s="105">
        <v>162.41999999999999</v>
      </c>
      <c r="E62" s="105">
        <v>102.02</v>
      </c>
      <c r="F62" s="105">
        <v>86.3</v>
      </c>
      <c r="G62" s="105">
        <v>53.7</v>
      </c>
      <c r="H62" s="105">
        <v>113.22</v>
      </c>
      <c r="I62" s="105">
        <v>176.25</v>
      </c>
      <c r="J62" s="105">
        <v>71.672499999999999</v>
      </c>
      <c r="K62" s="105">
        <v>2408.19</v>
      </c>
      <c r="L62" s="105">
        <v>439.17</v>
      </c>
      <c r="M62" s="105">
        <v>177.04</v>
      </c>
      <c r="N62" s="105">
        <v>1257.43</v>
      </c>
      <c r="O62" s="105">
        <v>145.44999999999999</v>
      </c>
      <c r="P62" s="105">
        <v>162.15</v>
      </c>
      <c r="Q62" s="105">
        <v>180.34</v>
      </c>
      <c r="R62" s="105">
        <v>65.25</v>
      </c>
      <c r="S62" s="105">
        <v>25.29</v>
      </c>
      <c r="T62" s="105">
        <v>80.39</v>
      </c>
      <c r="U62" s="105">
        <v>45.9</v>
      </c>
      <c r="V62" s="105">
        <v>40.9</v>
      </c>
      <c r="W62" s="105">
        <v>64.98</v>
      </c>
      <c r="X62" s="105">
        <v>30.68</v>
      </c>
      <c r="Y62" s="105">
        <v>98.908791300000004</v>
      </c>
      <c r="Z62" s="105">
        <v>69.930000000000007</v>
      </c>
      <c r="AA62" s="105">
        <v>77.209999999999994</v>
      </c>
      <c r="AB62" s="105">
        <v>7.75</v>
      </c>
      <c r="AC62" s="105">
        <v>142.88999999999999</v>
      </c>
      <c r="AD62" s="105">
        <v>54.64</v>
      </c>
      <c r="AE62" s="105">
        <v>39.784999999999997</v>
      </c>
      <c r="AF62" s="105">
        <v>10.83</v>
      </c>
      <c r="AG62" s="105">
        <v>55.03</v>
      </c>
      <c r="AH62" s="105">
        <v>24.75</v>
      </c>
      <c r="AI62" s="105">
        <v>10.202500000000001</v>
      </c>
      <c r="AJ62" s="105">
        <v>24.23</v>
      </c>
      <c r="AK62" s="105">
        <v>8.73</v>
      </c>
      <c r="AL62" s="105">
        <v>59.82</v>
      </c>
      <c r="AM62" s="105">
        <v>115.73</v>
      </c>
      <c r="AN62" s="105">
        <v>174.81</v>
      </c>
      <c r="AO62" s="105">
        <v>57.66</v>
      </c>
      <c r="AP62" s="105">
        <v>46.45</v>
      </c>
      <c r="AQ62" s="105">
        <v>131.57499999999999</v>
      </c>
      <c r="AR62" s="105">
        <v>59.9</v>
      </c>
      <c r="AS62" s="105">
        <v>15.5</v>
      </c>
      <c r="AT62" s="105">
        <v>45.74</v>
      </c>
      <c r="AU62" s="105">
        <v>261.61</v>
      </c>
      <c r="AV62" s="105">
        <v>80.430000000000007</v>
      </c>
      <c r="AW62" s="105">
        <v>206.71</v>
      </c>
      <c r="AX62" s="105">
        <v>10.78</v>
      </c>
      <c r="AY62" s="105">
        <v>32.380000000000003</v>
      </c>
      <c r="AZ62" s="105">
        <v>43.772024479999999</v>
      </c>
      <c r="BA62" s="105">
        <v>33.447992579999998</v>
      </c>
      <c r="BB62" s="105">
        <v>85.89</v>
      </c>
      <c r="BC62" s="105">
        <v>72.55</v>
      </c>
      <c r="BD62" s="105">
        <v>100.58</v>
      </c>
    </row>
    <row r="63" spans="3:56" x14ac:dyDescent="0.25">
      <c r="C63" s="38">
        <v>43930</v>
      </c>
      <c r="D63" s="105">
        <v>173.69</v>
      </c>
      <c r="E63" s="105">
        <v>104.5</v>
      </c>
      <c r="F63" s="105">
        <v>86.79</v>
      </c>
      <c r="G63" s="105">
        <v>53.18</v>
      </c>
      <c r="H63" s="105">
        <v>125.03</v>
      </c>
      <c r="I63" s="105">
        <v>175.19</v>
      </c>
      <c r="J63" s="105">
        <v>66.997500000000002</v>
      </c>
      <c r="K63" s="105">
        <v>2042.76</v>
      </c>
      <c r="L63" s="105">
        <v>370.72</v>
      </c>
      <c r="M63" s="105">
        <v>165.14</v>
      </c>
      <c r="N63" s="105">
        <v>1206.57</v>
      </c>
      <c r="O63" s="105">
        <v>143.91</v>
      </c>
      <c r="P63" s="105">
        <v>166.24</v>
      </c>
      <c r="Q63" s="105">
        <v>193.19</v>
      </c>
      <c r="R63" s="105">
        <v>66.27</v>
      </c>
      <c r="S63" s="105">
        <v>26.7</v>
      </c>
      <c r="T63" s="105">
        <v>81.31</v>
      </c>
      <c r="U63" s="105">
        <v>47.86</v>
      </c>
      <c r="V63" s="105">
        <v>44.8</v>
      </c>
      <c r="W63" s="105">
        <v>65.989999999999995</v>
      </c>
      <c r="X63" s="105">
        <v>36.47</v>
      </c>
      <c r="Y63" s="105">
        <v>96.012162950000004</v>
      </c>
      <c r="Z63" s="105">
        <v>63.29</v>
      </c>
      <c r="AA63" s="105">
        <v>75.88</v>
      </c>
      <c r="AB63" s="105">
        <v>6.91</v>
      </c>
      <c r="AC63" s="105">
        <v>138.36000000000001</v>
      </c>
      <c r="AD63" s="105">
        <v>61.9</v>
      </c>
      <c r="AE63" s="105">
        <v>42.884999999999998</v>
      </c>
      <c r="AF63" s="105">
        <v>12.97</v>
      </c>
      <c r="AG63" s="105">
        <v>54.64</v>
      </c>
      <c r="AH63" s="105">
        <v>27.58</v>
      </c>
      <c r="AI63" s="105">
        <v>11.8325</v>
      </c>
      <c r="AJ63" s="105">
        <v>23.97</v>
      </c>
      <c r="AK63" s="105">
        <v>9.5</v>
      </c>
      <c r="AL63" s="105">
        <v>60.27</v>
      </c>
      <c r="AM63" s="105">
        <v>121.5</v>
      </c>
      <c r="AN63" s="105">
        <v>182.72</v>
      </c>
      <c r="AO63" s="105">
        <v>57.44</v>
      </c>
      <c r="AP63" s="105">
        <v>48.81</v>
      </c>
      <c r="AQ63" s="105">
        <v>123.13</v>
      </c>
      <c r="AR63" s="105">
        <v>57.31</v>
      </c>
      <c r="AS63" s="105">
        <v>16.079999999999998</v>
      </c>
      <c r="AT63" s="105">
        <v>49.59</v>
      </c>
      <c r="AU63" s="105">
        <v>247.45</v>
      </c>
      <c r="AV63" s="105">
        <v>77.56</v>
      </c>
      <c r="AW63" s="105">
        <v>221.99</v>
      </c>
      <c r="AX63" s="105">
        <v>10.66</v>
      </c>
      <c r="AY63" s="105">
        <v>35.950000000000003</v>
      </c>
      <c r="AZ63" s="105">
        <v>50.768532399999998</v>
      </c>
      <c r="BA63" s="105">
        <v>36.415310130000002</v>
      </c>
      <c r="BB63" s="105">
        <v>91.06</v>
      </c>
      <c r="BC63" s="105">
        <v>83.33</v>
      </c>
      <c r="BD63" s="105">
        <v>112.39</v>
      </c>
    </row>
    <row r="64" spans="3:56" x14ac:dyDescent="0.25">
      <c r="C64" s="38">
        <v>43923</v>
      </c>
      <c r="D64" s="105">
        <v>157.38999999999999</v>
      </c>
      <c r="E64" s="105">
        <v>96.97</v>
      </c>
      <c r="F64" s="105">
        <v>80.14</v>
      </c>
      <c r="G64" s="105">
        <v>49.8</v>
      </c>
      <c r="H64" s="105">
        <v>116.74</v>
      </c>
      <c r="I64" s="105">
        <v>158.19</v>
      </c>
      <c r="J64" s="105">
        <v>61.232500000000002</v>
      </c>
      <c r="K64" s="105">
        <v>1918.83</v>
      </c>
      <c r="L64" s="105">
        <v>370.08</v>
      </c>
      <c r="M64" s="105">
        <v>155.26</v>
      </c>
      <c r="N64" s="105">
        <v>1117.03</v>
      </c>
      <c r="O64" s="105">
        <v>135.72999999999999</v>
      </c>
      <c r="P64" s="105">
        <v>131.22</v>
      </c>
      <c r="Q64" s="105">
        <v>152.07</v>
      </c>
      <c r="R64" s="105">
        <v>60.42</v>
      </c>
      <c r="S64" s="105">
        <v>22.97</v>
      </c>
      <c r="T64" s="105">
        <v>63</v>
      </c>
      <c r="U64" s="105">
        <v>40.270000000000003</v>
      </c>
      <c r="V64" s="105">
        <v>33.42</v>
      </c>
      <c r="W64" s="105">
        <v>52.76</v>
      </c>
      <c r="X64" s="105">
        <v>31.5</v>
      </c>
      <c r="Y64" s="105">
        <v>76.553749249999996</v>
      </c>
      <c r="Z64" s="105">
        <v>62.7</v>
      </c>
      <c r="AA64" s="105">
        <v>65.17</v>
      </c>
      <c r="AB64" s="105">
        <v>6.68</v>
      </c>
      <c r="AC64" s="105">
        <v>122.65</v>
      </c>
      <c r="AD64" s="105">
        <v>46.86</v>
      </c>
      <c r="AE64" s="105">
        <v>37.924999999999997</v>
      </c>
      <c r="AF64" s="105">
        <v>9.82</v>
      </c>
      <c r="AG64" s="105">
        <v>46.65</v>
      </c>
      <c r="AH64" s="105">
        <v>18.71</v>
      </c>
      <c r="AI64" s="105">
        <v>9.1999999999999993</v>
      </c>
      <c r="AJ64" s="105">
        <v>21.42</v>
      </c>
      <c r="AK64" s="105">
        <v>7.63</v>
      </c>
      <c r="AL64" s="105">
        <v>51.53</v>
      </c>
      <c r="AM64" s="105">
        <v>110</v>
      </c>
      <c r="AN64" s="105">
        <v>149.58000000000001</v>
      </c>
      <c r="AO64" s="105">
        <v>55.25</v>
      </c>
      <c r="AP64" s="105">
        <v>43.79</v>
      </c>
      <c r="AQ64" s="105">
        <v>105.28</v>
      </c>
      <c r="AR64" s="105">
        <v>48.23</v>
      </c>
      <c r="AS64" s="105">
        <v>13.92</v>
      </c>
      <c r="AT64" s="105">
        <v>41.29</v>
      </c>
      <c r="AU64" s="105">
        <v>233.28</v>
      </c>
      <c r="AV64" s="105">
        <v>70.459999999999994</v>
      </c>
      <c r="AW64" s="105">
        <v>181.26</v>
      </c>
      <c r="AX64" s="105">
        <v>9.9</v>
      </c>
      <c r="AY64" s="105">
        <v>26.79</v>
      </c>
      <c r="AZ64" s="105">
        <v>43.5089246</v>
      </c>
      <c r="BA64" s="105">
        <v>33.019920540000001</v>
      </c>
      <c r="BB64" s="105">
        <v>78.95</v>
      </c>
      <c r="BC64" s="105">
        <v>69.5</v>
      </c>
      <c r="BD64" s="105">
        <v>100.06</v>
      </c>
    </row>
    <row r="65" spans="3:56" x14ac:dyDescent="0.25">
      <c r="C65" s="38">
        <v>43916</v>
      </c>
      <c r="D65" s="105">
        <v>168.88</v>
      </c>
      <c r="E65" s="105">
        <v>105.36</v>
      </c>
      <c r="F65" s="105">
        <v>84.3</v>
      </c>
      <c r="G65" s="105">
        <v>50.48</v>
      </c>
      <c r="H65" s="105">
        <v>110.5</v>
      </c>
      <c r="I65" s="105">
        <v>163.34</v>
      </c>
      <c r="J65" s="105">
        <v>64.61</v>
      </c>
      <c r="K65" s="105">
        <v>1955.49</v>
      </c>
      <c r="L65" s="105">
        <v>362.99</v>
      </c>
      <c r="M65" s="105">
        <v>156.11000000000001</v>
      </c>
      <c r="N65" s="105">
        <v>1162.92</v>
      </c>
      <c r="O65" s="105">
        <v>132.44999999999999</v>
      </c>
      <c r="P65" s="105">
        <v>140.69</v>
      </c>
      <c r="Q65" s="105">
        <v>191.64</v>
      </c>
      <c r="R65" s="105">
        <v>57.91</v>
      </c>
      <c r="S65" s="105">
        <v>24.67</v>
      </c>
      <c r="T65" s="105">
        <v>82.81</v>
      </c>
      <c r="U65" s="105">
        <v>48.36</v>
      </c>
      <c r="V65" s="105">
        <v>42.42</v>
      </c>
      <c r="W65" s="105">
        <v>62.88</v>
      </c>
      <c r="X65" s="105">
        <v>41.23</v>
      </c>
      <c r="Y65" s="105">
        <v>72.511942250000004</v>
      </c>
      <c r="Z65" s="105">
        <v>63.45</v>
      </c>
      <c r="AA65" s="105">
        <v>74.94</v>
      </c>
      <c r="AB65" s="105">
        <v>6.74</v>
      </c>
      <c r="AC65" s="105">
        <v>139.81</v>
      </c>
      <c r="AD65" s="105">
        <v>58.82</v>
      </c>
      <c r="AE65" s="105">
        <v>44.5</v>
      </c>
      <c r="AF65" s="105">
        <v>10.72</v>
      </c>
      <c r="AG65" s="105">
        <v>42.4</v>
      </c>
      <c r="AH65" s="105">
        <v>21.99</v>
      </c>
      <c r="AI65" s="105">
        <v>12.022500000000001</v>
      </c>
      <c r="AJ65" s="105">
        <v>22.75</v>
      </c>
      <c r="AK65" s="105">
        <v>10.93</v>
      </c>
      <c r="AL65" s="105">
        <v>57.73</v>
      </c>
      <c r="AM65" s="105">
        <v>112.89</v>
      </c>
      <c r="AN65" s="105">
        <v>163.33000000000001</v>
      </c>
      <c r="AO65" s="105">
        <v>53.54</v>
      </c>
      <c r="AP65" s="105">
        <v>47.96</v>
      </c>
      <c r="AQ65" s="105">
        <v>129.13999999999999</v>
      </c>
      <c r="AR65" s="105">
        <v>48.28</v>
      </c>
      <c r="AS65" s="105">
        <v>15.54</v>
      </c>
      <c r="AT65" s="105">
        <v>53.48</v>
      </c>
      <c r="AU65" s="105">
        <v>219.35</v>
      </c>
      <c r="AV65" s="105">
        <v>78.14</v>
      </c>
      <c r="AW65" s="105">
        <v>229.21</v>
      </c>
      <c r="AX65" s="105">
        <v>11.83</v>
      </c>
      <c r="AY65" s="105">
        <v>30.8</v>
      </c>
      <c r="AZ65" s="105">
        <v>46.208134479999998</v>
      </c>
      <c r="BA65" s="105">
        <v>35.977509179999998</v>
      </c>
      <c r="BB65" s="105">
        <v>77.81</v>
      </c>
      <c r="BC65" s="105">
        <v>97.21</v>
      </c>
      <c r="BD65" s="105">
        <v>105.35</v>
      </c>
    </row>
    <row r="66" spans="3:56" x14ac:dyDescent="0.25">
      <c r="C66" s="38">
        <v>43909</v>
      </c>
      <c r="D66" s="105">
        <v>152.25</v>
      </c>
      <c r="E66" s="105">
        <v>94.93</v>
      </c>
      <c r="F66" s="105">
        <v>70.34</v>
      </c>
      <c r="G66" s="105">
        <v>45.07</v>
      </c>
      <c r="H66" s="105">
        <v>103.01</v>
      </c>
      <c r="I66" s="105">
        <v>153.13</v>
      </c>
      <c r="J66" s="105">
        <v>61.195</v>
      </c>
      <c r="K66" s="105">
        <v>1880.93</v>
      </c>
      <c r="L66" s="105">
        <v>332.03</v>
      </c>
      <c r="M66" s="105">
        <v>142.71</v>
      </c>
      <c r="N66" s="105">
        <v>1111.67</v>
      </c>
      <c r="O66" s="105">
        <v>121.79</v>
      </c>
      <c r="P66" s="105">
        <v>123.06</v>
      </c>
      <c r="Q66" s="105">
        <v>142.22999999999999</v>
      </c>
      <c r="R66" s="105">
        <v>57.99</v>
      </c>
      <c r="S66" s="105">
        <v>21.59</v>
      </c>
      <c r="T66" s="105">
        <v>66.8</v>
      </c>
      <c r="U66" s="105">
        <v>40.36</v>
      </c>
      <c r="V66" s="105">
        <v>31.61</v>
      </c>
      <c r="W66" s="105">
        <v>54.75</v>
      </c>
      <c r="X66" s="105">
        <v>30.86</v>
      </c>
      <c r="Y66" s="105">
        <v>55.122548799999997</v>
      </c>
      <c r="Z66" s="105">
        <v>48.67</v>
      </c>
      <c r="AA66" s="105">
        <v>66.19</v>
      </c>
      <c r="AB66" s="105">
        <v>6.36</v>
      </c>
      <c r="AC66" s="105">
        <v>119.72</v>
      </c>
      <c r="AD66" s="105">
        <v>41.97</v>
      </c>
      <c r="AE66" s="105">
        <v>34.674999999999997</v>
      </c>
      <c r="AF66" s="105">
        <v>8.2200000000000006</v>
      </c>
      <c r="AG66" s="105">
        <v>38.06</v>
      </c>
      <c r="AH66" s="105">
        <v>18.61</v>
      </c>
      <c r="AI66" s="105">
        <v>8.3524999999999991</v>
      </c>
      <c r="AJ66" s="105">
        <v>20.68</v>
      </c>
      <c r="AK66" s="105">
        <v>7.6</v>
      </c>
      <c r="AL66" s="105">
        <v>48.76</v>
      </c>
      <c r="AM66" s="105">
        <v>100.34</v>
      </c>
      <c r="AN66" s="105">
        <v>149.5</v>
      </c>
      <c r="AO66" s="105">
        <v>53.62</v>
      </c>
      <c r="AP66" s="105">
        <v>41.65</v>
      </c>
      <c r="AQ66" s="105">
        <v>107.52</v>
      </c>
      <c r="AR66" s="105">
        <v>41.74</v>
      </c>
      <c r="AS66" s="105">
        <v>14.87</v>
      </c>
      <c r="AT66" s="105">
        <v>37.11</v>
      </c>
      <c r="AU66" s="105">
        <v>220.96</v>
      </c>
      <c r="AV66" s="105">
        <v>70.87</v>
      </c>
      <c r="AW66" s="105">
        <v>197.55</v>
      </c>
      <c r="AX66" s="105">
        <v>9.44</v>
      </c>
      <c r="AY66" s="105">
        <v>28.04</v>
      </c>
      <c r="AZ66" s="105">
        <v>43.236080280000003</v>
      </c>
      <c r="BA66" s="105">
        <v>28.340314830000001</v>
      </c>
      <c r="BB66" s="105">
        <v>76.180000000000007</v>
      </c>
      <c r="BC66" s="105">
        <v>72.5</v>
      </c>
      <c r="BD66" s="105">
        <v>83.44</v>
      </c>
    </row>
    <row r="67" spans="3:56" x14ac:dyDescent="0.25">
      <c r="C67" s="38">
        <v>43902</v>
      </c>
      <c r="D67" s="105">
        <v>160.08000000000001</v>
      </c>
      <c r="E67" s="105">
        <v>91.81</v>
      </c>
      <c r="F67" s="105">
        <v>74.2</v>
      </c>
      <c r="G67" s="105">
        <v>39.799999999999997</v>
      </c>
      <c r="H67" s="105">
        <v>92.26</v>
      </c>
      <c r="I67" s="105">
        <v>154.47</v>
      </c>
      <c r="J67" s="105">
        <v>62.057499999999997</v>
      </c>
      <c r="K67" s="105">
        <v>1676.61</v>
      </c>
      <c r="L67" s="105">
        <v>315.25</v>
      </c>
      <c r="M67" s="105">
        <v>139.06</v>
      </c>
      <c r="N67" s="105">
        <v>1111.55</v>
      </c>
      <c r="O67" s="105">
        <v>132.87</v>
      </c>
      <c r="P67" s="105">
        <v>131.43</v>
      </c>
      <c r="Q67" s="105">
        <v>180.12</v>
      </c>
      <c r="R67" s="105">
        <v>61.29</v>
      </c>
      <c r="S67" s="105">
        <v>26.63</v>
      </c>
      <c r="T67" s="105">
        <v>93.71</v>
      </c>
      <c r="U67" s="105">
        <v>44.15</v>
      </c>
      <c r="V67" s="105">
        <v>46.42</v>
      </c>
      <c r="W67" s="105">
        <v>55.4</v>
      </c>
      <c r="X67" s="105">
        <v>36.07</v>
      </c>
      <c r="Y67" s="105">
        <v>65.688987100000006</v>
      </c>
      <c r="Z67" s="105">
        <v>52.5</v>
      </c>
      <c r="AA67" s="105">
        <v>69.61</v>
      </c>
      <c r="AB67" s="105">
        <v>6.04</v>
      </c>
      <c r="AC67" s="105">
        <v>140.47</v>
      </c>
      <c r="AD67" s="105">
        <v>55.52</v>
      </c>
      <c r="AE67" s="105">
        <v>39.65</v>
      </c>
      <c r="AF67" s="105">
        <v>9.69</v>
      </c>
      <c r="AG67" s="105">
        <v>39.380000000000003</v>
      </c>
      <c r="AH67" s="105">
        <v>27</v>
      </c>
      <c r="AI67" s="105">
        <v>13.2675</v>
      </c>
      <c r="AJ67" s="105">
        <v>22.65</v>
      </c>
      <c r="AK67" s="105">
        <v>11.49</v>
      </c>
      <c r="AL67" s="105">
        <v>52.43</v>
      </c>
      <c r="AM67" s="105">
        <v>102.81</v>
      </c>
      <c r="AN67" s="105">
        <v>154.25</v>
      </c>
      <c r="AO67" s="105">
        <v>51.2</v>
      </c>
      <c r="AP67" s="105">
        <v>49.36</v>
      </c>
      <c r="AQ67" s="105">
        <v>105.01</v>
      </c>
      <c r="AR67" s="105">
        <v>44.44</v>
      </c>
      <c r="AS67" s="105">
        <v>13.26</v>
      </c>
      <c r="AT67" s="105">
        <v>43.51</v>
      </c>
      <c r="AU67" s="105">
        <v>220.57</v>
      </c>
      <c r="AV67" s="105">
        <v>70.349999999999994</v>
      </c>
      <c r="AW67" s="105">
        <v>191.98</v>
      </c>
      <c r="AX67" s="105">
        <v>10.039999999999999</v>
      </c>
      <c r="AY67" s="105">
        <v>34.07</v>
      </c>
      <c r="AZ67" s="105">
        <v>49.014533200000002</v>
      </c>
      <c r="BA67" s="105">
        <v>32.066487360000004</v>
      </c>
      <c r="BB67" s="105">
        <v>71.03</v>
      </c>
      <c r="BC67" s="105">
        <v>102.55</v>
      </c>
      <c r="BD67" s="105">
        <v>96.61</v>
      </c>
    </row>
    <row r="68" spans="3:56" x14ac:dyDescent="0.25">
      <c r="C68" s="38">
        <v>43895</v>
      </c>
      <c r="D68" s="105">
        <v>186.96</v>
      </c>
      <c r="E68" s="105">
        <v>113.98</v>
      </c>
      <c r="F68" s="105">
        <v>90.58</v>
      </c>
      <c r="G68" s="105">
        <v>48</v>
      </c>
      <c r="H68" s="105">
        <v>121.97</v>
      </c>
      <c r="I68" s="105">
        <v>185.17</v>
      </c>
      <c r="J68" s="105">
        <v>73.23</v>
      </c>
      <c r="K68" s="105">
        <v>1924.03</v>
      </c>
      <c r="L68" s="105">
        <v>372.78</v>
      </c>
      <c r="M68" s="105">
        <v>166.27</v>
      </c>
      <c r="N68" s="105">
        <v>1314.76</v>
      </c>
      <c r="O68" s="105">
        <v>159</v>
      </c>
      <c r="P68" s="105">
        <v>182.77</v>
      </c>
      <c r="Q68" s="105">
        <v>230.69</v>
      </c>
      <c r="R68" s="105">
        <v>69.25</v>
      </c>
      <c r="S68" s="105">
        <v>31.68</v>
      </c>
      <c r="T68" s="105">
        <v>110.22</v>
      </c>
      <c r="U68" s="105">
        <v>54.94</v>
      </c>
      <c r="V68" s="105">
        <v>64.7</v>
      </c>
      <c r="W68" s="105">
        <v>77.87</v>
      </c>
      <c r="X68" s="105">
        <v>45.25</v>
      </c>
      <c r="Y68" s="105">
        <v>76.524879200000001</v>
      </c>
      <c r="Z68" s="105">
        <v>73.67</v>
      </c>
      <c r="AA68" s="105">
        <v>87.64</v>
      </c>
      <c r="AB68" s="105">
        <v>7.23</v>
      </c>
      <c r="AC68" s="105">
        <v>160.13</v>
      </c>
      <c r="AD68" s="105">
        <v>68.81</v>
      </c>
      <c r="AE68" s="105">
        <v>54.14</v>
      </c>
      <c r="AF68" s="105">
        <v>16.190000000000001</v>
      </c>
      <c r="AG68" s="105">
        <v>46.06</v>
      </c>
      <c r="AH68" s="105">
        <v>34.159999999999997</v>
      </c>
      <c r="AI68" s="105">
        <v>18.434999999999999</v>
      </c>
      <c r="AJ68" s="105">
        <v>23.37</v>
      </c>
      <c r="AK68" s="105">
        <v>13.86</v>
      </c>
      <c r="AL68" s="105">
        <v>69.010000000000005</v>
      </c>
      <c r="AM68" s="105">
        <v>129.55000000000001</v>
      </c>
      <c r="AN68" s="105">
        <v>189.6</v>
      </c>
      <c r="AO68" s="105">
        <v>57.16</v>
      </c>
      <c r="AP68" s="105">
        <v>59.57</v>
      </c>
      <c r="AQ68" s="105">
        <v>141.25</v>
      </c>
      <c r="AR68" s="105">
        <v>52.08</v>
      </c>
      <c r="AS68" s="105">
        <v>16.03</v>
      </c>
      <c r="AT68" s="105">
        <v>67.650000000000006</v>
      </c>
      <c r="AU68" s="105">
        <v>244.14</v>
      </c>
      <c r="AV68" s="105">
        <v>77.989999999999995</v>
      </c>
      <c r="AW68" s="105">
        <v>282.26</v>
      </c>
      <c r="AX68" s="105">
        <v>14.59</v>
      </c>
      <c r="AY68" s="105">
        <v>44.63</v>
      </c>
      <c r="AZ68" s="105">
        <v>59.411850680000001</v>
      </c>
      <c r="BA68" s="105">
        <v>38.633501610000003</v>
      </c>
      <c r="BB68" s="105">
        <v>87.11</v>
      </c>
      <c r="BC68" s="105">
        <v>123.5</v>
      </c>
      <c r="BD68" s="105">
        <v>120.8</v>
      </c>
    </row>
    <row r="69" spans="3:56" x14ac:dyDescent="0.25">
      <c r="C69" s="38">
        <v>43888</v>
      </c>
      <c r="D69" s="105">
        <v>180.01</v>
      </c>
      <c r="E69" s="105">
        <v>118.04</v>
      </c>
      <c r="F69" s="105">
        <v>88.55</v>
      </c>
      <c r="G69" s="105">
        <v>50.78</v>
      </c>
      <c r="H69" s="105">
        <v>123.27</v>
      </c>
      <c r="I69" s="105">
        <v>189.75</v>
      </c>
      <c r="J69" s="105">
        <v>68.38</v>
      </c>
      <c r="K69" s="105">
        <v>1884.3</v>
      </c>
      <c r="L69" s="105">
        <v>371.71</v>
      </c>
      <c r="M69" s="105">
        <v>158.18</v>
      </c>
      <c r="N69" s="105">
        <v>1314.95</v>
      </c>
      <c r="O69" s="105">
        <v>151.96</v>
      </c>
      <c r="P69" s="105">
        <v>175.66</v>
      </c>
      <c r="Q69" s="105">
        <v>223.97</v>
      </c>
      <c r="R69" s="105">
        <v>64.849999999999994</v>
      </c>
      <c r="S69" s="105">
        <v>30.99</v>
      </c>
      <c r="T69" s="105">
        <v>119.64</v>
      </c>
      <c r="U69" s="105">
        <v>58.43</v>
      </c>
      <c r="V69" s="105">
        <v>62.99</v>
      </c>
      <c r="W69" s="105">
        <v>78.31</v>
      </c>
      <c r="X69" s="105">
        <v>46.63</v>
      </c>
      <c r="Y69" s="105">
        <v>82.154538950000003</v>
      </c>
      <c r="Z69" s="105">
        <v>66.41</v>
      </c>
      <c r="AA69" s="105">
        <v>89.91</v>
      </c>
      <c r="AB69" s="105">
        <v>6.75</v>
      </c>
      <c r="AC69" s="105">
        <v>149.16999999999999</v>
      </c>
      <c r="AD69" s="105">
        <v>76.010000000000005</v>
      </c>
      <c r="AE69" s="105">
        <v>49.31</v>
      </c>
      <c r="AF69" s="105">
        <v>16.55</v>
      </c>
      <c r="AG69" s="105">
        <v>51.21</v>
      </c>
      <c r="AH69" s="105">
        <v>37.549999999999997</v>
      </c>
      <c r="AI69" s="105">
        <v>19.37</v>
      </c>
      <c r="AJ69" s="105">
        <v>18.690000000000001</v>
      </c>
      <c r="AK69" s="105">
        <v>16.27</v>
      </c>
      <c r="AL69" s="105">
        <v>70.25</v>
      </c>
      <c r="AM69" s="105">
        <v>133.11000000000001</v>
      </c>
      <c r="AN69" s="105">
        <v>194.85</v>
      </c>
      <c r="AO69" s="105">
        <v>55.06</v>
      </c>
      <c r="AP69" s="105">
        <v>60.12</v>
      </c>
      <c r="AQ69" s="105">
        <v>146.87</v>
      </c>
      <c r="AR69" s="105">
        <v>46.53</v>
      </c>
      <c r="AS69" s="105">
        <v>18.68</v>
      </c>
      <c r="AT69" s="105">
        <v>69.680000000000007</v>
      </c>
      <c r="AU69" s="105">
        <v>242.69</v>
      </c>
      <c r="AV69" s="105">
        <v>85.3</v>
      </c>
      <c r="AW69" s="105">
        <v>281.36</v>
      </c>
      <c r="AX69" s="105">
        <v>13.404999999999999</v>
      </c>
      <c r="AY69" s="105">
        <v>43.24</v>
      </c>
      <c r="AZ69" s="105">
        <v>59.811372720000001</v>
      </c>
      <c r="BA69" s="105">
        <v>37.407658949999998</v>
      </c>
      <c r="BB69" s="105">
        <v>86.17</v>
      </c>
      <c r="BC69" s="105">
        <v>130.96</v>
      </c>
      <c r="BD69" s="105">
        <v>126.89</v>
      </c>
    </row>
    <row r="70" spans="3:56" x14ac:dyDescent="0.25">
      <c r="C70" s="38">
        <v>43881</v>
      </c>
      <c r="D70" s="105">
        <v>211.45</v>
      </c>
      <c r="E70" s="105">
        <v>140.37</v>
      </c>
      <c r="F70" s="105">
        <v>102.53</v>
      </c>
      <c r="G70" s="105">
        <v>55.51</v>
      </c>
      <c r="H70" s="105">
        <v>136.93</v>
      </c>
      <c r="I70" s="105">
        <v>214.58</v>
      </c>
      <c r="J70" s="105">
        <v>80.075000000000003</v>
      </c>
      <c r="K70" s="105">
        <v>2153.1</v>
      </c>
      <c r="L70" s="105">
        <v>386</v>
      </c>
      <c r="M70" s="105">
        <v>184.42</v>
      </c>
      <c r="N70" s="105">
        <v>1516.99</v>
      </c>
      <c r="O70" s="105">
        <v>160.11000000000001</v>
      </c>
      <c r="P70" s="105">
        <v>208.34</v>
      </c>
      <c r="Q70" s="105">
        <v>272.49</v>
      </c>
      <c r="R70" s="105">
        <v>70.67</v>
      </c>
      <c r="S70" s="105">
        <v>35.409999999999997</v>
      </c>
      <c r="T70" s="105">
        <v>146.84</v>
      </c>
      <c r="U70" s="105">
        <v>67.44</v>
      </c>
      <c r="V70" s="105">
        <v>71.03</v>
      </c>
      <c r="W70" s="105">
        <v>91.93</v>
      </c>
      <c r="X70" s="105">
        <v>56.94</v>
      </c>
      <c r="Y70" s="105">
        <v>97.359431950000001</v>
      </c>
      <c r="Z70" s="105">
        <v>76.430000000000007</v>
      </c>
      <c r="AA70" s="105">
        <v>101.85</v>
      </c>
      <c r="AB70" s="105">
        <v>7.18</v>
      </c>
      <c r="AC70" s="105">
        <v>178.77</v>
      </c>
      <c r="AD70" s="105">
        <v>99.11</v>
      </c>
      <c r="AE70" s="105">
        <v>53.414999999999999</v>
      </c>
      <c r="AF70" s="105">
        <v>18.47</v>
      </c>
      <c r="AG70" s="105">
        <v>56.93</v>
      </c>
      <c r="AH70" s="105">
        <v>43.43</v>
      </c>
      <c r="AI70" s="105">
        <v>23.532499999999999</v>
      </c>
      <c r="AJ70" s="105">
        <v>17.82</v>
      </c>
      <c r="AK70" s="105">
        <v>20.83</v>
      </c>
      <c r="AL70" s="105">
        <v>77.319999999999993</v>
      </c>
      <c r="AM70" s="105">
        <v>151.22</v>
      </c>
      <c r="AN70" s="105">
        <v>224.47</v>
      </c>
      <c r="AO70" s="105">
        <v>58.09</v>
      </c>
      <c r="AP70" s="105">
        <v>63.87</v>
      </c>
      <c r="AQ70" s="105">
        <v>173.41</v>
      </c>
      <c r="AR70" s="105">
        <v>48.1</v>
      </c>
      <c r="AS70" s="105">
        <v>20.925000000000001</v>
      </c>
      <c r="AT70" s="105">
        <v>76.709999999999994</v>
      </c>
      <c r="AU70" s="105">
        <v>253.46</v>
      </c>
      <c r="AV70" s="105">
        <v>93.22</v>
      </c>
      <c r="AW70" s="105">
        <v>310.33</v>
      </c>
      <c r="AX70" s="105">
        <v>15.68</v>
      </c>
      <c r="AY70" s="105">
        <v>50.75</v>
      </c>
      <c r="AZ70" s="105">
        <v>65.745736679999993</v>
      </c>
      <c r="BA70" s="105">
        <v>43.770366090000003</v>
      </c>
      <c r="BB70" s="105">
        <v>95.06</v>
      </c>
      <c r="BC70" s="105">
        <v>163.63</v>
      </c>
      <c r="BD70" s="105">
        <v>141.57</v>
      </c>
    </row>
    <row r="71" spans="3:56" x14ac:dyDescent="0.25">
      <c r="C71" s="38">
        <v>43874</v>
      </c>
      <c r="D71" s="105">
        <v>207.4</v>
      </c>
      <c r="E71" s="105">
        <v>140.9</v>
      </c>
      <c r="F71" s="105">
        <v>103.37</v>
      </c>
      <c r="G71" s="105">
        <v>55.31</v>
      </c>
      <c r="H71" s="105">
        <v>139.72</v>
      </c>
      <c r="I71" s="105">
        <v>213.14</v>
      </c>
      <c r="J71" s="105">
        <v>81.217500000000001</v>
      </c>
      <c r="K71" s="105">
        <v>2149.87</v>
      </c>
      <c r="L71" s="105">
        <v>381.4</v>
      </c>
      <c r="M71" s="105">
        <v>183.71</v>
      </c>
      <c r="N71" s="105">
        <v>1513.39</v>
      </c>
      <c r="O71" s="105">
        <v>159.33000000000001</v>
      </c>
      <c r="P71" s="105">
        <v>201.19</v>
      </c>
      <c r="Q71" s="105">
        <v>272.97000000000003</v>
      </c>
      <c r="R71" s="105">
        <v>69.819999999999993</v>
      </c>
      <c r="S71" s="105">
        <v>36.28</v>
      </c>
      <c r="T71" s="105">
        <v>146.72</v>
      </c>
      <c r="U71" s="105">
        <v>69.31</v>
      </c>
      <c r="V71" s="105">
        <v>69.760000000000005</v>
      </c>
      <c r="W71" s="105">
        <v>90.4</v>
      </c>
      <c r="X71" s="105">
        <v>58.54</v>
      </c>
      <c r="Y71" s="105">
        <v>96.464460399999993</v>
      </c>
      <c r="Z71" s="105">
        <v>68.930000000000007</v>
      </c>
      <c r="AA71" s="105">
        <v>97.67</v>
      </c>
      <c r="AB71" s="105">
        <v>6.92</v>
      </c>
      <c r="AC71" s="105">
        <v>181.44</v>
      </c>
      <c r="AD71" s="105">
        <v>94.51</v>
      </c>
      <c r="AE71" s="105">
        <v>50.695</v>
      </c>
      <c r="AF71" s="105">
        <v>19.48</v>
      </c>
      <c r="AG71" s="105">
        <v>54.35</v>
      </c>
      <c r="AH71" s="105">
        <v>44.77</v>
      </c>
      <c r="AI71" s="105">
        <v>23.625</v>
      </c>
      <c r="AJ71" s="105">
        <v>17.78</v>
      </c>
      <c r="AK71" s="105">
        <v>21.56</v>
      </c>
      <c r="AL71" s="105">
        <v>77.37</v>
      </c>
      <c r="AM71" s="105">
        <v>154.31</v>
      </c>
      <c r="AN71" s="105">
        <v>217.41</v>
      </c>
      <c r="AO71" s="105">
        <v>58.65</v>
      </c>
      <c r="AP71" s="105">
        <v>63.36</v>
      </c>
      <c r="AQ71" s="105">
        <v>170.93</v>
      </c>
      <c r="AR71" s="105">
        <v>44.01</v>
      </c>
      <c r="AS71" s="105">
        <v>21.64</v>
      </c>
      <c r="AT71" s="105">
        <v>77.94</v>
      </c>
      <c r="AU71" s="105">
        <v>254.35</v>
      </c>
      <c r="AV71" s="105">
        <v>89.27</v>
      </c>
      <c r="AW71" s="105">
        <v>303.29000000000002</v>
      </c>
      <c r="AX71" s="105">
        <v>16.46</v>
      </c>
      <c r="AY71" s="105">
        <v>48.16</v>
      </c>
      <c r="AZ71" s="105">
        <v>65.044137000000006</v>
      </c>
      <c r="BA71" s="105">
        <v>42.525065609999999</v>
      </c>
      <c r="BB71" s="105">
        <v>95.04</v>
      </c>
      <c r="BC71" s="105">
        <v>167.1</v>
      </c>
      <c r="BD71" s="105">
        <v>140.34</v>
      </c>
    </row>
    <row r="72" spans="3:56" x14ac:dyDescent="0.25">
      <c r="C72" s="38">
        <v>43867</v>
      </c>
      <c r="D72" s="105">
        <v>203.04</v>
      </c>
      <c r="E72" s="105">
        <v>142.69999999999999</v>
      </c>
      <c r="F72" s="105">
        <v>100.27</v>
      </c>
      <c r="G72" s="105">
        <v>54.71</v>
      </c>
      <c r="H72" s="105">
        <v>137.25</v>
      </c>
      <c r="I72" s="105">
        <v>210.85</v>
      </c>
      <c r="J72" s="105">
        <v>81.302499999999995</v>
      </c>
      <c r="K72" s="105">
        <v>2050.23</v>
      </c>
      <c r="L72" s="105">
        <v>366.95</v>
      </c>
      <c r="M72" s="105">
        <v>183.63</v>
      </c>
      <c r="N72" s="105">
        <v>1475.97</v>
      </c>
      <c r="O72" s="105">
        <v>154.34</v>
      </c>
      <c r="P72" s="105">
        <v>199.8</v>
      </c>
      <c r="Q72" s="105">
        <v>266.76</v>
      </c>
      <c r="R72" s="105">
        <v>69.3</v>
      </c>
      <c r="S72" s="105">
        <v>36.08</v>
      </c>
      <c r="T72" s="105">
        <v>146.22</v>
      </c>
      <c r="U72" s="105">
        <v>69.47</v>
      </c>
      <c r="V72" s="105">
        <v>68.150000000000006</v>
      </c>
      <c r="W72" s="105">
        <v>88.64</v>
      </c>
      <c r="X72" s="105">
        <v>57.72</v>
      </c>
      <c r="Y72" s="105">
        <v>89.795478849999995</v>
      </c>
      <c r="Z72" s="105">
        <v>66.650000000000006</v>
      </c>
      <c r="AA72" s="105">
        <v>89.12</v>
      </c>
      <c r="AB72" s="105">
        <v>6.71</v>
      </c>
      <c r="AC72" s="105">
        <v>182.48</v>
      </c>
      <c r="AD72" s="105">
        <v>93.22</v>
      </c>
      <c r="AE72" s="105">
        <v>50.994999999999997</v>
      </c>
      <c r="AF72" s="105">
        <v>20.87</v>
      </c>
      <c r="AG72" s="105">
        <v>52.16</v>
      </c>
      <c r="AH72" s="105">
        <v>45.92</v>
      </c>
      <c r="AI72" s="105">
        <v>23.162500000000001</v>
      </c>
      <c r="AJ72" s="105">
        <v>16.7</v>
      </c>
      <c r="AK72" s="105">
        <v>20.079999999999998</v>
      </c>
      <c r="AL72" s="105">
        <v>76.290000000000006</v>
      </c>
      <c r="AM72" s="105">
        <v>156.76</v>
      </c>
      <c r="AN72" s="105">
        <v>218.24</v>
      </c>
      <c r="AO72" s="105">
        <v>59.44</v>
      </c>
      <c r="AP72" s="105">
        <v>61.82</v>
      </c>
      <c r="AQ72" s="105">
        <v>162.66999999999999</v>
      </c>
      <c r="AR72" s="105">
        <v>44.39</v>
      </c>
      <c r="AS72" s="105">
        <v>22.85</v>
      </c>
      <c r="AT72" s="105">
        <v>76.62</v>
      </c>
      <c r="AU72" s="105">
        <v>252.25</v>
      </c>
      <c r="AV72" s="105">
        <v>87.94</v>
      </c>
      <c r="AW72" s="105">
        <v>290.70999999999998</v>
      </c>
      <c r="AX72" s="105">
        <v>15.705</v>
      </c>
      <c r="AY72" s="105">
        <v>46.44</v>
      </c>
      <c r="AZ72" s="105">
        <v>67.324335959999999</v>
      </c>
      <c r="BA72" s="105">
        <v>40.267958489999998</v>
      </c>
      <c r="BB72" s="105">
        <v>95.3</v>
      </c>
      <c r="BC72" s="105">
        <v>167.78</v>
      </c>
      <c r="BD72" s="105">
        <v>136.29</v>
      </c>
    </row>
    <row r="73" spans="3:56" x14ac:dyDescent="0.25">
      <c r="C73" s="38">
        <v>43860</v>
      </c>
      <c r="D73" s="105">
        <v>208.21</v>
      </c>
      <c r="E73" s="105">
        <v>137.81</v>
      </c>
      <c r="F73" s="105">
        <v>98.19</v>
      </c>
      <c r="G73" s="105">
        <v>53.31</v>
      </c>
      <c r="H73" s="105">
        <v>135.37</v>
      </c>
      <c r="I73" s="105">
        <v>209.53</v>
      </c>
      <c r="J73" s="105">
        <v>80.967500000000001</v>
      </c>
      <c r="K73" s="105">
        <v>1870.68</v>
      </c>
      <c r="L73" s="105">
        <v>347.74</v>
      </c>
      <c r="M73" s="105">
        <v>172.78</v>
      </c>
      <c r="N73" s="105">
        <v>1454.25</v>
      </c>
      <c r="O73" s="105">
        <v>158.13999999999999</v>
      </c>
      <c r="P73" s="105">
        <v>190.79</v>
      </c>
      <c r="Q73" s="105">
        <v>262.89</v>
      </c>
      <c r="R73" s="105">
        <v>68.760000000000005</v>
      </c>
      <c r="S73" s="105">
        <v>36.47</v>
      </c>
      <c r="T73" s="105">
        <v>143.31</v>
      </c>
      <c r="U73" s="105">
        <v>66.2</v>
      </c>
      <c r="V73" s="105">
        <v>67.260000000000005</v>
      </c>
      <c r="W73" s="105">
        <v>87.1</v>
      </c>
      <c r="X73" s="105">
        <v>55.83</v>
      </c>
      <c r="Y73" s="105">
        <v>91.739395549999998</v>
      </c>
      <c r="Z73" s="105">
        <v>65.81</v>
      </c>
      <c r="AA73" s="105">
        <v>87.84</v>
      </c>
      <c r="AB73" s="105">
        <v>6.08</v>
      </c>
      <c r="AC73" s="105">
        <v>183.42</v>
      </c>
      <c r="AD73" s="105">
        <v>89.92</v>
      </c>
      <c r="AE73" s="105">
        <v>49.274999999999999</v>
      </c>
      <c r="AF73" s="105">
        <v>20.170000000000002</v>
      </c>
      <c r="AG73" s="105">
        <v>55.37</v>
      </c>
      <c r="AH73" s="105">
        <v>45.43</v>
      </c>
      <c r="AI73" s="105">
        <v>23.3325</v>
      </c>
      <c r="AJ73" s="105">
        <v>16.100000000000001</v>
      </c>
      <c r="AK73" s="105">
        <v>20.2</v>
      </c>
      <c r="AL73" s="105">
        <v>76.67</v>
      </c>
      <c r="AM73" s="105">
        <v>136.77000000000001</v>
      </c>
      <c r="AN73" s="105">
        <v>213.83</v>
      </c>
      <c r="AO73" s="105">
        <v>59.36</v>
      </c>
      <c r="AP73" s="105">
        <v>60.5</v>
      </c>
      <c r="AQ73" s="105">
        <v>158.69</v>
      </c>
      <c r="AR73" s="105">
        <v>44.97</v>
      </c>
      <c r="AS73" s="105">
        <v>21.92</v>
      </c>
      <c r="AT73" s="105">
        <v>82.84</v>
      </c>
      <c r="AU73" s="105">
        <v>281.14999999999998</v>
      </c>
      <c r="AV73" s="105">
        <v>87.61</v>
      </c>
      <c r="AW73" s="105">
        <v>325.62</v>
      </c>
      <c r="AX73" s="105">
        <v>16.399999999999999</v>
      </c>
      <c r="AY73" s="105">
        <v>42.78</v>
      </c>
      <c r="AZ73" s="105">
        <v>69.273223959999996</v>
      </c>
      <c r="BA73" s="105">
        <v>39.655037159999999</v>
      </c>
      <c r="BB73" s="105">
        <v>96.56</v>
      </c>
      <c r="BC73" s="105">
        <v>169.73</v>
      </c>
      <c r="BD73" s="105">
        <v>131.51</v>
      </c>
    </row>
    <row r="74" spans="3:56" x14ac:dyDescent="0.25">
      <c r="C74" s="38">
        <v>43853</v>
      </c>
      <c r="D74" s="105">
        <v>206.52</v>
      </c>
      <c r="E74" s="105">
        <v>142.19999999999999</v>
      </c>
      <c r="F74" s="105">
        <v>103.02</v>
      </c>
      <c r="G74" s="105">
        <v>54.98</v>
      </c>
      <c r="H74" s="105">
        <v>142.75</v>
      </c>
      <c r="I74" s="105">
        <v>219.76</v>
      </c>
      <c r="J74" s="105">
        <v>79.807500000000005</v>
      </c>
      <c r="K74" s="105">
        <v>1884.58</v>
      </c>
      <c r="L74" s="105">
        <v>349.6</v>
      </c>
      <c r="M74" s="105">
        <v>166.72</v>
      </c>
      <c r="N74" s="105">
        <v>1484.69</v>
      </c>
      <c r="O74" s="105">
        <v>153.83000000000001</v>
      </c>
      <c r="P74" s="105">
        <v>193.97</v>
      </c>
      <c r="Q74" s="105">
        <v>270.77999999999997</v>
      </c>
      <c r="R74" s="105">
        <v>66.900000000000006</v>
      </c>
      <c r="S74" s="105">
        <v>36.71</v>
      </c>
      <c r="T74" s="105">
        <v>144.96</v>
      </c>
      <c r="U74" s="105">
        <v>69.45</v>
      </c>
      <c r="V74" s="105">
        <v>67.27</v>
      </c>
      <c r="W74" s="105">
        <v>89.82</v>
      </c>
      <c r="X74" s="105">
        <v>55.4</v>
      </c>
      <c r="Y74" s="105">
        <v>89.785855499999997</v>
      </c>
      <c r="Z74" s="105">
        <v>65.900000000000006</v>
      </c>
      <c r="AA74" s="105">
        <v>87.93</v>
      </c>
      <c r="AB74" s="105">
        <v>6.39</v>
      </c>
      <c r="AC74" s="105">
        <v>211.03</v>
      </c>
      <c r="AD74" s="105">
        <v>93.22</v>
      </c>
      <c r="AE74" s="105">
        <v>49.38</v>
      </c>
      <c r="AF74" s="105">
        <v>19.95</v>
      </c>
      <c r="AG74" s="105">
        <v>56.52</v>
      </c>
      <c r="AH74" s="105">
        <v>46.96</v>
      </c>
      <c r="AI74" s="105">
        <v>22.0275</v>
      </c>
      <c r="AJ74" s="105">
        <v>15.19</v>
      </c>
      <c r="AK74" s="105">
        <v>21.07</v>
      </c>
      <c r="AL74" s="105">
        <v>77.69</v>
      </c>
      <c r="AM74" s="105">
        <v>142.87</v>
      </c>
      <c r="AN74" s="105">
        <v>216.22</v>
      </c>
      <c r="AO74" s="105">
        <v>60.51</v>
      </c>
      <c r="AP74" s="105">
        <v>62.45</v>
      </c>
      <c r="AQ74" s="105">
        <v>157.84</v>
      </c>
      <c r="AR74" s="105">
        <v>43.7</v>
      </c>
      <c r="AS74" s="105">
        <v>22.14</v>
      </c>
      <c r="AT74" s="105">
        <v>83.59</v>
      </c>
      <c r="AU74" s="105">
        <v>278.73</v>
      </c>
      <c r="AV74" s="105">
        <v>87.94</v>
      </c>
      <c r="AW74" s="105">
        <v>314.85000000000002</v>
      </c>
      <c r="AX74" s="105">
        <v>16.45</v>
      </c>
      <c r="AY74" s="105">
        <v>42.87</v>
      </c>
      <c r="AZ74" s="105">
        <v>70.695912199999995</v>
      </c>
      <c r="BA74" s="105">
        <v>39.392356589999999</v>
      </c>
      <c r="BB74" s="105">
        <v>95.76</v>
      </c>
      <c r="BC74" s="105">
        <v>174.8</v>
      </c>
      <c r="BD74" s="105">
        <v>130.33000000000001</v>
      </c>
    </row>
    <row r="75" spans="3:56" x14ac:dyDescent="0.25">
      <c r="C75" s="38">
        <v>43846</v>
      </c>
      <c r="D75" s="105">
        <v>200.95</v>
      </c>
      <c r="E75" s="105">
        <v>145.12</v>
      </c>
      <c r="F75" s="105">
        <v>103.37</v>
      </c>
      <c r="G75" s="105">
        <v>55.43</v>
      </c>
      <c r="H75" s="105">
        <v>147.87</v>
      </c>
      <c r="I75" s="105">
        <v>221.77</v>
      </c>
      <c r="J75" s="105">
        <v>78.81</v>
      </c>
      <c r="K75" s="105">
        <v>1877.94</v>
      </c>
      <c r="L75" s="105">
        <v>338.62</v>
      </c>
      <c r="M75" s="105">
        <v>166.17</v>
      </c>
      <c r="N75" s="105">
        <v>1450.16</v>
      </c>
      <c r="O75" s="105">
        <v>148.97</v>
      </c>
      <c r="P75" s="105">
        <v>190.86</v>
      </c>
      <c r="Q75" s="105">
        <v>285.02999999999997</v>
      </c>
      <c r="R75" s="105">
        <v>65.03</v>
      </c>
      <c r="S75" s="105">
        <v>35.96</v>
      </c>
      <c r="T75" s="105">
        <v>149.02000000000001</v>
      </c>
      <c r="U75" s="105">
        <v>73.400000000000006</v>
      </c>
      <c r="V75" s="105">
        <v>63.19</v>
      </c>
      <c r="W75" s="105">
        <v>88.95</v>
      </c>
      <c r="X75" s="105">
        <v>55.3</v>
      </c>
      <c r="Y75" s="105">
        <v>84.348662750000003</v>
      </c>
      <c r="Z75" s="105">
        <v>64.58</v>
      </c>
      <c r="AA75" s="105">
        <v>85.95</v>
      </c>
      <c r="AB75" s="105">
        <v>6.81</v>
      </c>
      <c r="AC75" s="105">
        <v>213.02</v>
      </c>
      <c r="AD75" s="105">
        <v>95.35</v>
      </c>
      <c r="AE75" s="105">
        <v>49.805</v>
      </c>
      <c r="AF75" s="105">
        <v>22.02</v>
      </c>
      <c r="AG75" s="105">
        <v>54.64</v>
      </c>
      <c r="AH75" s="105">
        <v>48.74</v>
      </c>
      <c r="AI75" s="105">
        <v>21.88</v>
      </c>
      <c r="AJ75" s="105">
        <v>15.58</v>
      </c>
      <c r="AK75" s="105">
        <v>19</v>
      </c>
      <c r="AL75" s="105">
        <v>76.56</v>
      </c>
      <c r="AM75" s="105">
        <v>137.97999999999999</v>
      </c>
      <c r="AN75" s="105">
        <v>209.46</v>
      </c>
      <c r="AO75" s="105">
        <v>59.67</v>
      </c>
      <c r="AP75" s="105">
        <v>62.81</v>
      </c>
      <c r="AQ75" s="105">
        <v>160.32</v>
      </c>
      <c r="AR75" s="105">
        <v>43.82</v>
      </c>
      <c r="AS75" s="105">
        <v>21.97</v>
      </c>
      <c r="AT75" s="105">
        <v>82.66</v>
      </c>
      <c r="AU75" s="105">
        <v>276.87</v>
      </c>
      <c r="AV75" s="105">
        <v>91.08</v>
      </c>
      <c r="AW75" s="105">
        <v>294.31</v>
      </c>
      <c r="AX75" s="105">
        <v>17.37</v>
      </c>
      <c r="AY75" s="105">
        <v>41.26</v>
      </c>
      <c r="AZ75" s="105">
        <v>72.985855599999994</v>
      </c>
      <c r="BA75" s="105">
        <v>41.250578400000002</v>
      </c>
      <c r="BB75" s="105">
        <v>94.68</v>
      </c>
      <c r="BC75" s="105">
        <v>177.6</v>
      </c>
      <c r="BD75" s="105">
        <v>131.57</v>
      </c>
    </row>
    <row r="76" spans="3:56" x14ac:dyDescent="0.25">
      <c r="C76" s="38">
        <v>43839</v>
      </c>
      <c r="D76" s="105">
        <v>193.25</v>
      </c>
      <c r="E76" s="105">
        <v>144.83000000000001</v>
      </c>
      <c r="F76" s="105">
        <v>101.48</v>
      </c>
      <c r="G76" s="105">
        <v>54.38</v>
      </c>
      <c r="H76" s="105">
        <v>147.31</v>
      </c>
      <c r="I76" s="105">
        <v>218.3</v>
      </c>
      <c r="J76" s="105">
        <v>77.407499999999999</v>
      </c>
      <c r="K76" s="105">
        <v>1901.05</v>
      </c>
      <c r="L76" s="105">
        <v>335.66</v>
      </c>
      <c r="M76" s="105">
        <v>162.09</v>
      </c>
      <c r="N76" s="105">
        <v>1419.79</v>
      </c>
      <c r="O76" s="105">
        <v>146.57</v>
      </c>
      <c r="P76" s="105">
        <v>193.59</v>
      </c>
      <c r="Q76" s="105">
        <v>296.54000000000002</v>
      </c>
      <c r="R76" s="105">
        <v>62.54</v>
      </c>
      <c r="S76" s="105">
        <v>35.51</v>
      </c>
      <c r="T76" s="105">
        <v>146.44999999999999</v>
      </c>
      <c r="U76" s="105">
        <v>71.52</v>
      </c>
      <c r="V76" s="105">
        <v>57.69</v>
      </c>
      <c r="W76" s="105">
        <v>89.37</v>
      </c>
      <c r="X76" s="105">
        <v>54.3</v>
      </c>
      <c r="Y76" s="105">
        <v>87.861185500000005</v>
      </c>
      <c r="Z76" s="105">
        <v>61.094999999999999</v>
      </c>
      <c r="AA76" s="105">
        <v>81.92</v>
      </c>
      <c r="AB76" s="105">
        <v>6.7</v>
      </c>
      <c r="AC76" s="105">
        <v>218.05</v>
      </c>
      <c r="AD76" s="105">
        <v>78.72</v>
      </c>
      <c r="AE76" s="105">
        <v>48.46</v>
      </c>
      <c r="AF76" s="105">
        <v>21.1</v>
      </c>
      <c r="AG76" s="105">
        <v>58.82</v>
      </c>
      <c r="AH76" s="105">
        <v>48.2</v>
      </c>
      <c r="AI76" s="105">
        <v>21.324999999999999</v>
      </c>
      <c r="AJ76" s="105">
        <v>15.84</v>
      </c>
      <c r="AK76" s="105">
        <v>18.71</v>
      </c>
      <c r="AL76" s="105">
        <v>76.14</v>
      </c>
      <c r="AM76" s="105">
        <v>136.74</v>
      </c>
      <c r="AN76" s="105">
        <v>211.63</v>
      </c>
      <c r="AO76" s="105">
        <v>58.85</v>
      </c>
      <c r="AP76" s="105">
        <v>62.64</v>
      </c>
      <c r="AQ76" s="105">
        <v>154.52000000000001</v>
      </c>
      <c r="AR76" s="105">
        <v>41.66</v>
      </c>
      <c r="AS76" s="105">
        <v>20.93</v>
      </c>
      <c r="AT76" s="105">
        <v>84.63</v>
      </c>
      <c r="AU76" s="105">
        <v>273.54000000000002</v>
      </c>
      <c r="AV76" s="105">
        <v>91.06</v>
      </c>
      <c r="AW76" s="105">
        <v>285.29000000000002</v>
      </c>
      <c r="AX76" s="105">
        <v>16.93</v>
      </c>
      <c r="AY76" s="105">
        <v>40.25</v>
      </c>
      <c r="AZ76" s="105">
        <v>73.872599640000004</v>
      </c>
      <c r="BA76" s="105">
        <v>39.664766069999999</v>
      </c>
      <c r="BB76" s="105">
        <v>90.72</v>
      </c>
      <c r="BC76" s="105">
        <v>175.14</v>
      </c>
      <c r="BD76" s="105">
        <v>134.63999999999999</v>
      </c>
    </row>
    <row r="77" spans="3:56" x14ac:dyDescent="0.25">
      <c r="C77" s="38">
        <v>43832</v>
      </c>
      <c r="D77" s="105">
        <v>191.12</v>
      </c>
      <c r="E77" s="105">
        <v>148.19999999999999</v>
      </c>
      <c r="F77" s="105">
        <v>102.2</v>
      </c>
      <c r="G77" s="105">
        <v>53.95</v>
      </c>
      <c r="H77" s="105">
        <v>150.53</v>
      </c>
      <c r="I77" s="105">
        <v>209.78</v>
      </c>
      <c r="J77" s="105">
        <v>75.087500000000006</v>
      </c>
      <c r="K77" s="105">
        <v>1898.01</v>
      </c>
      <c r="L77" s="105">
        <v>329.81</v>
      </c>
      <c r="M77" s="105">
        <v>160.62</v>
      </c>
      <c r="N77" s="105">
        <v>1368.68</v>
      </c>
      <c r="O77" s="105">
        <v>143.96</v>
      </c>
      <c r="P77" s="105">
        <v>188.3</v>
      </c>
      <c r="Q77" s="105">
        <v>283.68</v>
      </c>
      <c r="R77" s="105">
        <v>62.38</v>
      </c>
      <c r="S77" s="105">
        <v>35.42</v>
      </c>
      <c r="T77" s="105">
        <v>151.49</v>
      </c>
      <c r="U77" s="105">
        <v>70.8</v>
      </c>
      <c r="V77" s="105">
        <v>55.81</v>
      </c>
      <c r="W77" s="105">
        <v>87.31</v>
      </c>
      <c r="X77" s="105">
        <v>54.84</v>
      </c>
      <c r="Y77" s="105">
        <v>81.548267899999999</v>
      </c>
      <c r="Z77" s="105">
        <v>59.49</v>
      </c>
      <c r="AA77" s="105">
        <v>81.58</v>
      </c>
      <c r="AB77" s="105">
        <v>6.15</v>
      </c>
      <c r="AC77" s="105">
        <v>212.89</v>
      </c>
      <c r="AD77" s="105">
        <v>80.459999999999994</v>
      </c>
      <c r="AE77" s="105">
        <v>45.18</v>
      </c>
      <c r="AF77" s="105">
        <v>21.43</v>
      </c>
      <c r="AG77" s="105">
        <v>62.51</v>
      </c>
      <c r="AH77" s="105">
        <v>48.22</v>
      </c>
      <c r="AI77" s="105">
        <v>21.684999999999999</v>
      </c>
      <c r="AJ77" s="105">
        <v>16.28</v>
      </c>
      <c r="AK77" s="105">
        <v>18.89</v>
      </c>
      <c r="AL77" s="105">
        <v>74.38</v>
      </c>
      <c r="AM77" s="105">
        <v>135.41999999999999</v>
      </c>
      <c r="AN77" s="105">
        <v>210.45</v>
      </c>
      <c r="AO77" s="105">
        <v>61.05</v>
      </c>
      <c r="AP77" s="105">
        <v>61.7</v>
      </c>
      <c r="AQ77" s="105">
        <v>151.97999999999999</v>
      </c>
      <c r="AR77" s="105">
        <v>43.22</v>
      </c>
      <c r="AS77" s="105">
        <v>20.65</v>
      </c>
      <c r="AT77" s="105">
        <v>84.66</v>
      </c>
      <c r="AU77" s="105">
        <v>272.54000000000002</v>
      </c>
      <c r="AV77" s="105">
        <v>93.78</v>
      </c>
      <c r="AW77" s="105">
        <v>271.8</v>
      </c>
      <c r="AX77" s="105">
        <v>16.78</v>
      </c>
      <c r="AY77" s="105">
        <v>39.299999999999997</v>
      </c>
      <c r="AZ77" s="105">
        <v>76.221009679999995</v>
      </c>
      <c r="BA77" s="105">
        <v>38.448652320000001</v>
      </c>
      <c r="BB77" s="105">
        <v>92.43</v>
      </c>
      <c r="BC77" s="105">
        <v>176.05</v>
      </c>
      <c r="BD77" s="105">
        <v>132.36000000000001</v>
      </c>
    </row>
    <row r="78" spans="3:56" x14ac:dyDescent="0.25">
      <c r="C78" s="38">
        <v>43825</v>
      </c>
      <c r="D78" s="105">
        <v>189.16</v>
      </c>
      <c r="E78" s="105">
        <v>145.69999999999999</v>
      </c>
      <c r="F78" s="105">
        <v>100.71</v>
      </c>
      <c r="G78" s="105">
        <v>53.57</v>
      </c>
      <c r="H78" s="105">
        <v>148.22</v>
      </c>
      <c r="I78" s="105">
        <v>207.79</v>
      </c>
      <c r="J78" s="105">
        <v>72.477500000000006</v>
      </c>
      <c r="K78" s="105">
        <v>1868.77</v>
      </c>
      <c r="L78" s="105">
        <v>332.63</v>
      </c>
      <c r="M78" s="105">
        <v>158.66999999999999</v>
      </c>
      <c r="N78" s="105">
        <v>1362.47</v>
      </c>
      <c r="O78" s="105">
        <v>146.29</v>
      </c>
      <c r="P78" s="105">
        <v>189.66</v>
      </c>
      <c r="Q78" s="105">
        <v>278.26</v>
      </c>
      <c r="R78" s="105">
        <v>62.79</v>
      </c>
      <c r="S78" s="105">
        <v>35.53</v>
      </c>
      <c r="T78" s="105">
        <v>153.13</v>
      </c>
      <c r="U78" s="105">
        <v>69.94</v>
      </c>
      <c r="V78" s="105">
        <v>56.02</v>
      </c>
      <c r="W78" s="105">
        <v>87.85</v>
      </c>
      <c r="X78" s="105">
        <v>54.9</v>
      </c>
      <c r="Y78" s="105">
        <v>83.020640450000002</v>
      </c>
      <c r="Z78" s="105">
        <v>59.09</v>
      </c>
      <c r="AA78" s="105">
        <v>79.11</v>
      </c>
      <c r="AB78" s="105">
        <v>6.2949999999999999</v>
      </c>
      <c r="AC78" s="105">
        <v>216.16</v>
      </c>
      <c r="AD78" s="105">
        <v>79.78</v>
      </c>
      <c r="AE78" s="105">
        <v>45.7</v>
      </c>
      <c r="AF78" s="105">
        <v>21.66</v>
      </c>
      <c r="AG78" s="105">
        <v>66.37</v>
      </c>
      <c r="AH78" s="105">
        <v>47.69</v>
      </c>
      <c r="AI78" s="105">
        <v>22.085000000000001</v>
      </c>
      <c r="AJ78" s="105">
        <v>16.079999999999998</v>
      </c>
      <c r="AK78" s="105">
        <v>19.100000000000001</v>
      </c>
      <c r="AL78" s="105">
        <v>75.349999999999994</v>
      </c>
      <c r="AM78" s="105">
        <v>134.91</v>
      </c>
      <c r="AN78" s="105">
        <v>209.75</v>
      </c>
      <c r="AO78" s="105">
        <v>61.29</v>
      </c>
      <c r="AP78" s="105">
        <v>60.82</v>
      </c>
      <c r="AQ78" s="105">
        <v>151.91999999999999</v>
      </c>
      <c r="AR78" s="105">
        <v>42.69</v>
      </c>
      <c r="AS78" s="105">
        <v>19.579999999999998</v>
      </c>
      <c r="AT78" s="105">
        <v>85.54</v>
      </c>
      <c r="AU78" s="105">
        <v>271.06</v>
      </c>
      <c r="AV78" s="105">
        <v>92.08</v>
      </c>
      <c r="AW78" s="105">
        <v>268.72000000000003</v>
      </c>
      <c r="AX78" s="105">
        <v>16.670000000000002</v>
      </c>
      <c r="AY78" s="105">
        <v>39.6</v>
      </c>
      <c r="AZ78" s="105">
        <v>75.850720960000004</v>
      </c>
      <c r="BA78" s="105">
        <v>36.823924349999999</v>
      </c>
      <c r="BB78" s="105">
        <v>92.54</v>
      </c>
      <c r="BC78" s="105">
        <v>178.93</v>
      </c>
      <c r="BD78" s="105">
        <v>129.07</v>
      </c>
    </row>
    <row r="79" spans="3:56" x14ac:dyDescent="0.25">
      <c r="C79" s="38">
        <v>43818</v>
      </c>
      <c r="D79" s="105">
        <v>186.54</v>
      </c>
      <c r="E79" s="105">
        <v>146.15</v>
      </c>
      <c r="F79" s="105">
        <v>101.15</v>
      </c>
      <c r="G79" s="105">
        <v>53.24</v>
      </c>
      <c r="H79" s="105">
        <v>145.02000000000001</v>
      </c>
      <c r="I79" s="105">
        <v>206.06</v>
      </c>
      <c r="J79" s="105">
        <v>70.004999999999995</v>
      </c>
      <c r="K79" s="105">
        <v>1792.28</v>
      </c>
      <c r="L79" s="105">
        <v>332.22</v>
      </c>
      <c r="M79" s="105">
        <v>155.71</v>
      </c>
      <c r="N79" s="105">
        <v>1356.44</v>
      </c>
      <c r="O79" s="105">
        <v>146.66999999999999</v>
      </c>
      <c r="P79" s="105">
        <v>185.82</v>
      </c>
      <c r="Q79" s="105">
        <v>273.75</v>
      </c>
      <c r="R79" s="105">
        <v>63.85</v>
      </c>
      <c r="S79" s="105">
        <v>35.72</v>
      </c>
      <c r="T79" s="105">
        <v>150.04</v>
      </c>
      <c r="U79" s="105">
        <v>69.180000000000007</v>
      </c>
      <c r="V79" s="105">
        <v>55.24</v>
      </c>
      <c r="W79" s="105">
        <v>88.64</v>
      </c>
      <c r="X79" s="105">
        <v>54.08</v>
      </c>
      <c r="Y79" s="105">
        <v>81.808098349999995</v>
      </c>
      <c r="Z79" s="105">
        <v>57.844999999999999</v>
      </c>
      <c r="AA79" s="105">
        <v>76.48</v>
      </c>
      <c r="AB79" s="105">
        <v>6.28</v>
      </c>
      <c r="AC79" s="105">
        <v>199.6</v>
      </c>
      <c r="AD79" s="105">
        <v>78.209999999999994</v>
      </c>
      <c r="AE79" s="105">
        <v>44.1</v>
      </c>
      <c r="AF79" s="105">
        <v>20.6</v>
      </c>
      <c r="AG79" s="105">
        <v>68.66</v>
      </c>
      <c r="AH79" s="105">
        <v>47.32</v>
      </c>
      <c r="AI79" s="105">
        <v>22.29</v>
      </c>
      <c r="AJ79" s="105">
        <v>16.47</v>
      </c>
      <c r="AK79" s="105">
        <v>18.89</v>
      </c>
      <c r="AL79" s="105">
        <v>73.42</v>
      </c>
      <c r="AM79" s="105">
        <v>134.56</v>
      </c>
      <c r="AN79" s="105">
        <v>208.08</v>
      </c>
      <c r="AO79" s="105">
        <v>60.8</v>
      </c>
      <c r="AP79" s="105">
        <v>60.25</v>
      </c>
      <c r="AQ79" s="105">
        <v>150.13999999999999</v>
      </c>
      <c r="AR79" s="105">
        <v>40.880000000000003</v>
      </c>
      <c r="AS79" s="105">
        <v>19.38</v>
      </c>
      <c r="AT79" s="105">
        <v>84.49</v>
      </c>
      <c r="AU79" s="105">
        <v>267.87</v>
      </c>
      <c r="AV79" s="105">
        <v>92.1</v>
      </c>
      <c r="AW79" s="105">
        <v>261.76</v>
      </c>
      <c r="AX79" s="105">
        <v>16.45</v>
      </c>
      <c r="AY79" s="105">
        <v>39.729999999999997</v>
      </c>
      <c r="AZ79" s="105">
        <v>75.753276560000003</v>
      </c>
      <c r="BA79" s="105">
        <v>36.434767950000001</v>
      </c>
      <c r="BB79" s="105">
        <v>94.86</v>
      </c>
      <c r="BC79" s="105">
        <v>178.31</v>
      </c>
      <c r="BD79" s="105">
        <v>131.6</v>
      </c>
    </row>
    <row r="80" spans="3:56" x14ac:dyDescent="0.25">
      <c r="C80" s="38">
        <v>43811</v>
      </c>
      <c r="D80" s="105">
        <v>182.64</v>
      </c>
      <c r="E80" s="105">
        <v>147.76</v>
      </c>
      <c r="F80" s="105">
        <v>97.72</v>
      </c>
      <c r="G80" s="105">
        <v>56.47</v>
      </c>
      <c r="H80" s="105">
        <v>146.78</v>
      </c>
      <c r="I80" s="105">
        <v>196.75</v>
      </c>
      <c r="J80" s="105">
        <v>67.864999999999995</v>
      </c>
      <c r="K80" s="105">
        <v>1760.33</v>
      </c>
      <c r="L80" s="105">
        <v>298.44</v>
      </c>
      <c r="M80" s="105">
        <v>153.24</v>
      </c>
      <c r="N80" s="105">
        <v>1348.49</v>
      </c>
      <c r="O80" s="105">
        <v>146.82</v>
      </c>
      <c r="P80" s="105">
        <v>179.79</v>
      </c>
      <c r="Q80" s="105">
        <v>268.39</v>
      </c>
      <c r="R80" s="105">
        <v>61.36</v>
      </c>
      <c r="S80" s="105">
        <v>33.6</v>
      </c>
      <c r="T80" s="105">
        <v>145.1</v>
      </c>
      <c r="U80" s="105">
        <v>68.7</v>
      </c>
      <c r="V80" s="105">
        <v>58.06</v>
      </c>
      <c r="W80" s="105">
        <v>85.35</v>
      </c>
      <c r="X80" s="105">
        <v>54.49</v>
      </c>
      <c r="Y80" s="105">
        <v>83.886741950000001</v>
      </c>
      <c r="Z80" s="105">
        <v>56.9</v>
      </c>
      <c r="AA80" s="105">
        <v>75.31</v>
      </c>
      <c r="AB80" s="105">
        <v>6.2</v>
      </c>
      <c r="AC80" s="105">
        <v>195.31</v>
      </c>
      <c r="AD80" s="105">
        <v>83.48</v>
      </c>
      <c r="AE80" s="105">
        <v>44.31</v>
      </c>
      <c r="AF80" s="105">
        <v>18.96</v>
      </c>
      <c r="AG80" s="105">
        <v>69.98</v>
      </c>
      <c r="AH80" s="105">
        <v>48.49</v>
      </c>
      <c r="AI80" s="105">
        <v>21.352499999999999</v>
      </c>
      <c r="AJ80" s="105">
        <v>16.82</v>
      </c>
      <c r="AK80" s="105">
        <v>18.920000000000002</v>
      </c>
      <c r="AL80" s="105">
        <v>71.45</v>
      </c>
      <c r="AM80" s="105">
        <v>135.32</v>
      </c>
      <c r="AN80" s="105">
        <v>199.77</v>
      </c>
      <c r="AO80" s="105">
        <v>61.17</v>
      </c>
      <c r="AP80" s="105">
        <v>60.86</v>
      </c>
      <c r="AQ80" s="105">
        <v>143.65</v>
      </c>
      <c r="AR80" s="105">
        <v>41.12</v>
      </c>
      <c r="AS80" s="105">
        <v>19.68</v>
      </c>
      <c r="AT80" s="105">
        <v>83.27</v>
      </c>
      <c r="AU80" s="105">
        <v>265.44</v>
      </c>
      <c r="AV80" s="105">
        <v>92.55</v>
      </c>
      <c r="AW80" s="105">
        <v>254.48</v>
      </c>
      <c r="AX80" s="105">
        <v>16.34</v>
      </c>
      <c r="AY80" s="105">
        <v>37.5</v>
      </c>
      <c r="AZ80" s="105">
        <v>76.094331960000005</v>
      </c>
      <c r="BA80" s="105">
        <v>36.960129090000002</v>
      </c>
      <c r="BB80" s="105">
        <v>90</v>
      </c>
      <c r="BC80" s="105">
        <v>171.71</v>
      </c>
      <c r="BD80" s="105">
        <v>130.44</v>
      </c>
    </row>
    <row r="81" spans="3:56" x14ac:dyDescent="0.25">
      <c r="C81" s="38">
        <v>43804</v>
      </c>
      <c r="D81" s="105">
        <v>181.89</v>
      </c>
      <c r="E81" s="105">
        <v>147.44</v>
      </c>
      <c r="F81" s="105">
        <v>95.79</v>
      </c>
      <c r="G81" s="105">
        <v>54.68</v>
      </c>
      <c r="H81" s="105">
        <v>141.05000000000001</v>
      </c>
      <c r="I81" s="105">
        <v>199.36</v>
      </c>
      <c r="J81" s="105">
        <v>66.394999999999996</v>
      </c>
      <c r="K81" s="105">
        <v>1740.48</v>
      </c>
      <c r="L81" s="105">
        <v>302.86</v>
      </c>
      <c r="M81" s="105">
        <v>149.93</v>
      </c>
      <c r="N81" s="105">
        <v>1326.96</v>
      </c>
      <c r="O81" s="105">
        <v>149.97</v>
      </c>
      <c r="P81" s="105">
        <v>182.46</v>
      </c>
      <c r="Q81" s="105">
        <v>274.52999999999997</v>
      </c>
      <c r="R81" s="105">
        <v>62.14</v>
      </c>
      <c r="S81" s="105">
        <v>34.32</v>
      </c>
      <c r="T81" s="105">
        <v>140.30000000000001</v>
      </c>
      <c r="U81" s="105">
        <v>63.27</v>
      </c>
      <c r="V81" s="105">
        <v>59.8</v>
      </c>
      <c r="W81" s="105">
        <v>80.319999999999993</v>
      </c>
      <c r="X81" s="105">
        <v>55.53</v>
      </c>
      <c r="Y81" s="105">
        <v>77.169643649999998</v>
      </c>
      <c r="Z81" s="105">
        <v>57.37</v>
      </c>
      <c r="AA81" s="105">
        <v>77.260000000000005</v>
      </c>
      <c r="AB81" s="105">
        <v>6.24</v>
      </c>
      <c r="AC81" s="105">
        <v>190.76</v>
      </c>
      <c r="AD81" s="105">
        <v>81.27</v>
      </c>
      <c r="AE81" s="105">
        <v>42.87</v>
      </c>
      <c r="AF81" s="105">
        <v>18.55</v>
      </c>
      <c r="AG81" s="105">
        <v>59.484999999999999</v>
      </c>
      <c r="AH81" s="105">
        <v>45.91</v>
      </c>
      <c r="AI81" s="105">
        <v>21.195</v>
      </c>
      <c r="AJ81" s="105">
        <v>16.809999999999999</v>
      </c>
      <c r="AK81" s="105">
        <v>19.14</v>
      </c>
      <c r="AL81" s="105">
        <v>71.34</v>
      </c>
      <c r="AM81" s="105">
        <v>131.91</v>
      </c>
      <c r="AN81" s="105">
        <v>203.21</v>
      </c>
      <c r="AO81" s="105">
        <v>60.82</v>
      </c>
      <c r="AP81" s="105">
        <v>59.57</v>
      </c>
      <c r="AQ81" s="105">
        <v>146.13999999999999</v>
      </c>
      <c r="AR81" s="105">
        <v>40</v>
      </c>
      <c r="AS81" s="105">
        <v>18.899999999999999</v>
      </c>
      <c r="AT81" s="105">
        <v>82.97</v>
      </c>
      <c r="AU81" s="105">
        <v>258.91000000000003</v>
      </c>
      <c r="AV81" s="105">
        <v>90.8</v>
      </c>
      <c r="AW81" s="105">
        <v>268.52999999999997</v>
      </c>
      <c r="AX81" s="105">
        <v>16.37</v>
      </c>
      <c r="AY81" s="105">
        <v>38.380000000000003</v>
      </c>
      <c r="AZ81" s="105">
        <v>74.164932840000006</v>
      </c>
      <c r="BA81" s="105">
        <v>37.076876009999999</v>
      </c>
      <c r="BB81" s="105">
        <v>89</v>
      </c>
      <c r="BC81" s="105">
        <v>169.54</v>
      </c>
      <c r="BD81" s="105">
        <v>130.41</v>
      </c>
    </row>
    <row r="82" spans="3:56" x14ac:dyDescent="0.25">
      <c r="C82" s="38">
        <v>43796</v>
      </c>
      <c r="D82" s="105">
        <v>184.37</v>
      </c>
      <c r="E82" s="105">
        <v>151.47999999999999</v>
      </c>
      <c r="F82" s="105">
        <v>94.14</v>
      </c>
      <c r="G82" s="105">
        <v>56.61</v>
      </c>
      <c r="H82" s="105">
        <v>145.69</v>
      </c>
      <c r="I82" s="105">
        <v>202</v>
      </c>
      <c r="J82" s="105">
        <v>66.959999999999994</v>
      </c>
      <c r="K82" s="105">
        <v>1818.51</v>
      </c>
      <c r="L82" s="105">
        <v>315.93</v>
      </c>
      <c r="M82" s="105">
        <v>152.32</v>
      </c>
      <c r="N82" s="105">
        <v>1312.13</v>
      </c>
      <c r="O82" s="105">
        <v>148.56</v>
      </c>
      <c r="P82" s="105">
        <v>185.75</v>
      </c>
      <c r="Q82" s="105">
        <v>279.62</v>
      </c>
      <c r="R82" s="105">
        <v>61.56</v>
      </c>
      <c r="S82" s="105">
        <v>34.299999999999997</v>
      </c>
      <c r="T82" s="105">
        <v>141.34</v>
      </c>
      <c r="U82" s="105">
        <v>63.42</v>
      </c>
      <c r="V82" s="105">
        <v>59.75</v>
      </c>
      <c r="W82" s="105">
        <v>80.739999999999995</v>
      </c>
      <c r="X82" s="105">
        <v>57.75</v>
      </c>
      <c r="Y82" s="105">
        <v>77.958758349999997</v>
      </c>
      <c r="Z82" s="105">
        <v>54.54</v>
      </c>
      <c r="AA82" s="105">
        <v>78.459999999999994</v>
      </c>
      <c r="AB82" s="105">
        <v>6.23</v>
      </c>
      <c r="AC82" s="105">
        <v>197.72</v>
      </c>
      <c r="AD82" s="105">
        <v>84.27</v>
      </c>
      <c r="AE82" s="105">
        <v>43.795000000000002</v>
      </c>
      <c r="AF82" s="105">
        <v>19</v>
      </c>
      <c r="AG82" s="105">
        <v>65.89</v>
      </c>
      <c r="AH82" s="105">
        <v>45.89</v>
      </c>
      <c r="AI82" s="105">
        <v>21.287500000000001</v>
      </c>
      <c r="AJ82" s="105">
        <v>16.3</v>
      </c>
      <c r="AK82" s="105">
        <v>19.260000000000002</v>
      </c>
      <c r="AL82" s="105">
        <v>69.83</v>
      </c>
      <c r="AM82" s="105">
        <v>133.77000000000001</v>
      </c>
      <c r="AN82" s="105">
        <v>204.94</v>
      </c>
      <c r="AO82" s="105">
        <v>60.1</v>
      </c>
      <c r="AP82" s="105">
        <v>60.97</v>
      </c>
      <c r="AQ82" s="105">
        <v>151</v>
      </c>
      <c r="AR82" s="105">
        <v>38.18</v>
      </c>
      <c r="AS82" s="105">
        <v>18.78</v>
      </c>
      <c r="AT82" s="105">
        <v>81.06</v>
      </c>
      <c r="AU82" s="105">
        <v>260.39999999999998</v>
      </c>
      <c r="AV82" s="105">
        <v>93.03</v>
      </c>
      <c r="AW82" s="105">
        <v>279.66000000000003</v>
      </c>
      <c r="AX82" s="105">
        <v>16.88</v>
      </c>
      <c r="AY82" s="105">
        <v>38.130000000000003</v>
      </c>
      <c r="AZ82" s="105">
        <v>76.961587120000004</v>
      </c>
      <c r="BA82" s="105">
        <v>45.31726278</v>
      </c>
      <c r="BB82" s="105">
        <v>89.83</v>
      </c>
      <c r="BC82" s="105">
        <v>172.15</v>
      </c>
      <c r="BD82" s="105">
        <v>133.30000000000001</v>
      </c>
    </row>
    <row r="83" spans="3:56" x14ac:dyDescent="0.25">
      <c r="C83" s="38">
        <v>43790</v>
      </c>
      <c r="D83" s="105">
        <v>179.89</v>
      </c>
      <c r="E83" s="105">
        <v>146.9</v>
      </c>
      <c r="F83" s="105">
        <v>92.16</v>
      </c>
      <c r="G83" s="105">
        <v>56.23</v>
      </c>
      <c r="H83" s="105">
        <v>143.36000000000001</v>
      </c>
      <c r="I83" s="105">
        <v>197.93</v>
      </c>
      <c r="J83" s="105">
        <v>65.502499999999998</v>
      </c>
      <c r="K83" s="105">
        <v>1734.71</v>
      </c>
      <c r="L83" s="105">
        <v>311.69</v>
      </c>
      <c r="M83" s="105">
        <v>149.47999999999999</v>
      </c>
      <c r="N83" s="105">
        <v>1300.1400000000001</v>
      </c>
      <c r="O83" s="105">
        <v>146.55000000000001</v>
      </c>
      <c r="P83" s="105">
        <v>186.63</v>
      </c>
      <c r="Q83" s="105">
        <v>272.14</v>
      </c>
      <c r="R83" s="105">
        <v>61.7</v>
      </c>
      <c r="S83" s="105">
        <v>33.67</v>
      </c>
      <c r="T83" s="105">
        <v>132.97999999999999</v>
      </c>
      <c r="U83" s="105">
        <v>60.35</v>
      </c>
      <c r="V83" s="105">
        <v>59.1</v>
      </c>
      <c r="W83" s="105">
        <v>72.209999999999994</v>
      </c>
      <c r="X83" s="105">
        <v>56.59</v>
      </c>
      <c r="Y83" s="105">
        <v>70.750869199999997</v>
      </c>
      <c r="Z83" s="105">
        <v>53.95</v>
      </c>
      <c r="AA83" s="105">
        <v>77.58</v>
      </c>
      <c r="AB83" s="105">
        <v>6.09</v>
      </c>
      <c r="AC83" s="105">
        <v>197.65</v>
      </c>
      <c r="AD83" s="105">
        <v>82.02</v>
      </c>
      <c r="AE83" s="105">
        <v>41.674999999999997</v>
      </c>
      <c r="AF83" s="105">
        <v>18.02</v>
      </c>
      <c r="AG83" s="105">
        <v>63.19</v>
      </c>
      <c r="AH83" s="105">
        <v>38.9</v>
      </c>
      <c r="AI83" s="105">
        <v>20.885000000000002</v>
      </c>
      <c r="AJ83" s="105">
        <v>16.75</v>
      </c>
      <c r="AK83" s="105">
        <v>18.63</v>
      </c>
      <c r="AL83" s="105">
        <v>71.010000000000005</v>
      </c>
      <c r="AM83" s="105">
        <v>133.84</v>
      </c>
      <c r="AN83" s="105">
        <v>201.28</v>
      </c>
      <c r="AO83" s="105">
        <v>59.61</v>
      </c>
      <c r="AP83" s="105">
        <v>59.12</v>
      </c>
      <c r="AQ83" s="105">
        <v>126.84</v>
      </c>
      <c r="AR83" s="105">
        <v>38.21</v>
      </c>
      <c r="AS83" s="105">
        <v>17.37</v>
      </c>
      <c r="AT83" s="105">
        <v>79.22</v>
      </c>
      <c r="AU83" s="105">
        <v>248.96</v>
      </c>
      <c r="AV83" s="105">
        <v>107.995</v>
      </c>
      <c r="AW83" s="105">
        <v>261.45999999999998</v>
      </c>
      <c r="AX83" s="105">
        <v>16.989999999999998</v>
      </c>
      <c r="AY83" s="105">
        <v>36.65</v>
      </c>
      <c r="AZ83" s="105">
        <v>77.214942559999997</v>
      </c>
      <c r="BA83" s="105">
        <v>43.935757559999999</v>
      </c>
      <c r="BB83" s="105">
        <v>87.52</v>
      </c>
      <c r="BC83" s="105">
        <v>167.29</v>
      </c>
      <c r="BD83" s="105">
        <v>132.29</v>
      </c>
    </row>
    <row r="84" spans="3:56" x14ac:dyDescent="0.25">
      <c r="C84" s="38">
        <v>43783</v>
      </c>
      <c r="D84" s="105">
        <v>179.75</v>
      </c>
      <c r="E84" s="105">
        <v>147.15</v>
      </c>
      <c r="F84" s="105">
        <v>91.27</v>
      </c>
      <c r="G84" s="105">
        <v>56.09</v>
      </c>
      <c r="H84" s="105">
        <v>143.44</v>
      </c>
      <c r="I84" s="105">
        <v>193.15</v>
      </c>
      <c r="J84" s="105">
        <v>65.66</v>
      </c>
      <c r="K84" s="105">
        <v>1754.6</v>
      </c>
      <c r="L84" s="105">
        <v>289.62</v>
      </c>
      <c r="M84" s="105">
        <v>148.06</v>
      </c>
      <c r="N84" s="105">
        <v>1309.1500000000001</v>
      </c>
      <c r="O84" s="105">
        <v>146.31</v>
      </c>
      <c r="P84" s="105">
        <v>182.86</v>
      </c>
      <c r="Q84" s="105">
        <v>260.44</v>
      </c>
      <c r="R84" s="105">
        <v>61.3</v>
      </c>
      <c r="S84" s="105">
        <v>33.619999999999997</v>
      </c>
      <c r="T84" s="105">
        <v>134.55000000000001</v>
      </c>
      <c r="U84" s="105">
        <v>62.39</v>
      </c>
      <c r="V84" s="105">
        <v>59.74</v>
      </c>
      <c r="W84" s="105">
        <v>75.599999999999994</v>
      </c>
      <c r="X84" s="105">
        <v>57.63</v>
      </c>
      <c r="Y84" s="105">
        <v>72.627422449999997</v>
      </c>
      <c r="Z84" s="105">
        <v>54.96</v>
      </c>
      <c r="AA84" s="105">
        <v>73.37</v>
      </c>
      <c r="AB84" s="105">
        <v>6.33</v>
      </c>
      <c r="AC84" s="105">
        <v>199.44</v>
      </c>
      <c r="AD84" s="105">
        <v>84.34</v>
      </c>
      <c r="AE84" s="105">
        <v>44.534999999999997</v>
      </c>
      <c r="AF84" s="105">
        <v>20.29</v>
      </c>
      <c r="AG84" s="105">
        <v>64.489999999999995</v>
      </c>
      <c r="AH84" s="105">
        <v>40.33</v>
      </c>
      <c r="AI84" s="105">
        <v>21.452500000000001</v>
      </c>
      <c r="AJ84" s="105">
        <v>16.46</v>
      </c>
      <c r="AK84" s="105">
        <v>19.57</v>
      </c>
      <c r="AL84" s="105">
        <v>69.680000000000007</v>
      </c>
      <c r="AM84" s="105">
        <v>134</v>
      </c>
      <c r="AN84" s="105">
        <v>203.16</v>
      </c>
      <c r="AO84" s="105">
        <v>59.34</v>
      </c>
      <c r="AP84" s="105">
        <v>59.18</v>
      </c>
      <c r="AQ84" s="105">
        <v>116.99</v>
      </c>
      <c r="AR84" s="105">
        <v>37.54</v>
      </c>
      <c r="AS84" s="105">
        <v>17.260000000000002</v>
      </c>
      <c r="AT84" s="105">
        <v>81.5</v>
      </c>
      <c r="AU84" s="105">
        <v>248.8</v>
      </c>
      <c r="AV84" s="105">
        <v>108.75</v>
      </c>
      <c r="AW84" s="105">
        <v>230.8</v>
      </c>
      <c r="AX84" s="105">
        <v>17</v>
      </c>
      <c r="AY84" s="105">
        <v>37.4</v>
      </c>
      <c r="AZ84" s="105">
        <v>78.091942160000002</v>
      </c>
      <c r="BA84" s="105">
        <v>42.46669215</v>
      </c>
      <c r="BB84" s="105">
        <v>88.95</v>
      </c>
      <c r="BC84" s="105">
        <v>170.08</v>
      </c>
      <c r="BD84" s="105">
        <v>132.02000000000001</v>
      </c>
    </row>
    <row r="85" spans="3:56" x14ac:dyDescent="0.25">
      <c r="C85" s="38">
        <v>43776</v>
      </c>
      <c r="D85" s="105">
        <v>178.43</v>
      </c>
      <c r="E85" s="105">
        <v>132.96</v>
      </c>
      <c r="F85" s="105">
        <v>90.4</v>
      </c>
      <c r="G85" s="105">
        <v>55.98</v>
      </c>
      <c r="H85" s="105">
        <v>147.01</v>
      </c>
      <c r="I85" s="105">
        <v>190.42</v>
      </c>
      <c r="J85" s="105">
        <v>64.857500000000002</v>
      </c>
      <c r="K85" s="105">
        <v>1788.2</v>
      </c>
      <c r="L85" s="105">
        <v>289.57</v>
      </c>
      <c r="M85" s="105">
        <v>144.26</v>
      </c>
      <c r="N85" s="105">
        <v>1306.94</v>
      </c>
      <c r="O85" s="105">
        <v>141.32</v>
      </c>
      <c r="P85" s="105">
        <v>190.28</v>
      </c>
      <c r="Q85" s="105">
        <v>258.94</v>
      </c>
      <c r="R85" s="105">
        <v>60.33</v>
      </c>
      <c r="S85" s="105">
        <v>33.25</v>
      </c>
      <c r="T85" s="105">
        <v>133.06</v>
      </c>
      <c r="U85" s="105">
        <v>63.81</v>
      </c>
      <c r="V85" s="105">
        <v>57.29</v>
      </c>
      <c r="W85" s="105">
        <v>76.010000000000005</v>
      </c>
      <c r="X85" s="105">
        <v>58.24</v>
      </c>
      <c r="Y85" s="105">
        <v>74.994766549999994</v>
      </c>
      <c r="Z85" s="105">
        <v>55.85</v>
      </c>
      <c r="AA85" s="105">
        <v>76.400000000000006</v>
      </c>
      <c r="AB85" s="105">
        <v>6.23</v>
      </c>
      <c r="AC85" s="105">
        <v>199.02</v>
      </c>
      <c r="AD85" s="105">
        <v>84.69</v>
      </c>
      <c r="AE85" s="105">
        <v>43.954999999999998</v>
      </c>
      <c r="AF85" s="105">
        <v>20.74</v>
      </c>
      <c r="AG85" s="105">
        <v>66.290000000000006</v>
      </c>
      <c r="AH85" s="105">
        <v>41.39</v>
      </c>
      <c r="AI85" s="105">
        <v>21.265000000000001</v>
      </c>
      <c r="AJ85" s="105">
        <v>16</v>
      </c>
      <c r="AK85" s="105">
        <v>19.574999999999999</v>
      </c>
      <c r="AL85" s="105">
        <v>65.69</v>
      </c>
      <c r="AM85" s="105">
        <v>137.69</v>
      </c>
      <c r="AN85" s="105">
        <v>200.78</v>
      </c>
      <c r="AO85" s="105">
        <v>60.53</v>
      </c>
      <c r="AP85" s="105">
        <v>59.3</v>
      </c>
      <c r="AQ85" s="105">
        <v>122.8</v>
      </c>
      <c r="AR85" s="105">
        <v>36.93</v>
      </c>
      <c r="AS85" s="105">
        <v>17.010000000000002</v>
      </c>
      <c r="AT85" s="105">
        <v>80.900000000000006</v>
      </c>
      <c r="AU85" s="105">
        <v>244.57</v>
      </c>
      <c r="AV85" s="105">
        <v>112.47</v>
      </c>
      <c r="AW85" s="105">
        <v>213</v>
      </c>
      <c r="AX85" s="105">
        <v>16.97</v>
      </c>
      <c r="AY85" s="105">
        <v>38</v>
      </c>
      <c r="AZ85" s="105">
        <v>76.942098240000007</v>
      </c>
      <c r="BA85" s="105">
        <v>44.830817279999998</v>
      </c>
      <c r="BB85" s="105">
        <v>88.17</v>
      </c>
      <c r="BC85" s="105">
        <v>168.12</v>
      </c>
      <c r="BD85" s="105">
        <v>127.48</v>
      </c>
    </row>
    <row r="86" spans="3:56" x14ac:dyDescent="0.25">
      <c r="C86" s="38">
        <v>43769</v>
      </c>
      <c r="D86" s="105">
        <v>178.86</v>
      </c>
      <c r="E86" s="105">
        <v>129.91999999999999</v>
      </c>
      <c r="F86" s="105">
        <v>89.55</v>
      </c>
      <c r="G86" s="105">
        <v>54.49</v>
      </c>
      <c r="H86" s="105">
        <v>137.80000000000001</v>
      </c>
      <c r="I86" s="105">
        <v>191.65</v>
      </c>
      <c r="J86" s="105">
        <v>62.19</v>
      </c>
      <c r="K86" s="105">
        <v>1776.66</v>
      </c>
      <c r="L86" s="105">
        <v>287.41000000000003</v>
      </c>
      <c r="M86" s="105">
        <v>143.37</v>
      </c>
      <c r="N86" s="105">
        <v>1258.8</v>
      </c>
      <c r="O86" s="105">
        <v>146.87</v>
      </c>
      <c r="P86" s="105">
        <v>190.33</v>
      </c>
      <c r="Q86" s="105">
        <v>252.29</v>
      </c>
      <c r="R86" s="105">
        <v>63.51</v>
      </c>
      <c r="S86" s="105">
        <v>33.49</v>
      </c>
      <c r="T86" s="105">
        <v>126.55</v>
      </c>
      <c r="U86" s="105">
        <v>61.84</v>
      </c>
      <c r="V86" s="105">
        <v>59.6</v>
      </c>
      <c r="W86" s="105">
        <v>71.83</v>
      </c>
      <c r="X86" s="105">
        <v>56.13</v>
      </c>
      <c r="Y86" s="105">
        <v>80.28760905</v>
      </c>
      <c r="Z86" s="105">
        <v>52.26</v>
      </c>
      <c r="AA86" s="105">
        <v>75.209999999999994</v>
      </c>
      <c r="AB86" s="105">
        <v>6.17</v>
      </c>
      <c r="AC86" s="105">
        <v>200.18</v>
      </c>
      <c r="AD86" s="105">
        <v>76.400000000000006</v>
      </c>
      <c r="AE86" s="105">
        <v>43.945</v>
      </c>
      <c r="AF86" s="105">
        <v>19.88</v>
      </c>
      <c r="AG86" s="105">
        <v>63.88</v>
      </c>
      <c r="AH86" s="105">
        <v>38.93</v>
      </c>
      <c r="AI86" s="105">
        <v>22.737500000000001</v>
      </c>
      <c r="AJ86" s="105">
        <v>16.96</v>
      </c>
      <c r="AK86" s="105">
        <v>19.3</v>
      </c>
      <c r="AL86" s="105">
        <v>62.9</v>
      </c>
      <c r="AM86" s="105">
        <v>133.72999999999999</v>
      </c>
      <c r="AN86" s="105">
        <v>216.27</v>
      </c>
      <c r="AO86" s="105">
        <v>60.47</v>
      </c>
      <c r="AP86" s="105">
        <v>57.65</v>
      </c>
      <c r="AQ86" s="105">
        <v>119.96</v>
      </c>
      <c r="AR86" s="105">
        <v>39.729999999999997</v>
      </c>
      <c r="AS86" s="105">
        <v>19.149999999999999</v>
      </c>
      <c r="AT86" s="105">
        <v>79.87</v>
      </c>
      <c r="AU86" s="105">
        <v>256</v>
      </c>
      <c r="AV86" s="105">
        <v>110.4</v>
      </c>
      <c r="AW86" s="105">
        <v>211.53</v>
      </c>
      <c r="AX86" s="105">
        <v>15.84</v>
      </c>
      <c r="AY86" s="105">
        <v>37.020000000000003</v>
      </c>
      <c r="AZ86" s="105">
        <v>74.730110359999998</v>
      </c>
      <c r="BA86" s="105">
        <v>46.085846670000002</v>
      </c>
      <c r="BB86" s="105">
        <v>92.84</v>
      </c>
      <c r="BC86" s="105">
        <v>167.33</v>
      </c>
      <c r="BD86" s="105">
        <v>126.07</v>
      </c>
    </row>
    <row r="87" spans="3:56" x14ac:dyDescent="0.25">
      <c r="C87" s="38">
        <v>43762</v>
      </c>
      <c r="D87" s="105">
        <v>176.16</v>
      </c>
      <c r="E87" s="105">
        <v>130.26</v>
      </c>
      <c r="F87" s="105">
        <v>91.5</v>
      </c>
      <c r="G87" s="105">
        <v>54.26</v>
      </c>
      <c r="H87" s="105">
        <v>133.85</v>
      </c>
      <c r="I87" s="105">
        <v>186.38</v>
      </c>
      <c r="J87" s="105">
        <v>60.895000000000003</v>
      </c>
      <c r="K87" s="105">
        <v>1780.78</v>
      </c>
      <c r="L87" s="105">
        <v>271.5</v>
      </c>
      <c r="M87" s="105">
        <v>139.94</v>
      </c>
      <c r="N87" s="105">
        <v>1259.1099999999999</v>
      </c>
      <c r="O87" s="105">
        <v>146.37</v>
      </c>
      <c r="P87" s="105">
        <v>196.69</v>
      </c>
      <c r="Q87" s="105">
        <v>249.47</v>
      </c>
      <c r="R87" s="105">
        <v>64.540000000000006</v>
      </c>
      <c r="S87" s="105">
        <v>33.130000000000003</v>
      </c>
      <c r="T87" s="105">
        <v>124.3</v>
      </c>
      <c r="U87" s="105">
        <v>61.16</v>
      </c>
      <c r="V87" s="105">
        <v>61.97</v>
      </c>
      <c r="W87" s="105">
        <v>72.12</v>
      </c>
      <c r="X87" s="105">
        <v>56.29</v>
      </c>
      <c r="Y87" s="105">
        <v>82.924406950000005</v>
      </c>
      <c r="Z87" s="105">
        <v>51.03</v>
      </c>
      <c r="AA87" s="105">
        <v>74.489999999999995</v>
      </c>
      <c r="AB87" s="105">
        <v>6.16</v>
      </c>
      <c r="AC87" s="105">
        <v>176.13</v>
      </c>
      <c r="AD87" s="105">
        <v>78.180000000000007</v>
      </c>
      <c r="AE87" s="105">
        <v>46.015000000000001</v>
      </c>
      <c r="AF87" s="105">
        <v>19.920000000000002</v>
      </c>
      <c r="AG87" s="105">
        <v>63.33</v>
      </c>
      <c r="AH87" s="105">
        <v>39.92</v>
      </c>
      <c r="AI87" s="105">
        <v>20.27</v>
      </c>
      <c r="AJ87" s="105">
        <v>16.75</v>
      </c>
      <c r="AK87" s="105">
        <v>18.43</v>
      </c>
      <c r="AL87" s="105">
        <v>72.19</v>
      </c>
      <c r="AM87" s="105">
        <v>134.07</v>
      </c>
      <c r="AN87" s="105">
        <v>211.41</v>
      </c>
      <c r="AO87" s="105">
        <v>60.58</v>
      </c>
      <c r="AP87" s="105">
        <v>59.11</v>
      </c>
      <c r="AQ87" s="105">
        <v>119.69</v>
      </c>
      <c r="AR87" s="105">
        <v>39.1</v>
      </c>
      <c r="AS87" s="105">
        <v>18.25</v>
      </c>
      <c r="AT87" s="105">
        <v>78.95</v>
      </c>
      <c r="AU87" s="105">
        <v>245.9</v>
      </c>
      <c r="AV87" s="105">
        <v>115.6</v>
      </c>
      <c r="AW87" s="105">
        <v>203.5</v>
      </c>
      <c r="AX87" s="105">
        <v>15.72</v>
      </c>
      <c r="AY87" s="105">
        <v>35.96</v>
      </c>
      <c r="AZ87" s="105">
        <v>73.628988640000003</v>
      </c>
      <c r="BA87" s="105">
        <v>46.73768364</v>
      </c>
      <c r="BB87" s="105">
        <v>95.21</v>
      </c>
      <c r="BC87" s="105">
        <v>154.38</v>
      </c>
      <c r="BD87" s="105">
        <v>126.36</v>
      </c>
    </row>
    <row r="88" spans="3:56" x14ac:dyDescent="0.25">
      <c r="C88" s="38">
        <v>43755</v>
      </c>
      <c r="D88" s="105">
        <v>177.94</v>
      </c>
      <c r="E88" s="105">
        <v>132.37</v>
      </c>
      <c r="F88" s="105">
        <v>95.56</v>
      </c>
      <c r="G88" s="105">
        <v>55.06</v>
      </c>
      <c r="H88" s="105">
        <v>132.07</v>
      </c>
      <c r="I88" s="105">
        <v>190.39</v>
      </c>
      <c r="J88" s="105">
        <v>58.82</v>
      </c>
      <c r="K88" s="105">
        <v>1787.48</v>
      </c>
      <c r="L88" s="105">
        <v>293.35000000000002</v>
      </c>
      <c r="M88" s="105">
        <v>139.69</v>
      </c>
      <c r="N88" s="105">
        <v>1252.8</v>
      </c>
      <c r="O88" s="105">
        <v>152.72999999999999</v>
      </c>
      <c r="P88" s="105">
        <v>197.29</v>
      </c>
      <c r="Q88" s="105">
        <v>213.92</v>
      </c>
      <c r="R88" s="105">
        <v>63.67</v>
      </c>
      <c r="S88" s="105">
        <v>32.090000000000003</v>
      </c>
      <c r="T88" s="105">
        <v>120.57</v>
      </c>
      <c r="U88" s="105">
        <v>57.35</v>
      </c>
      <c r="V88" s="105">
        <v>61.05</v>
      </c>
      <c r="W88" s="105">
        <v>69.88</v>
      </c>
      <c r="X88" s="105">
        <v>53.86</v>
      </c>
      <c r="Y88" s="105">
        <v>87.610978399999993</v>
      </c>
      <c r="Z88" s="105">
        <v>50.05</v>
      </c>
      <c r="AA88" s="105">
        <v>74.599999999999994</v>
      </c>
      <c r="AB88" s="105">
        <v>6.24</v>
      </c>
      <c r="AC88" s="105">
        <v>173.64</v>
      </c>
      <c r="AD88" s="105">
        <v>76.97</v>
      </c>
      <c r="AE88" s="105">
        <v>45.24</v>
      </c>
      <c r="AF88" s="105">
        <v>19.64</v>
      </c>
      <c r="AG88" s="105">
        <v>63.16</v>
      </c>
      <c r="AH88" s="105">
        <v>39.17</v>
      </c>
      <c r="AI88" s="105">
        <v>20.662500000000001</v>
      </c>
      <c r="AJ88" s="105">
        <v>16.86</v>
      </c>
      <c r="AK88" s="105">
        <v>17.190000000000001</v>
      </c>
      <c r="AL88" s="105">
        <v>70.56</v>
      </c>
      <c r="AM88" s="105">
        <v>134.26</v>
      </c>
      <c r="AN88" s="105">
        <v>215.56</v>
      </c>
      <c r="AO88" s="105">
        <v>60.41</v>
      </c>
      <c r="AP88" s="105">
        <v>60.49</v>
      </c>
      <c r="AQ88" s="105">
        <v>113.2</v>
      </c>
      <c r="AR88" s="105">
        <v>38.31</v>
      </c>
      <c r="AS88" s="105">
        <v>18.88</v>
      </c>
      <c r="AT88" s="105">
        <v>79.209999999999994</v>
      </c>
      <c r="AU88" s="105">
        <v>256.8</v>
      </c>
      <c r="AV88" s="105">
        <v>117.37</v>
      </c>
      <c r="AW88" s="105">
        <v>210.19</v>
      </c>
      <c r="AX88" s="105">
        <v>15.11</v>
      </c>
      <c r="AY88" s="105">
        <v>36.53</v>
      </c>
      <c r="AZ88" s="105">
        <v>71.611889559999995</v>
      </c>
      <c r="BA88" s="105">
        <v>45.648045719999999</v>
      </c>
      <c r="BB88" s="105">
        <v>94.63</v>
      </c>
      <c r="BC88" s="105">
        <v>152.41999999999999</v>
      </c>
      <c r="BD88" s="105">
        <v>125.94</v>
      </c>
    </row>
    <row r="89" spans="3:56" x14ac:dyDescent="0.25">
      <c r="C89" s="38">
        <v>43748</v>
      </c>
      <c r="D89" s="105">
        <v>174.88</v>
      </c>
      <c r="E89" s="105">
        <v>129.34</v>
      </c>
      <c r="F89" s="105">
        <v>93</v>
      </c>
      <c r="G89" s="105">
        <v>55.49</v>
      </c>
      <c r="H89" s="105">
        <v>122.69</v>
      </c>
      <c r="I89" s="105">
        <v>180.03</v>
      </c>
      <c r="J89" s="105">
        <v>57.522500000000001</v>
      </c>
      <c r="K89" s="105">
        <v>1720.26</v>
      </c>
      <c r="L89" s="105">
        <v>280.48</v>
      </c>
      <c r="M89" s="105">
        <v>139.1</v>
      </c>
      <c r="N89" s="105">
        <v>1209.47</v>
      </c>
      <c r="O89" s="105">
        <v>156.30000000000001</v>
      </c>
      <c r="P89" s="105">
        <v>192.71</v>
      </c>
      <c r="Q89" s="105">
        <v>194.17</v>
      </c>
      <c r="R89" s="105">
        <v>63.95</v>
      </c>
      <c r="S89" s="105">
        <v>30.56</v>
      </c>
      <c r="T89" s="105">
        <v>118.19</v>
      </c>
      <c r="U89" s="105">
        <v>54.79</v>
      </c>
      <c r="V89" s="105">
        <v>58.85</v>
      </c>
      <c r="W89" s="105">
        <v>66.73</v>
      </c>
      <c r="X89" s="105">
        <v>53.67</v>
      </c>
      <c r="Y89" s="105">
        <v>84.877947000000006</v>
      </c>
      <c r="Z89" s="105">
        <v>46.25</v>
      </c>
      <c r="AA89" s="105">
        <v>74.31</v>
      </c>
      <c r="AB89" s="105">
        <v>6.1</v>
      </c>
      <c r="AC89" s="105">
        <v>164.83</v>
      </c>
      <c r="AD89" s="105">
        <v>71.040000000000006</v>
      </c>
      <c r="AE89" s="105">
        <v>44.274999999999999</v>
      </c>
      <c r="AF89" s="105">
        <v>19.34</v>
      </c>
      <c r="AG89" s="105">
        <v>58.81</v>
      </c>
      <c r="AH89" s="105">
        <v>39.200000000000003</v>
      </c>
      <c r="AI89" s="105">
        <v>18.672499999999999</v>
      </c>
      <c r="AJ89" s="105">
        <v>16.454999999999998</v>
      </c>
      <c r="AK89" s="105">
        <v>16.895</v>
      </c>
      <c r="AL89" s="105">
        <v>74.19</v>
      </c>
      <c r="AM89" s="105">
        <v>141.13</v>
      </c>
      <c r="AN89" s="105">
        <v>211.29</v>
      </c>
      <c r="AO89" s="105">
        <v>59.83</v>
      </c>
      <c r="AP89" s="105">
        <v>57.43</v>
      </c>
      <c r="AQ89" s="105">
        <v>118.15</v>
      </c>
      <c r="AR89" s="105">
        <v>38.94</v>
      </c>
      <c r="AS89" s="105">
        <v>18.47</v>
      </c>
      <c r="AT89" s="105">
        <v>78.23</v>
      </c>
      <c r="AU89" s="105">
        <v>248.54</v>
      </c>
      <c r="AV89" s="105">
        <v>113.91</v>
      </c>
      <c r="AW89" s="105">
        <v>214.18</v>
      </c>
      <c r="AX89" s="105">
        <v>14.81</v>
      </c>
      <c r="AY89" s="105">
        <v>34.43</v>
      </c>
      <c r="AZ89" s="105">
        <v>70.286645719999996</v>
      </c>
      <c r="BA89" s="105">
        <v>44.363829600000003</v>
      </c>
      <c r="BB89" s="105">
        <v>94.23</v>
      </c>
      <c r="BC89" s="105">
        <v>149.33000000000001</v>
      </c>
      <c r="BD89" s="105">
        <v>125.54</v>
      </c>
    </row>
    <row r="90" spans="3:56" x14ac:dyDescent="0.25">
      <c r="C90" s="38">
        <v>43741</v>
      </c>
      <c r="D90" s="105">
        <v>172.87</v>
      </c>
      <c r="E90" s="105">
        <v>128.15</v>
      </c>
      <c r="F90" s="105">
        <v>92.22</v>
      </c>
      <c r="G90" s="105">
        <v>53.86</v>
      </c>
      <c r="H90" s="105">
        <v>120.04</v>
      </c>
      <c r="I90" s="105">
        <v>179.38</v>
      </c>
      <c r="J90" s="105">
        <v>55.204999999999998</v>
      </c>
      <c r="K90" s="105">
        <v>1724.42</v>
      </c>
      <c r="L90" s="105">
        <v>268.14999999999998</v>
      </c>
      <c r="M90" s="105">
        <v>136.28</v>
      </c>
      <c r="N90" s="105">
        <v>1189.43</v>
      </c>
      <c r="O90" s="105">
        <v>155.47999999999999</v>
      </c>
      <c r="P90" s="105">
        <v>194.26</v>
      </c>
      <c r="Q90" s="105">
        <v>184.77</v>
      </c>
      <c r="R90" s="105">
        <v>63.465000000000003</v>
      </c>
      <c r="S90" s="105">
        <v>30.57</v>
      </c>
      <c r="T90" s="105">
        <v>119.02</v>
      </c>
      <c r="U90" s="105">
        <v>55.95</v>
      </c>
      <c r="V90" s="105">
        <v>58.51</v>
      </c>
      <c r="W90" s="105">
        <v>65.66</v>
      </c>
      <c r="X90" s="105">
        <v>52.26</v>
      </c>
      <c r="Y90" s="105">
        <v>85.426477950000006</v>
      </c>
      <c r="Z90" s="105">
        <v>49.88</v>
      </c>
      <c r="AA90" s="105">
        <v>70.760000000000005</v>
      </c>
      <c r="AB90" s="105">
        <v>5.81</v>
      </c>
      <c r="AC90" s="105">
        <v>162.69999999999999</v>
      </c>
      <c r="AD90" s="105">
        <v>68.64</v>
      </c>
      <c r="AE90" s="105">
        <v>44.17</v>
      </c>
      <c r="AF90" s="105">
        <v>19.73</v>
      </c>
      <c r="AG90" s="105">
        <v>56.43</v>
      </c>
      <c r="AH90" s="105">
        <v>38.9</v>
      </c>
      <c r="AI90" s="105">
        <v>18.760000000000002</v>
      </c>
      <c r="AJ90" s="105">
        <v>15.775</v>
      </c>
      <c r="AK90" s="105">
        <v>16.02</v>
      </c>
      <c r="AL90" s="105">
        <v>73.95</v>
      </c>
      <c r="AM90" s="105">
        <v>142.02000000000001</v>
      </c>
      <c r="AN90" s="105">
        <v>213.13</v>
      </c>
      <c r="AO90" s="105">
        <v>59.01</v>
      </c>
      <c r="AP90" s="105">
        <v>53.98</v>
      </c>
      <c r="AQ90" s="105">
        <v>118.93</v>
      </c>
      <c r="AR90" s="105">
        <v>38.119999999999997</v>
      </c>
      <c r="AS90" s="105">
        <v>18.829999999999998</v>
      </c>
      <c r="AT90" s="105">
        <v>77.95</v>
      </c>
      <c r="AU90" s="105">
        <v>250.91</v>
      </c>
      <c r="AV90" s="105">
        <v>112.92</v>
      </c>
      <c r="AW90" s="105">
        <v>209.13</v>
      </c>
      <c r="AX90" s="105">
        <v>14</v>
      </c>
      <c r="AY90" s="105">
        <v>31.5</v>
      </c>
      <c r="AZ90" s="105">
        <v>70.51076784</v>
      </c>
      <c r="BA90" s="105">
        <v>46.45554525</v>
      </c>
      <c r="BB90" s="105">
        <v>94.8</v>
      </c>
      <c r="BC90" s="105">
        <v>146.80000000000001</v>
      </c>
      <c r="BD90" s="105">
        <v>123.7</v>
      </c>
    </row>
    <row r="91" spans="3:56" x14ac:dyDescent="0.25">
      <c r="C91" s="38">
        <v>43734</v>
      </c>
      <c r="D91" s="105">
        <v>175.65</v>
      </c>
      <c r="E91" s="105">
        <v>131.27000000000001</v>
      </c>
      <c r="F91" s="105">
        <v>92.17</v>
      </c>
      <c r="G91" s="105">
        <v>53.96</v>
      </c>
      <c r="H91" s="105">
        <v>126.39</v>
      </c>
      <c r="I91" s="105">
        <v>180.11</v>
      </c>
      <c r="J91" s="105">
        <v>54.972499999999997</v>
      </c>
      <c r="K91" s="105">
        <v>1739.84</v>
      </c>
      <c r="L91" s="105">
        <v>263.31</v>
      </c>
      <c r="M91" s="105">
        <v>139.54</v>
      </c>
      <c r="N91" s="105">
        <v>1242.29</v>
      </c>
      <c r="O91" s="105">
        <v>154.28</v>
      </c>
      <c r="P91" s="105">
        <v>206.07</v>
      </c>
      <c r="Q91" s="105">
        <v>178.99</v>
      </c>
      <c r="R91" s="105">
        <v>65.569999999999993</v>
      </c>
      <c r="S91" s="105">
        <v>31.71</v>
      </c>
      <c r="T91" s="105">
        <v>121.67</v>
      </c>
      <c r="U91" s="105">
        <v>55.88</v>
      </c>
      <c r="V91" s="105">
        <v>55.57</v>
      </c>
      <c r="W91" s="105">
        <v>66.959999999999994</v>
      </c>
      <c r="X91" s="105">
        <v>54.58</v>
      </c>
      <c r="Y91" s="105">
        <v>83.193860749999999</v>
      </c>
      <c r="Z91" s="105">
        <v>48.86</v>
      </c>
      <c r="AA91" s="105">
        <v>69.069999999999993</v>
      </c>
      <c r="AB91" s="105">
        <v>6</v>
      </c>
      <c r="AC91" s="105">
        <v>176.53</v>
      </c>
      <c r="AD91" s="105">
        <v>70.760000000000005</v>
      </c>
      <c r="AE91" s="105">
        <v>44.43</v>
      </c>
      <c r="AF91" s="105">
        <v>19.95</v>
      </c>
      <c r="AG91" s="105">
        <v>60.93</v>
      </c>
      <c r="AH91" s="105">
        <v>39.79</v>
      </c>
      <c r="AI91" s="105">
        <v>18.797499999999999</v>
      </c>
      <c r="AJ91" s="105">
        <v>16.829999999999998</v>
      </c>
      <c r="AK91" s="105">
        <v>16.940000000000001</v>
      </c>
      <c r="AL91" s="105">
        <v>76.36</v>
      </c>
      <c r="AM91" s="105">
        <v>143.55000000000001</v>
      </c>
      <c r="AN91" s="105">
        <v>216.39</v>
      </c>
      <c r="AO91" s="105">
        <v>60.44</v>
      </c>
      <c r="AP91" s="105">
        <v>55.22</v>
      </c>
      <c r="AQ91" s="105">
        <v>119.57</v>
      </c>
      <c r="AR91" s="105">
        <v>39.369999999999997</v>
      </c>
      <c r="AS91" s="105">
        <v>19.760000000000002</v>
      </c>
      <c r="AT91" s="105">
        <v>78.8</v>
      </c>
      <c r="AU91" s="105">
        <v>250.54</v>
      </c>
      <c r="AV91" s="105">
        <v>112.46</v>
      </c>
      <c r="AW91" s="105">
        <v>212.3</v>
      </c>
      <c r="AX91" s="105">
        <v>13.45</v>
      </c>
      <c r="AY91" s="105">
        <v>32.33</v>
      </c>
      <c r="AZ91" s="105">
        <v>73.658221960000006</v>
      </c>
      <c r="BA91" s="105">
        <v>46.912804020000003</v>
      </c>
      <c r="BB91" s="105">
        <v>96.27</v>
      </c>
      <c r="BC91" s="105">
        <v>149.47999999999999</v>
      </c>
      <c r="BD91" s="105">
        <v>126.8</v>
      </c>
    </row>
    <row r="92" spans="3:56" x14ac:dyDescent="0.25">
      <c r="C92" s="38">
        <v>43727</v>
      </c>
      <c r="D92" s="105">
        <v>175.96</v>
      </c>
      <c r="E92" s="105">
        <v>133.30000000000001</v>
      </c>
      <c r="F92" s="105">
        <v>87.7</v>
      </c>
      <c r="G92" s="105">
        <v>53.37</v>
      </c>
      <c r="H92" s="105">
        <v>130.12</v>
      </c>
      <c r="I92" s="105">
        <v>190.14</v>
      </c>
      <c r="J92" s="105">
        <v>55.24</v>
      </c>
      <c r="K92" s="105">
        <v>1821.5</v>
      </c>
      <c r="L92" s="105">
        <v>286.60000000000002</v>
      </c>
      <c r="M92" s="105">
        <v>141.07</v>
      </c>
      <c r="N92" s="105">
        <v>1238.75</v>
      </c>
      <c r="O92" s="105">
        <v>153.44999999999999</v>
      </c>
      <c r="P92" s="105">
        <v>207.34</v>
      </c>
      <c r="Q92" s="105">
        <v>180.36</v>
      </c>
      <c r="R92" s="105">
        <v>64.260000000000005</v>
      </c>
      <c r="S92" s="105">
        <v>31.54</v>
      </c>
      <c r="T92" s="105">
        <v>129.55000000000001</v>
      </c>
      <c r="U92" s="105">
        <v>57.58</v>
      </c>
      <c r="V92" s="105">
        <v>53.79</v>
      </c>
      <c r="W92" s="105">
        <v>67.59</v>
      </c>
      <c r="X92" s="105">
        <v>55.08</v>
      </c>
      <c r="Y92" s="105">
        <v>84.175442450000006</v>
      </c>
      <c r="Z92" s="105">
        <v>48.73</v>
      </c>
      <c r="AA92" s="105">
        <v>71.86</v>
      </c>
      <c r="AB92" s="105">
        <v>6.12</v>
      </c>
      <c r="AC92" s="105">
        <v>183.05</v>
      </c>
      <c r="AD92" s="105">
        <v>73.06</v>
      </c>
      <c r="AE92" s="105">
        <v>43.424999999999997</v>
      </c>
      <c r="AF92" s="105">
        <v>20.99</v>
      </c>
      <c r="AG92" s="105">
        <v>61.7</v>
      </c>
      <c r="AH92" s="105">
        <v>37.54</v>
      </c>
      <c r="AI92" s="105">
        <v>19.41</v>
      </c>
      <c r="AJ92" s="105">
        <v>19.649999999999999</v>
      </c>
      <c r="AK92" s="105">
        <v>17.11</v>
      </c>
      <c r="AL92" s="105">
        <v>72.63</v>
      </c>
      <c r="AM92" s="105">
        <v>142.97</v>
      </c>
      <c r="AN92" s="105">
        <v>221.05</v>
      </c>
      <c r="AO92" s="105">
        <v>59.98</v>
      </c>
      <c r="AP92" s="105">
        <v>56.46</v>
      </c>
      <c r="AQ92" s="105">
        <v>121.88</v>
      </c>
      <c r="AR92" s="105">
        <v>39.39</v>
      </c>
      <c r="AS92" s="105">
        <v>21</v>
      </c>
      <c r="AT92" s="105">
        <v>78.39</v>
      </c>
      <c r="AU92" s="105">
        <v>256.38</v>
      </c>
      <c r="AV92" s="105">
        <v>111.74</v>
      </c>
      <c r="AW92" s="105">
        <v>219.32</v>
      </c>
      <c r="AX92" s="105">
        <v>14.01</v>
      </c>
      <c r="AY92" s="105">
        <v>33.119999999999997</v>
      </c>
      <c r="AZ92" s="105">
        <v>75.090654639999997</v>
      </c>
      <c r="BA92" s="105">
        <v>48.508345259999999</v>
      </c>
      <c r="BB92" s="105">
        <v>94.01</v>
      </c>
      <c r="BC92" s="105">
        <v>151.43</v>
      </c>
      <c r="BD92" s="105">
        <v>126.23</v>
      </c>
    </row>
    <row r="93" spans="3:56" x14ac:dyDescent="0.25">
      <c r="C93" s="38">
        <v>43720</v>
      </c>
      <c r="D93" s="105">
        <v>177.98</v>
      </c>
      <c r="E93" s="105">
        <v>137.5</v>
      </c>
      <c r="F93" s="105">
        <v>87.67</v>
      </c>
      <c r="G93" s="105">
        <v>53.89</v>
      </c>
      <c r="H93" s="105">
        <v>131.75</v>
      </c>
      <c r="I93" s="105">
        <v>187.47</v>
      </c>
      <c r="J93" s="105">
        <v>55.771250000000002</v>
      </c>
      <c r="K93" s="105">
        <v>1843.55</v>
      </c>
      <c r="L93" s="105">
        <v>288.86</v>
      </c>
      <c r="M93" s="105">
        <v>137.52000000000001</v>
      </c>
      <c r="N93" s="105">
        <v>1234.97</v>
      </c>
      <c r="O93" s="105">
        <v>151.26</v>
      </c>
      <c r="P93" s="105">
        <v>203.97</v>
      </c>
      <c r="Q93" s="105">
        <v>174.62</v>
      </c>
      <c r="R93" s="105">
        <v>63.07</v>
      </c>
      <c r="S93" s="105">
        <v>30.88</v>
      </c>
      <c r="T93" s="105">
        <v>132.51</v>
      </c>
      <c r="U93" s="105">
        <v>60.15</v>
      </c>
      <c r="V93" s="105">
        <v>54.58</v>
      </c>
      <c r="W93" s="105">
        <v>67.86</v>
      </c>
      <c r="X93" s="105">
        <v>54.98</v>
      </c>
      <c r="Y93" s="105">
        <v>84.983803850000001</v>
      </c>
      <c r="Z93" s="105">
        <v>50.46</v>
      </c>
      <c r="AA93" s="105">
        <v>72.150000000000006</v>
      </c>
      <c r="AB93" s="105">
        <v>5.88</v>
      </c>
      <c r="AC93" s="105">
        <v>183.49</v>
      </c>
      <c r="AD93" s="105">
        <v>74.92</v>
      </c>
      <c r="AE93" s="105">
        <v>44.505000000000003</v>
      </c>
      <c r="AF93" s="105">
        <v>21.98</v>
      </c>
      <c r="AG93" s="105">
        <v>63.14</v>
      </c>
      <c r="AH93" s="105">
        <v>38.61</v>
      </c>
      <c r="AI93" s="105">
        <v>19.555</v>
      </c>
      <c r="AJ93" s="105">
        <v>20.43</v>
      </c>
      <c r="AK93" s="105">
        <v>17.16</v>
      </c>
      <c r="AL93" s="105">
        <v>72.540000000000006</v>
      </c>
      <c r="AM93" s="105">
        <v>143.62</v>
      </c>
      <c r="AN93" s="105">
        <v>220.04</v>
      </c>
      <c r="AO93" s="105">
        <v>60.43</v>
      </c>
      <c r="AP93" s="105">
        <v>56.75</v>
      </c>
      <c r="AQ93" s="105">
        <v>113.91</v>
      </c>
      <c r="AR93" s="105">
        <v>38.659999999999997</v>
      </c>
      <c r="AS93" s="105">
        <v>22.24</v>
      </c>
      <c r="AT93" s="105">
        <v>77.72</v>
      </c>
      <c r="AU93" s="105">
        <v>262.14999999999998</v>
      </c>
      <c r="AV93" s="105">
        <v>111.94</v>
      </c>
      <c r="AW93" s="105">
        <v>212.51</v>
      </c>
      <c r="AX93" s="105">
        <v>14.01</v>
      </c>
      <c r="AY93" s="105">
        <v>31.51</v>
      </c>
      <c r="AZ93" s="105">
        <v>73.882344079999996</v>
      </c>
      <c r="BA93" s="105">
        <v>45.90099738</v>
      </c>
      <c r="BB93" s="105">
        <v>91.08</v>
      </c>
      <c r="BC93" s="105">
        <v>151.72999999999999</v>
      </c>
      <c r="BD93" s="105">
        <v>125.6</v>
      </c>
    </row>
    <row r="94" spans="3:56" x14ac:dyDescent="0.25">
      <c r="C94" s="38">
        <v>43713</v>
      </c>
      <c r="D94" s="105">
        <v>184.73</v>
      </c>
      <c r="E94" s="105">
        <v>138.84</v>
      </c>
      <c r="F94" s="105">
        <v>88.42</v>
      </c>
      <c r="G94" s="105">
        <v>53.84</v>
      </c>
      <c r="H94" s="105">
        <v>122.99</v>
      </c>
      <c r="I94" s="105">
        <v>190.9</v>
      </c>
      <c r="J94" s="105">
        <v>53.32</v>
      </c>
      <c r="K94" s="105">
        <v>1840.72</v>
      </c>
      <c r="L94" s="105">
        <v>293.25</v>
      </c>
      <c r="M94" s="105">
        <v>140.05000000000001</v>
      </c>
      <c r="N94" s="105">
        <v>1212.19</v>
      </c>
      <c r="O94" s="105">
        <v>160.30000000000001</v>
      </c>
      <c r="P94" s="105">
        <v>204.93</v>
      </c>
      <c r="Q94" s="105">
        <v>177.11</v>
      </c>
      <c r="R94" s="105">
        <v>65.150000000000006</v>
      </c>
      <c r="S94" s="105">
        <v>30.11</v>
      </c>
      <c r="T94" s="105">
        <v>128.46</v>
      </c>
      <c r="U94" s="105">
        <v>56.13</v>
      </c>
      <c r="V94" s="105">
        <v>51.69</v>
      </c>
      <c r="W94" s="105">
        <v>65.760000000000005</v>
      </c>
      <c r="X94" s="105">
        <v>52.52</v>
      </c>
      <c r="Y94" s="105">
        <v>96.175759900000003</v>
      </c>
      <c r="Z94" s="105">
        <v>49.66</v>
      </c>
      <c r="AA94" s="105">
        <v>71.47</v>
      </c>
      <c r="AB94" s="105">
        <v>5.64</v>
      </c>
      <c r="AC94" s="105">
        <v>222.08</v>
      </c>
      <c r="AD94" s="105">
        <v>71.83</v>
      </c>
      <c r="AE94" s="105">
        <v>43.435000000000002</v>
      </c>
      <c r="AF94" s="105">
        <v>19.38</v>
      </c>
      <c r="AG94" s="105">
        <v>59.2</v>
      </c>
      <c r="AH94" s="105">
        <v>35.94</v>
      </c>
      <c r="AI94" s="105">
        <v>18.98</v>
      </c>
      <c r="AJ94" s="105">
        <v>19.14</v>
      </c>
      <c r="AK94" s="105">
        <v>16.52</v>
      </c>
      <c r="AL94" s="105">
        <v>71.31</v>
      </c>
      <c r="AM94" s="105">
        <v>140.97</v>
      </c>
      <c r="AN94" s="105">
        <v>220.22</v>
      </c>
      <c r="AO94" s="105">
        <v>58.59</v>
      </c>
      <c r="AP94" s="105">
        <v>55.77</v>
      </c>
      <c r="AQ94" s="105">
        <v>110.68</v>
      </c>
      <c r="AR94" s="105">
        <v>39.340000000000003</v>
      </c>
      <c r="AS94" s="105">
        <v>20.22</v>
      </c>
      <c r="AT94" s="105">
        <v>74.38</v>
      </c>
      <c r="AU94" s="105">
        <v>258.48</v>
      </c>
      <c r="AV94" s="105">
        <v>107.63</v>
      </c>
      <c r="AW94" s="105">
        <v>252.69</v>
      </c>
      <c r="AX94" s="105">
        <v>13.59</v>
      </c>
      <c r="AY94" s="105">
        <v>30.25</v>
      </c>
      <c r="AZ94" s="105">
        <v>68.542390960000006</v>
      </c>
      <c r="BA94" s="105">
        <v>46.659852360000002</v>
      </c>
      <c r="BB94" s="105">
        <v>91.52</v>
      </c>
      <c r="BC94" s="105">
        <v>147.43</v>
      </c>
      <c r="BD94" s="105">
        <v>123.85</v>
      </c>
    </row>
    <row r="95" spans="3:56" x14ac:dyDescent="0.25">
      <c r="C95" s="38">
        <v>43706</v>
      </c>
      <c r="D95" s="105">
        <v>181.17</v>
      </c>
      <c r="E95" s="105">
        <v>137.84</v>
      </c>
      <c r="F95" s="105">
        <v>85.38</v>
      </c>
      <c r="G95" s="105">
        <v>52.16</v>
      </c>
      <c r="H95" s="105">
        <v>117.77</v>
      </c>
      <c r="I95" s="105">
        <v>185.57</v>
      </c>
      <c r="J95" s="105">
        <v>52.252499999999998</v>
      </c>
      <c r="K95" s="105">
        <v>1786.4</v>
      </c>
      <c r="L95" s="105">
        <v>296.77999999999997</v>
      </c>
      <c r="M95" s="105">
        <v>138.12</v>
      </c>
      <c r="N95" s="105">
        <v>1194.24</v>
      </c>
      <c r="O95" s="105">
        <v>157.99</v>
      </c>
      <c r="P95" s="105">
        <v>204.63</v>
      </c>
      <c r="Q95" s="105">
        <v>179.95</v>
      </c>
      <c r="R95" s="105">
        <v>64.599999999999994</v>
      </c>
      <c r="S95" s="105">
        <v>29.31</v>
      </c>
      <c r="T95" s="105">
        <v>125.73</v>
      </c>
      <c r="U95" s="105">
        <v>55.14</v>
      </c>
      <c r="V95" s="105">
        <v>51.21</v>
      </c>
      <c r="W95" s="105">
        <v>63.49</v>
      </c>
      <c r="X95" s="105">
        <v>52.3</v>
      </c>
      <c r="Y95" s="105">
        <v>99.543932400000003</v>
      </c>
      <c r="Z95" s="105">
        <v>47.89</v>
      </c>
      <c r="AA95" s="105">
        <v>70.599999999999994</v>
      </c>
      <c r="AB95" s="105">
        <v>5.79</v>
      </c>
      <c r="AC95" s="105">
        <v>206.91</v>
      </c>
      <c r="AD95" s="105">
        <v>69.84</v>
      </c>
      <c r="AE95" s="105">
        <v>42.9</v>
      </c>
      <c r="AF95" s="105">
        <v>18.37</v>
      </c>
      <c r="AG95" s="105">
        <v>56.36</v>
      </c>
      <c r="AH95" s="105">
        <v>34.659999999999997</v>
      </c>
      <c r="AI95" s="105">
        <v>19.29</v>
      </c>
      <c r="AJ95" s="105">
        <v>18.34</v>
      </c>
      <c r="AK95" s="105">
        <v>17.350000000000001</v>
      </c>
      <c r="AL95" s="105">
        <v>72.23</v>
      </c>
      <c r="AM95" s="105">
        <v>134.88</v>
      </c>
      <c r="AN95" s="105">
        <v>221.82</v>
      </c>
      <c r="AO95" s="105">
        <v>57.94</v>
      </c>
      <c r="AP95" s="105">
        <v>55.4</v>
      </c>
      <c r="AQ95" s="105">
        <v>112.41</v>
      </c>
      <c r="AR95" s="105">
        <v>40.11</v>
      </c>
      <c r="AS95" s="105">
        <v>19.899999999999999</v>
      </c>
      <c r="AT95" s="105">
        <v>74.489999999999995</v>
      </c>
      <c r="AU95" s="105">
        <v>255.04</v>
      </c>
      <c r="AV95" s="105">
        <v>97.67</v>
      </c>
      <c r="AW95" s="105">
        <v>254.1</v>
      </c>
      <c r="AX95" s="105">
        <v>13.39</v>
      </c>
      <c r="AY95" s="105">
        <v>31.82</v>
      </c>
      <c r="AZ95" s="105">
        <v>66.798136200000002</v>
      </c>
      <c r="BA95" s="105">
        <v>45.112955669999998</v>
      </c>
      <c r="BB95" s="105">
        <v>91.65</v>
      </c>
      <c r="BC95" s="105">
        <v>141.5</v>
      </c>
      <c r="BD95" s="105">
        <v>121.94</v>
      </c>
    </row>
    <row r="96" spans="3:56" x14ac:dyDescent="0.25">
      <c r="C96" s="38">
        <v>43699</v>
      </c>
      <c r="D96" s="105">
        <v>180.09</v>
      </c>
      <c r="E96" s="105">
        <v>136.08000000000001</v>
      </c>
      <c r="F96" s="105">
        <v>83.31</v>
      </c>
      <c r="G96" s="105">
        <v>53.19</v>
      </c>
      <c r="H96" s="105">
        <v>117.89</v>
      </c>
      <c r="I96" s="105">
        <v>182.04</v>
      </c>
      <c r="J96" s="105">
        <v>53.115000000000002</v>
      </c>
      <c r="K96" s="105">
        <v>1805.6</v>
      </c>
      <c r="L96" s="105">
        <v>296.93</v>
      </c>
      <c r="M96" s="105">
        <v>137.78</v>
      </c>
      <c r="N96" s="105">
        <v>1191.52</v>
      </c>
      <c r="O96" s="105">
        <v>158.38</v>
      </c>
      <c r="P96" s="105">
        <v>201.66</v>
      </c>
      <c r="Q96" s="105">
        <v>178.97</v>
      </c>
      <c r="R96" s="105">
        <v>63.28</v>
      </c>
      <c r="S96" s="105">
        <v>29.82</v>
      </c>
      <c r="T96" s="105">
        <v>128.19</v>
      </c>
      <c r="U96" s="105">
        <v>54.41</v>
      </c>
      <c r="V96" s="105">
        <v>52</v>
      </c>
      <c r="W96" s="105">
        <v>68.8</v>
      </c>
      <c r="X96" s="105">
        <v>51.19</v>
      </c>
      <c r="Y96" s="105">
        <v>102.20960035</v>
      </c>
      <c r="Z96" s="105">
        <v>43.93</v>
      </c>
      <c r="AA96" s="105">
        <v>70.14</v>
      </c>
      <c r="AB96" s="105">
        <v>5.73</v>
      </c>
      <c r="AC96" s="105">
        <v>211.63</v>
      </c>
      <c r="AD96" s="105">
        <v>69.36</v>
      </c>
      <c r="AE96" s="105">
        <v>42.645000000000003</v>
      </c>
      <c r="AF96" s="105">
        <v>19.07</v>
      </c>
      <c r="AG96" s="105">
        <v>81.099999999999994</v>
      </c>
      <c r="AH96" s="105">
        <v>34.15</v>
      </c>
      <c r="AI96" s="105">
        <v>19.577500000000001</v>
      </c>
      <c r="AJ96" s="105">
        <v>18.170000000000002</v>
      </c>
      <c r="AK96" s="105">
        <v>18.010000000000002</v>
      </c>
      <c r="AL96" s="105">
        <v>72.83</v>
      </c>
      <c r="AM96" s="105">
        <v>134.32</v>
      </c>
      <c r="AN96" s="105">
        <v>218.27</v>
      </c>
      <c r="AO96" s="105">
        <v>56.78</v>
      </c>
      <c r="AP96" s="105">
        <v>54.88</v>
      </c>
      <c r="AQ96" s="105">
        <v>118.41</v>
      </c>
      <c r="AR96" s="105">
        <v>38.49</v>
      </c>
      <c r="AS96" s="105">
        <v>19.04</v>
      </c>
      <c r="AT96" s="105">
        <v>73.290000000000006</v>
      </c>
      <c r="AU96" s="105">
        <v>255.18</v>
      </c>
      <c r="AV96" s="105">
        <v>97.21</v>
      </c>
      <c r="AW96" s="105">
        <v>248.6</v>
      </c>
      <c r="AX96" s="105">
        <v>13.57</v>
      </c>
      <c r="AY96" s="105">
        <v>32.200000000000003</v>
      </c>
      <c r="AZ96" s="105">
        <v>66.846858400000002</v>
      </c>
      <c r="BA96" s="105">
        <v>45.988557569999998</v>
      </c>
      <c r="BB96" s="105">
        <v>91.23</v>
      </c>
      <c r="BC96" s="105">
        <v>142.12</v>
      </c>
      <c r="BD96" s="105">
        <v>123.76</v>
      </c>
    </row>
    <row r="97" spans="3:56" x14ac:dyDescent="0.25">
      <c r="C97" s="38">
        <v>43692</v>
      </c>
      <c r="D97" s="105">
        <v>176.27</v>
      </c>
      <c r="E97" s="105">
        <v>133.41</v>
      </c>
      <c r="F97" s="105">
        <v>79.510000000000005</v>
      </c>
      <c r="G97" s="105">
        <v>52.59</v>
      </c>
      <c r="H97" s="105">
        <v>115.25</v>
      </c>
      <c r="I97" s="105">
        <v>182.59</v>
      </c>
      <c r="J97" s="105">
        <v>50.435000000000002</v>
      </c>
      <c r="K97" s="105">
        <v>1776.12</v>
      </c>
      <c r="L97" s="105">
        <v>295.76</v>
      </c>
      <c r="M97" s="105">
        <v>133.68</v>
      </c>
      <c r="N97" s="105">
        <v>1169.32</v>
      </c>
      <c r="O97" s="105">
        <v>155.5</v>
      </c>
      <c r="P97" s="105">
        <v>194.4</v>
      </c>
      <c r="Q97" s="105">
        <v>174.37</v>
      </c>
      <c r="R97" s="105">
        <v>61.53</v>
      </c>
      <c r="S97" s="105">
        <v>29.22</v>
      </c>
      <c r="T97" s="105">
        <v>126.7</v>
      </c>
      <c r="U97" s="105">
        <v>51.41</v>
      </c>
      <c r="V97" s="105">
        <v>48.51</v>
      </c>
      <c r="W97" s="105">
        <v>63.93</v>
      </c>
      <c r="X97" s="105">
        <v>48.21</v>
      </c>
      <c r="Y97" s="105">
        <v>95.069074650000005</v>
      </c>
      <c r="Z97" s="105">
        <v>40.72</v>
      </c>
      <c r="AA97" s="105">
        <v>69.59</v>
      </c>
      <c r="AB97" s="105">
        <v>5.55</v>
      </c>
      <c r="AC97" s="105">
        <v>206.81</v>
      </c>
      <c r="AD97" s="105">
        <v>65.040000000000006</v>
      </c>
      <c r="AE97" s="105">
        <v>41.93</v>
      </c>
      <c r="AF97" s="105">
        <v>19.29</v>
      </c>
      <c r="AG97" s="105">
        <v>75.7</v>
      </c>
      <c r="AH97" s="105">
        <v>31.48</v>
      </c>
      <c r="AI97" s="105">
        <v>18.502500000000001</v>
      </c>
      <c r="AJ97" s="105">
        <v>18.7</v>
      </c>
      <c r="AK97" s="105">
        <v>18.02</v>
      </c>
      <c r="AL97" s="105">
        <v>72.069999999999993</v>
      </c>
      <c r="AM97" s="105">
        <v>131.91999999999999</v>
      </c>
      <c r="AN97" s="105">
        <v>215.3</v>
      </c>
      <c r="AO97" s="105">
        <v>56.3</v>
      </c>
      <c r="AP97" s="105">
        <v>50.2</v>
      </c>
      <c r="AQ97" s="105">
        <v>123.54</v>
      </c>
      <c r="AR97" s="105">
        <v>38.520000000000003</v>
      </c>
      <c r="AS97" s="105">
        <v>17.61</v>
      </c>
      <c r="AT97" s="105">
        <v>72.25</v>
      </c>
      <c r="AU97" s="105">
        <v>246.35</v>
      </c>
      <c r="AV97" s="105">
        <v>93.14</v>
      </c>
      <c r="AW97" s="105">
        <v>235.14</v>
      </c>
      <c r="AX97" s="105">
        <v>13.27</v>
      </c>
      <c r="AY97" s="105">
        <v>31.97</v>
      </c>
      <c r="AZ97" s="105">
        <v>63.9722486</v>
      </c>
      <c r="BA97" s="105">
        <v>45.219973680000003</v>
      </c>
      <c r="BB97" s="105">
        <v>90.1</v>
      </c>
      <c r="BC97" s="105">
        <v>140.88999999999999</v>
      </c>
      <c r="BD97" s="105">
        <v>121.02</v>
      </c>
    </row>
    <row r="98" spans="3:56" x14ac:dyDescent="0.25">
      <c r="C98" s="38">
        <v>43685</v>
      </c>
      <c r="D98" s="105">
        <v>179.9</v>
      </c>
      <c r="E98" s="105">
        <v>137.88999999999999</v>
      </c>
      <c r="F98" s="105">
        <v>83</v>
      </c>
      <c r="G98" s="105">
        <v>54.65</v>
      </c>
      <c r="H98" s="105">
        <v>122.02</v>
      </c>
      <c r="I98" s="105">
        <v>190.16</v>
      </c>
      <c r="J98" s="105">
        <v>50.857500000000002</v>
      </c>
      <c r="K98" s="105">
        <v>1832.89</v>
      </c>
      <c r="L98" s="105">
        <v>315.89999999999998</v>
      </c>
      <c r="M98" s="105">
        <v>138.88999999999999</v>
      </c>
      <c r="N98" s="105">
        <v>1206.19</v>
      </c>
      <c r="O98" s="105">
        <v>154.57</v>
      </c>
      <c r="P98" s="105">
        <v>193.26</v>
      </c>
      <c r="Q98" s="105">
        <v>188.28</v>
      </c>
      <c r="R98" s="105">
        <v>61.64</v>
      </c>
      <c r="S98" s="105">
        <v>29.81</v>
      </c>
      <c r="T98" s="105">
        <v>130.34</v>
      </c>
      <c r="U98" s="105">
        <v>55.33</v>
      </c>
      <c r="V98" s="105">
        <v>50.86</v>
      </c>
      <c r="W98" s="105">
        <v>68.91</v>
      </c>
      <c r="X98" s="105">
        <v>50.49</v>
      </c>
      <c r="Y98" s="105">
        <v>97.041861400000002</v>
      </c>
      <c r="Z98" s="105">
        <v>39.42</v>
      </c>
      <c r="AA98" s="105">
        <v>72.64</v>
      </c>
      <c r="AB98" s="105">
        <v>6.16</v>
      </c>
      <c r="AC98" s="105">
        <v>216.22</v>
      </c>
      <c r="AD98" s="105">
        <v>70.48</v>
      </c>
      <c r="AE98" s="105">
        <v>41.384999999999998</v>
      </c>
      <c r="AF98" s="105">
        <v>23.07</v>
      </c>
      <c r="AG98" s="105">
        <v>80.62</v>
      </c>
      <c r="AH98" s="105">
        <v>33.840000000000003</v>
      </c>
      <c r="AI98" s="105">
        <v>19.822500000000002</v>
      </c>
      <c r="AJ98" s="105">
        <v>17.95</v>
      </c>
      <c r="AK98" s="105">
        <v>19.690000000000001</v>
      </c>
      <c r="AL98" s="105">
        <v>75.12</v>
      </c>
      <c r="AM98" s="105">
        <v>140.1</v>
      </c>
      <c r="AN98" s="105">
        <v>217.79</v>
      </c>
      <c r="AO98" s="105">
        <v>55.82</v>
      </c>
      <c r="AP98" s="105">
        <v>53.53</v>
      </c>
      <c r="AQ98" s="105">
        <v>126.88</v>
      </c>
      <c r="AR98" s="105">
        <v>39.29</v>
      </c>
      <c r="AS98" s="105">
        <v>19.09</v>
      </c>
      <c r="AT98" s="105">
        <v>70.63</v>
      </c>
      <c r="AU98" s="105">
        <v>251.57</v>
      </c>
      <c r="AV98" s="105">
        <v>92.92</v>
      </c>
      <c r="AW98" s="105">
        <v>240.47</v>
      </c>
      <c r="AX98" s="105">
        <v>13.37</v>
      </c>
      <c r="AY98" s="105">
        <v>33.83</v>
      </c>
      <c r="AZ98" s="105">
        <v>71.290323040000004</v>
      </c>
      <c r="BA98" s="105">
        <v>45.443738609999997</v>
      </c>
      <c r="BB98" s="105">
        <v>90.66</v>
      </c>
      <c r="BC98" s="105">
        <v>148.74</v>
      </c>
      <c r="BD98" s="105">
        <v>119.46</v>
      </c>
    </row>
    <row r="99" spans="3:56" x14ac:dyDescent="0.25">
      <c r="C99" s="38">
        <v>43678</v>
      </c>
      <c r="D99" s="105">
        <v>179.17</v>
      </c>
      <c r="E99" s="105">
        <v>141.85</v>
      </c>
      <c r="F99" s="105">
        <v>83.12</v>
      </c>
      <c r="G99" s="105">
        <v>55.88</v>
      </c>
      <c r="H99" s="105">
        <v>126.79</v>
      </c>
      <c r="I99" s="105">
        <v>192.73</v>
      </c>
      <c r="J99" s="105">
        <v>52.107500000000002</v>
      </c>
      <c r="K99" s="105">
        <v>1855.32</v>
      </c>
      <c r="L99" s="105">
        <v>319.5</v>
      </c>
      <c r="M99" s="105">
        <v>138.06</v>
      </c>
      <c r="N99" s="105">
        <v>1211.78</v>
      </c>
      <c r="O99" s="105">
        <v>151.69</v>
      </c>
      <c r="P99" s="105">
        <v>193.6</v>
      </c>
      <c r="Q99" s="105">
        <v>202.35</v>
      </c>
      <c r="R99" s="105">
        <v>60.76</v>
      </c>
      <c r="S99" s="105">
        <v>29.72</v>
      </c>
      <c r="T99" s="105">
        <v>136.87</v>
      </c>
      <c r="U99" s="105">
        <v>58.8</v>
      </c>
      <c r="V99" s="105">
        <v>48.5</v>
      </c>
      <c r="W99" s="105">
        <v>68.27</v>
      </c>
      <c r="X99" s="105">
        <v>50.96</v>
      </c>
      <c r="Y99" s="105">
        <v>85.282127700000004</v>
      </c>
      <c r="Z99" s="105">
        <v>45.44</v>
      </c>
      <c r="AA99" s="105">
        <v>74.760000000000005</v>
      </c>
      <c r="AB99" s="105">
        <v>6.39</v>
      </c>
      <c r="AC99" s="105">
        <v>208.92</v>
      </c>
      <c r="AD99" s="105">
        <v>64.849999999999994</v>
      </c>
      <c r="AE99" s="105">
        <v>38.884999999999998</v>
      </c>
      <c r="AF99" s="105">
        <v>25.08</v>
      </c>
      <c r="AG99" s="105">
        <v>82.33</v>
      </c>
      <c r="AH99" s="105">
        <v>34.86</v>
      </c>
      <c r="AI99" s="105">
        <v>19.6175</v>
      </c>
      <c r="AJ99" s="105">
        <v>22.17</v>
      </c>
      <c r="AK99" s="105">
        <v>19.13</v>
      </c>
      <c r="AL99" s="105">
        <v>73.88</v>
      </c>
      <c r="AM99" s="105">
        <v>150.32</v>
      </c>
      <c r="AN99" s="105">
        <v>212.92</v>
      </c>
      <c r="AO99" s="105">
        <v>55.26</v>
      </c>
      <c r="AP99" s="105">
        <v>52.59</v>
      </c>
      <c r="AQ99" s="105">
        <v>135.06</v>
      </c>
      <c r="AR99" s="105">
        <v>37.15</v>
      </c>
      <c r="AS99" s="105">
        <v>20.32</v>
      </c>
      <c r="AT99" s="105">
        <v>68.930000000000007</v>
      </c>
      <c r="AU99" s="105">
        <v>252.35</v>
      </c>
      <c r="AV99" s="105">
        <v>97.69</v>
      </c>
      <c r="AW99" s="105">
        <v>237.88</v>
      </c>
      <c r="AX99" s="105">
        <v>14.26</v>
      </c>
      <c r="AY99" s="105">
        <v>33.75</v>
      </c>
      <c r="AZ99" s="105">
        <v>72.274511480000001</v>
      </c>
      <c r="BA99" s="105">
        <v>45.667503539999998</v>
      </c>
      <c r="BB99" s="105">
        <v>91.22</v>
      </c>
      <c r="BC99" s="105">
        <v>148.13</v>
      </c>
      <c r="BD99" s="105">
        <v>111.75</v>
      </c>
    </row>
    <row r="100" spans="3:56" x14ac:dyDescent="0.25">
      <c r="C100" s="38">
        <v>43671</v>
      </c>
      <c r="D100" s="105">
        <v>181.59</v>
      </c>
      <c r="E100" s="105">
        <v>143.21</v>
      </c>
      <c r="F100" s="105">
        <v>87.28</v>
      </c>
      <c r="G100" s="105">
        <v>58.29</v>
      </c>
      <c r="H100" s="105">
        <v>134.71</v>
      </c>
      <c r="I100" s="105">
        <v>200.71</v>
      </c>
      <c r="J100" s="105">
        <v>51.755000000000003</v>
      </c>
      <c r="K100" s="105">
        <v>1973.82</v>
      </c>
      <c r="L100" s="105">
        <v>326.45999999999998</v>
      </c>
      <c r="M100" s="105">
        <v>140.19</v>
      </c>
      <c r="N100" s="105">
        <v>1135.94</v>
      </c>
      <c r="O100" s="105">
        <v>149.72</v>
      </c>
      <c r="P100" s="105">
        <v>203.01</v>
      </c>
      <c r="Q100" s="105">
        <v>200.9</v>
      </c>
      <c r="R100" s="105">
        <v>60.19</v>
      </c>
      <c r="S100" s="105">
        <v>30.18</v>
      </c>
      <c r="T100" s="105">
        <v>140.72</v>
      </c>
      <c r="U100" s="105">
        <v>62.65</v>
      </c>
      <c r="V100" s="105">
        <v>47.76</v>
      </c>
      <c r="W100" s="105">
        <v>77.069999999999993</v>
      </c>
      <c r="X100" s="105">
        <v>54.91</v>
      </c>
      <c r="Y100" s="105">
        <v>92.50926355</v>
      </c>
      <c r="Z100" s="105">
        <v>43.73</v>
      </c>
      <c r="AA100" s="105">
        <v>77.66</v>
      </c>
      <c r="AB100" s="105">
        <v>6.37</v>
      </c>
      <c r="AC100" s="105">
        <v>210.73</v>
      </c>
      <c r="AD100" s="105">
        <v>65.23</v>
      </c>
      <c r="AE100" s="105">
        <v>35.354999999999997</v>
      </c>
      <c r="AF100" s="105">
        <v>24.25</v>
      </c>
      <c r="AG100" s="105">
        <v>87.9</v>
      </c>
      <c r="AH100" s="105">
        <v>37.119999999999997</v>
      </c>
      <c r="AI100" s="105">
        <v>19.875</v>
      </c>
      <c r="AJ100" s="105">
        <v>21.48</v>
      </c>
      <c r="AK100" s="105">
        <v>19.52</v>
      </c>
      <c r="AL100" s="105">
        <v>70.03</v>
      </c>
      <c r="AM100" s="105">
        <v>150.38999999999999</v>
      </c>
      <c r="AN100" s="105">
        <v>212.66</v>
      </c>
      <c r="AO100" s="105">
        <v>56.36</v>
      </c>
      <c r="AP100" s="105">
        <v>55.05</v>
      </c>
      <c r="AQ100" s="105">
        <v>138.74</v>
      </c>
      <c r="AR100" s="105">
        <v>38.25</v>
      </c>
      <c r="AS100" s="105">
        <v>18.440000000000001</v>
      </c>
      <c r="AT100" s="105">
        <v>70.13</v>
      </c>
      <c r="AU100" s="105">
        <v>254.15</v>
      </c>
      <c r="AV100" s="105">
        <v>106.55</v>
      </c>
      <c r="AW100" s="105">
        <v>235.12</v>
      </c>
      <c r="AX100" s="105">
        <v>15.77</v>
      </c>
      <c r="AY100" s="105">
        <v>33.51</v>
      </c>
      <c r="AZ100" s="105">
        <v>73.404866519999999</v>
      </c>
      <c r="BA100" s="105">
        <v>45.88153956</v>
      </c>
      <c r="BB100" s="105">
        <v>89.78</v>
      </c>
      <c r="BC100" s="105">
        <v>152.01</v>
      </c>
      <c r="BD100" s="105">
        <v>113.36</v>
      </c>
    </row>
    <row r="101" spans="3:56" x14ac:dyDescent="0.25">
      <c r="C101" s="38">
        <v>43664</v>
      </c>
      <c r="D101" s="105">
        <v>180.53</v>
      </c>
      <c r="E101" s="105">
        <v>141.63</v>
      </c>
      <c r="F101" s="105">
        <v>87.44</v>
      </c>
      <c r="G101" s="105">
        <v>58.12</v>
      </c>
      <c r="H101" s="105">
        <v>134.88999999999999</v>
      </c>
      <c r="I101" s="105">
        <v>200.78</v>
      </c>
      <c r="J101" s="105">
        <v>51.414999999999999</v>
      </c>
      <c r="K101" s="105">
        <v>1977.9</v>
      </c>
      <c r="L101" s="105">
        <v>325.20999999999998</v>
      </c>
      <c r="M101" s="105">
        <v>136.41999999999999</v>
      </c>
      <c r="N101" s="105">
        <v>1147.24</v>
      </c>
      <c r="O101" s="105">
        <v>147.5</v>
      </c>
      <c r="P101" s="105">
        <v>202.6</v>
      </c>
      <c r="Q101" s="105">
        <v>283.37</v>
      </c>
      <c r="R101" s="105">
        <v>61.93</v>
      </c>
      <c r="S101" s="105">
        <v>30.7</v>
      </c>
      <c r="T101" s="105">
        <v>139.80000000000001</v>
      </c>
      <c r="U101" s="105">
        <v>64.33</v>
      </c>
      <c r="V101" s="105">
        <v>46.76</v>
      </c>
      <c r="W101" s="105">
        <v>73.84</v>
      </c>
      <c r="X101" s="105">
        <v>52.44</v>
      </c>
      <c r="Y101" s="105">
        <v>92.413030050000003</v>
      </c>
      <c r="Z101" s="105">
        <v>45.41</v>
      </c>
      <c r="AA101" s="105">
        <v>76.2</v>
      </c>
      <c r="AB101" s="105">
        <v>6.3</v>
      </c>
      <c r="AC101" s="105">
        <v>206.64</v>
      </c>
      <c r="AD101" s="105">
        <v>60.3</v>
      </c>
      <c r="AE101" s="105">
        <v>35.409999999999997</v>
      </c>
      <c r="AF101" s="105">
        <v>23.83</v>
      </c>
      <c r="AG101" s="105">
        <v>86.59</v>
      </c>
      <c r="AH101" s="105">
        <v>37.58</v>
      </c>
      <c r="AI101" s="105">
        <v>19.357500000000002</v>
      </c>
      <c r="AJ101" s="105">
        <v>21.97</v>
      </c>
      <c r="AK101" s="105">
        <v>19.22</v>
      </c>
      <c r="AL101" s="105">
        <v>70.78</v>
      </c>
      <c r="AM101" s="105">
        <v>149.63</v>
      </c>
      <c r="AN101" s="105">
        <v>210.45</v>
      </c>
      <c r="AO101" s="105">
        <v>57.21</v>
      </c>
      <c r="AP101" s="105">
        <v>55.22</v>
      </c>
      <c r="AQ101" s="105">
        <v>138.38999999999999</v>
      </c>
      <c r="AR101" s="105">
        <v>39.700000000000003</v>
      </c>
      <c r="AS101" s="105">
        <v>17.850000000000001</v>
      </c>
      <c r="AT101" s="105">
        <v>71.88</v>
      </c>
      <c r="AU101" s="105">
        <v>253.83</v>
      </c>
      <c r="AV101" s="105">
        <v>110.12</v>
      </c>
      <c r="AW101" s="105">
        <v>242.05</v>
      </c>
      <c r="AX101" s="105">
        <v>15.46</v>
      </c>
      <c r="AY101" s="105">
        <v>32.33</v>
      </c>
      <c r="AZ101" s="105">
        <v>73.521799799999997</v>
      </c>
      <c r="BA101" s="105">
        <v>45.375636239999999</v>
      </c>
      <c r="BB101" s="105">
        <v>91.87</v>
      </c>
      <c r="BC101" s="105">
        <v>147.34</v>
      </c>
      <c r="BD101" s="105">
        <v>111.98</v>
      </c>
    </row>
    <row r="102" spans="3:56" x14ac:dyDescent="0.25">
      <c r="C102" s="38">
        <v>43657</v>
      </c>
      <c r="D102" s="105">
        <v>180.74</v>
      </c>
      <c r="E102" s="105">
        <v>143.56</v>
      </c>
      <c r="F102" s="105">
        <v>88.29</v>
      </c>
      <c r="G102" s="105">
        <v>59.99</v>
      </c>
      <c r="H102" s="105">
        <v>133.96</v>
      </c>
      <c r="I102" s="105">
        <v>201.23</v>
      </c>
      <c r="J102" s="105">
        <v>50.4375</v>
      </c>
      <c r="K102" s="105">
        <v>2001.07</v>
      </c>
      <c r="L102" s="105">
        <v>379.5</v>
      </c>
      <c r="M102" s="105">
        <v>138.4</v>
      </c>
      <c r="N102" s="105">
        <v>1144.08</v>
      </c>
      <c r="O102" s="105">
        <v>137.09</v>
      </c>
      <c r="P102" s="105">
        <v>197.67</v>
      </c>
      <c r="Q102" s="105">
        <v>282.58999999999997</v>
      </c>
      <c r="R102" s="105">
        <v>61.19</v>
      </c>
      <c r="S102" s="105">
        <v>30.46</v>
      </c>
      <c r="T102" s="105">
        <v>141.9</v>
      </c>
      <c r="U102" s="105">
        <v>62.6</v>
      </c>
      <c r="V102" s="105">
        <v>47.64</v>
      </c>
      <c r="W102" s="105">
        <v>73.75</v>
      </c>
      <c r="X102" s="105">
        <v>51.84</v>
      </c>
      <c r="Y102" s="105">
        <v>91.518058499999995</v>
      </c>
      <c r="Z102" s="105">
        <v>45.89</v>
      </c>
      <c r="AA102" s="105">
        <v>76.959999999999994</v>
      </c>
      <c r="AB102" s="105">
        <v>6.26</v>
      </c>
      <c r="AC102" s="105">
        <v>195.15</v>
      </c>
      <c r="AD102" s="105">
        <v>55.02</v>
      </c>
      <c r="AE102" s="105">
        <v>34.664999999999999</v>
      </c>
      <c r="AF102" s="105">
        <v>22.49</v>
      </c>
      <c r="AG102" s="105">
        <v>83.99</v>
      </c>
      <c r="AH102" s="105">
        <v>36</v>
      </c>
      <c r="AI102" s="105">
        <v>19.175000000000001</v>
      </c>
      <c r="AJ102" s="105">
        <v>21.72</v>
      </c>
      <c r="AK102" s="105">
        <v>18.690000000000001</v>
      </c>
      <c r="AL102" s="105">
        <v>69.95</v>
      </c>
      <c r="AM102" s="105">
        <v>141.24</v>
      </c>
      <c r="AN102" s="105">
        <v>210.84</v>
      </c>
      <c r="AO102" s="105">
        <v>56.92</v>
      </c>
      <c r="AP102" s="105">
        <v>55.86</v>
      </c>
      <c r="AQ102" s="105">
        <v>137.41999999999999</v>
      </c>
      <c r="AR102" s="105">
        <v>39.28</v>
      </c>
      <c r="AS102" s="105">
        <v>19.04</v>
      </c>
      <c r="AT102" s="105">
        <v>71.98</v>
      </c>
      <c r="AU102" s="105">
        <v>256.17</v>
      </c>
      <c r="AV102" s="105">
        <v>110.97</v>
      </c>
      <c r="AW102" s="105">
        <v>243.87</v>
      </c>
      <c r="AX102" s="105">
        <v>15.68</v>
      </c>
      <c r="AY102" s="105">
        <v>32.31</v>
      </c>
      <c r="AZ102" s="105">
        <v>73.434099840000002</v>
      </c>
      <c r="BA102" s="105">
        <v>44.033046659999997</v>
      </c>
      <c r="BB102" s="105">
        <v>91.35</v>
      </c>
      <c r="BC102" s="105">
        <v>144.5</v>
      </c>
      <c r="BD102" s="105">
        <v>110.1</v>
      </c>
    </row>
    <row r="103" spans="3:56" x14ac:dyDescent="0.25">
      <c r="C103" s="38">
        <v>43649</v>
      </c>
      <c r="D103" s="105">
        <v>176.87</v>
      </c>
      <c r="E103" s="105">
        <v>142.97999999999999</v>
      </c>
      <c r="F103" s="105">
        <v>86.2</v>
      </c>
      <c r="G103" s="105">
        <v>58.86</v>
      </c>
      <c r="H103" s="105">
        <v>135.59</v>
      </c>
      <c r="I103" s="105">
        <v>197.2</v>
      </c>
      <c r="J103" s="105">
        <v>51.102499999999999</v>
      </c>
      <c r="K103" s="105">
        <v>1939</v>
      </c>
      <c r="L103" s="105">
        <v>381.72</v>
      </c>
      <c r="M103" s="105">
        <v>137.46</v>
      </c>
      <c r="N103" s="105">
        <v>1122.99</v>
      </c>
      <c r="O103" s="105">
        <v>138</v>
      </c>
      <c r="P103" s="105">
        <v>199.9</v>
      </c>
      <c r="Q103" s="105">
        <v>275</v>
      </c>
      <c r="R103" s="105">
        <v>60.71</v>
      </c>
      <c r="S103" s="105">
        <v>31.09</v>
      </c>
      <c r="T103" s="105">
        <v>141.75</v>
      </c>
      <c r="U103" s="105">
        <v>62.22</v>
      </c>
      <c r="V103" s="105">
        <v>49.22</v>
      </c>
      <c r="W103" s="105">
        <v>71.97</v>
      </c>
      <c r="X103" s="105">
        <v>51.89</v>
      </c>
      <c r="Y103" s="105">
        <v>91.758642249999994</v>
      </c>
      <c r="Z103" s="105">
        <v>44.91</v>
      </c>
      <c r="AA103" s="105">
        <v>73.64</v>
      </c>
      <c r="AB103" s="105">
        <v>6.2</v>
      </c>
      <c r="AC103" s="105">
        <v>190.61</v>
      </c>
      <c r="AD103" s="105">
        <v>57.75</v>
      </c>
      <c r="AE103" s="105">
        <v>36.145000000000003</v>
      </c>
      <c r="AF103" s="105">
        <v>24.76</v>
      </c>
      <c r="AG103" s="105">
        <v>84.06</v>
      </c>
      <c r="AH103" s="105">
        <v>35.6</v>
      </c>
      <c r="AI103" s="105">
        <v>18.7925</v>
      </c>
      <c r="AJ103" s="105">
        <v>21.7</v>
      </c>
      <c r="AK103" s="105">
        <v>19.13</v>
      </c>
      <c r="AL103" s="105">
        <v>67.69</v>
      </c>
      <c r="AM103" s="105">
        <v>141.54</v>
      </c>
      <c r="AN103" s="105">
        <v>208.15</v>
      </c>
      <c r="AO103" s="105">
        <v>58.13</v>
      </c>
      <c r="AP103" s="105">
        <v>53.92</v>
      </c>
      <c r="AQ103" s="105">
        <v>129.31</v>
      </c>
      <c r="AR103" s="105">
        <v>38.76</v>
      </c>
      <c r="AS103" s="105">
        <v>19.68</v>
      </c>
      <c r="AT103" s="105">
        <v>71.75</v>
      </c>
      <c r="AU103" s="105">
        <v>255.24</v>
      </c>
      <c r="AV103" s="105">
        <v>109.75</v>
      </c>
      <c r="AW103" s="105">
        <v>235.74</v>
      </c>
      <c r="AX103" s="105">
        <v>15.25</v>
      </c>
      <c r="AY103" s="105">
        <v>33.32</v>
      </c>
      <c r="AZ103" s="105">
        <v>76.425642920000001</v>
      </c>
      <c r="BA103" s="105">
        <v>43.819010640000002</v>
      </c>
      <c r="BB103" s="105">
        <v>91.97</v>
      </c>
      <c r="BC103" s="105">
        <v>143.18</v>
      </c>
      <c r="BD103" s="105">
        <v>109.94</v>
      </c>
    </row>
    <row r="104" spans="3:56" x14ac:dyDescent="0.25">
      <c r="C104" s="38">
        <v>43643</v>
      </c>
      <c r="D104" s="105">
        <v>171.23</v>
      </c>
      <c r="E104" s="105">
        <v>139.30000000000001</v>
      </c>
      <c r="F104" s="105">
        <v>83.66</v>
      </c>
      <c r="G104" s="105">
        <v>56.77</v>
      </c>
      <c r="H104" s="105">
        <v>135.5</v>
      </c>
      <c r="I104" s="105">
        <v>189.5</v>
      </c>
      <c r="J104" s="105">
        <v>49.935000000000002</v>
      </c>
      <c r="K104" s="105">
        <v>1904.28</v>
      </c>
      <c r="L104" s="105">
        <v>370.02</v>
      </c>
      <c r="M104" s="105">
        <v>134.15</v>
      </c>
      <c r="N104" s="105">
        <v>1076.6300000000001</v>
      </c>
      <c r="O104" s="105">
        <v>134.88</v>
      </c>
      <c r="P104" s="105">
        <v>188.21</v>
      </c>
      <c r="Q104" s="105">
        <v>269.95</v>
      </c>
      <c r="R104" s="105">
        <v>59.28</v>
      </c>
      <c r="S104" s="105">
        <v>31.19</v>
      </c>
      <c r="T104" s="105">
        <v>138.29</v>
      </c>
      <c r="U104" s="105">
        <v>58.78</v>
      </c>
      <c r="V104" s="105">
        <v>48.43</v>
      </c>
      <c r="W104" s="105">
        <v>68.47</v>
      </c>
      <c r="X104" s="105">
        <v>50.74</v>
      </c>
      <c r="Y104" s="105">
        <v>91.094631100000001</v>
      </c>
      <c r="Z104" s="105">
        <v>45.44</v>
      </c>
      <c r="AA104" s="105">
        <v>70.349999999999994</v>
      </c>
      <c r="AB104" s="105">
        <v>6.04</v>
      </c>
      <c r="AC104" s="105">
        <v>187.99</v>
      </c>
      <c r="AD104" s="105">
        <v>55.06</v>
      </c>
      <c r="AE104" s="105">
        <v>34.835000000000001</v>
      </c>
      <c r="AF104" s="105">
        <v>24.39</v>
      </c>
      <c r="AG104" s="105">
        <v>87.93</v>
      </c>
      <c r="AH104" s="105">
        <v>34.26</v>
      </c>
      <c r="AI104" s="105">
        <v>18.057500000000001</v>
      </c>
      <c r="AJ104" s="105">
        <v>21.21</v>
      </c>
      <c r="AK104" s="105">
        <v>18.27</v>
      </c>
      <c r="AL104" s="105">
        <v>65.12</v>
      </c>
      <c r="AM104" s="105">
        <v>138.52000000000001</v>
      </c>
      <c r="AN104" s="105">
        <v>202.54</v>
      </c>
      <c r="AO104" s="105">
        <v>57.25</v>
      </c>
      <c r="AP104" s="105">
        <v>52.88</v>
      </c>
      <c r="AQ104" s="105">
        <v>124.23</v>
      </c>
      <c r="AR104" s="105">
        <v>38.08</v>
      </c>
      <c r="AS104" s="105">
        <v>18.97</v>
      </c>
      <c r="AT104" s="105">
        <v>70.44</v>
      </c>
      <c r="AU104" s="105">
        <v>249.15</v>
      </c>
      <c r="AV104" s="105">
        <v>108.14</v>
      </c>
      <c r="AW104" s="105">
        <v>224.56</v>
      </c>
      <c r="AX104" s="105">
        <v>14.78</v>
      </c>
      <c r="AY104" s="105">
        <v>32.270000000000003</v>
      </c>
      <c r="AZ104" s="105">
        <v>75.860465399999995</v>
      </c>
      <c r="BA104" s="105">
        <v>44.548678889999998</v>
      </c>
      <c r="BB104" s="105">
        <v>89.72</v>
      </c>
      <c r="BC104" s="105">
        <v>140.29</v>
      </c>
      <c r="BD104" s="105">
        <v>104.36</v>
      </c>
    </row>
    <row r="105" spans="3:56" x14ac:dyDescent="0.25">
      <c r="C105" s="38">
        <v>43636</v>
      </c>
      <c r="D105" s="105">
        <v>173.74</v>
      </c>
      <c r="E105" s="105">
        <v>142.02000000000001</v>
      </c>
      <c r="F105" s="105">
        <v>85.24</v>
      </c>
      <c r="G105" s="105">
        <v>56.99</v>
      </c>
      <c r="H105" s="105">
        <v>133.63</v>
      </c>
      <c r="I105" s="105">
        <v>189.53</v>
      </c>
      <c r="J105" s="105">
        <v>49.865000000000002</v>
      </c>
      <c r="K105" s="105">
        <v>1918.19</v>
      </c>
      <c r="L105" s="105">
        <v>365.21</v>
      </c>
      <c r="M105" s="105">
        <v>136.94999999999999</v>
      </c>
      <c r="N105" s="105">
        <v>1113.2</v>
      </c>
      <c r="O105" s="105">
        <v>137.63999999999999</v>
      </c>
      <c r="P105" s="105">
        <v>185.74</v>
      </c>
      <c r="Q105" s="105">
        <v>295.67</v>
      </c>
      <c r="R105" s="105">
        <v>61.31</v>
      </c>
      <c r="S105" s="105">
        <v>31.54</v>
      </c>
      <c r="T105" s="105">
        <v>137.19</v>
      </c>
      <c r="U105" s="105">
        <v>59.43</v>
      </c>
      <c r="V105" s="105">
        <v>52.73</v>
      </c>
      <c r="W105" s="105">
        <v>68.39</v>
      </c>
      <c r="X105" s="105">
        <v>51.52</v>
      </c>
      <c r="Y105" s="105">
        <v>88.149885999999995</v>
      </c>
      <c r="Z105" s="105">
        <v>50.6</v>
      </c>
      <c r="AA105" s="105">
        <v>73.56</v>
      </c>
      <c r="AB105" s="105">
        <v>6.07</v>
      </c>
      <c r="AC105" s="105">
        <v>185.89</v>
      </c>
      <c r="AD105" s="105">
        <v>57.66</v>
      </c>
      <c r="AE105" s="105">
        <v>34.725000000000001</v>
      </c>
      <c r="AF105" s="105">
        <v>23.63</v>
      </c>
      <c r="AG105" s="105">
        <v>92.49</v>
      </c>
      <c r="AH105" s="105">
        <v>33.950000000000003</v>
      </c>
      <c r="AI105" s="105">
        <v>18.3675</v>
      </c>
      <c r="AJ105" s="105">
        <v>21.46</v>
      </c>
      <c r="AK105" s="105">
        <v>18.88</v>
      </c>
      <c r="AL105" s="105">
        <v>63.78</v>
      </c>
      <c r="AM105" s="105">
        <v>138.85</v>
      </c>
      <c r="AN105" s="105">
        <v>203.28</v>
      </c>
      <c r="AO105" s="105">
        <v>57.34</v>
      </c>
      <c r="AP105" s="105">
        <v>53.83</v>
      </c>
      <c r="AQ105" s="105">
        <v>124.47</v>
      </c>
      <c r="AR105" s="105">
        <v>37.58</v>
      </c>
      <c r="AS105" s="105">
        <v>18.21</v>
      </c>
      <c r="AT105" s="105">
        <v>70.78</v>
      </c>
      <c r="AU105" s="105">
        <v>245.12</v>
      </c>
      <c r="AV105" s="105">
        <v>110.79</v>
      </c>
      <c r="AW105" s="105">
        <v>230.15</v>
      </c>
      <c r="AX105" s="105">
        <v>14.86</v>
      </c>
      <c r="AY105" s="105">
        <v>31.82</v>
      </c>
      <c r="AZ105" s="105">
        <v>73.346399880000007</v>
      </c>
      <c r="BA105" s="105">
        <v>44.101149030000002</v>
      </c>
      <c r="BB105" s="105">
        <v>91.92</v>
      </c>
      <c r="BC105" s="105">
        <v>139.51</v>
      </c>
      <c r="BD105" s="105">
        <v>107.71</v>
      </c>
    </row>
    <row r="106" spans="3:56" x14ac:dyDescent="0.25">
      <c r="C106" s="38">
        <v>43629</v>
      </c>
      <c r="D106" s="105">
        <v>169.35</v>
      </c>
      <c r="E106" s="105">
        <v>141.74</v>
      </c>
      <c r="F106" s="105">
        <v>83.61</v>
      </c>
      <c r="G106" s="105">
        <v>53.84</v>
      </c>
      <c r="H106" s="105">
        <v>127.17</v>
      </c>
      <c r="I106" s="105">
        <v>177.47</v>
      </c>
      <c r="J106" s="105">
        <v>48.537500000000001</v>
      </c>
      <c r="K106" s="105">
        <v>1870.3</v>
      </c>
      <c r="L106" s="105">
        <v>343.43</v>
      </c>
      <c r="M106" s="105">
        <v>132.32</v>
      </c>
      <c r="N106" s="105">
        <v>1091.01</v>
      </c>
      <c r="O106" s="105">
        <v>137.63</v>
      </c>
      <c r="P106" s="105">
        <v>189.34</v>
      </c>
      <c r="Q106" s="105">
        <v>311.07</v>
      </c>
      <c r="R106" s="105">
        <v>59.45</v>
      </c>
      <c r="S106" s="105">
        <v>31.11</v>
      </c>
      <c r="T106" s="105">
        <v>133.62</v>
      </c>
      <c r="U106" s="105">
        <v>57.32</v>
      </c>
      <c r="V106" s="105">
        <v>53.08</v>
      </c>
      <c r="W106" s="105">
        <v>65.84</v>
      </c>
      <c r="X106" s="105">
        <v>52.38</v>
      </c>
      <c r="Y106" s="105">
        <v>88.130639299999999</v>
      </c>
      <c r="Z106" s="105">
        <v>46.65</v>
      </c>
      <c r="AA106" s="105">
        <v>71.19</v>
      </c>
      <c r="AB106" s="105">
        <v>6.23</v>
      </c>
      <c r="AC106" s="105">
        <v>173.88</v>
      </c>
      <c r="AD106" s="105">
        <v>57.49</v>
      </c>
      <c r="AE106" s="105">
        <v>35.405000000000001</v>
      </c>
      <c r="AF106" s="105">
        <v>22.84</v>
      </c>
      <c r="AG106" s="105">
        <v>93.89</v>
      </c>
      <c r="AH106" s="105">
        <v>33.369999999999997</v>
      </c>
      <c r="AI106" s="105">
        <v>17.162500000000001</v>
      </c>
      <c r="AJ106" s="105">
        <v>21.43</v>
      </c>
      <c r="AK106" s="105">
        <v>19.440000000000001</v>
      </c>
      <c r="AL106" s="105">
        <v>59.88</v>
      </c>
      <c r="AM106" s="105">
        <v>135.76</v>
      </c>
      <c r="AN106" s="105">
        <v>196.78</v>
      </c>
      <c r="AO106" s="105">
        <v>57.62</v>
      </c>
      <c r="AP106" s="105">
        <v>52.82</v>
      </c>
      <c r="AQ106" s="105">
        <v>118.24</v>
      </c>
      <c r="AR106" s="105">
        <v>35.549999999999997</v>
      </c>
      <c r="AS106" s="105">
        <v>17.38</v>
      </c>
      <c r="AT106" s="105">
        <v>72.52</v>
      </c>
      <c r="AU106" s="105">
        <v>237.04</v>
      </c>
      <c r="AV106" s="105">
        <v>108.66</v>
      </c>
      <c r="AW106" s="105">
        <v>218.76</v>
      </c>
      <c r="AX106" s="105">
        <v>14.6</v>
      </c>
      <c r="AY106" s="105">
        <v>31.07</v>
      </c>
      <c r="AZ106" s="105">
        <v>70.481534519999997</v>
      </c>
      <c r="BA106" s="105">
        <v>42.437505420000001</v>
      </c>
      <c r="BB106" s="105">
        <v>90.79</v>
      </c>
      <c r="BC106" s="105">
        <v>145.97</v>
      </c>
      <c r="BD106" s="105">
        <v>105.05</v>
      </c>
    </row>
    <row r="107" spans="3:56" x14ac:dyDescent="0.25">
      <c r="C107" s="38">
        <v>43622</v>
      </c>
      <c r="D107" s="105">
        <v>166.92</v>
      </c>
      <c r="E107" s="105">
        <v>137.21</v>
      </c>
      <c r="F107" s="105">
        <v>82.45</v>
      </c>
      <c r="G107" s="105">
        <v>52.59</v>
      </c>
      <c r="H107" s="105">
        <v>123.39</v>
      </c>
      <c r="I107" s="105">
        <v>168.33</v>
      </c>
      <c r="J107" s="105">
        <v>46.305</v>
      </c>
      <c r="K107" s="105">
        <v>1754.36</v>
      </c>
      <c r="L107" s="105">
        <v>357.13</v>
      </c>
      <c r="M107" s="105">
        <v>127.82</v>
      </c>
      <c r="N107" s="105">
        <v>1047.76</v>
      </c>
      <c r="O107" s="105">
        <v>137.24</v>
      </c>
      <c r="P107" s="105">
        <v>184.16</v>
      </c>
      <c r="Q107" s="105">
        <v>306.36</v>
      </c>
      <c r="R107" s="105">
        <v>59.8</v>
      </c>
      <c r="S107" s="105">
        <v>31.52</v>
      </c>
      <c r="T107" s="105">
        <v>128.6</v>
      </c>
      <c r="U107" s="105">
        <v>54.62</v>
      </c>
      <c r="V107" s="105">
        <v>52.68</v>
      </c>
      <c r="W107" s="105">
        <v>62.3</v>
      </c>
      <c r="X107" s="105">
        <v>49.98</v>
      </c>
      <c r="Y107" s="105">
        <v>85.657438350000007</v>
      </c>
      <c r="Z107" s="105">
        <v>47.66</v>
      </c>
      <c r="AA107" s="105">
        <v>71.06</v>
      </c>
      <c r="AB107" s="105">
        <v>6.49</v>
      </c>
      <c r="AC107" s="105">
        <v>156.61000000000001</v>
      </c>
      <c r="AD107" s="105">
        <v>53.32</v>
      </c>
      <c r="AE107" s="105">
        <v>33.450000000000003</v>
      </c>
      <c r="AF107" s="105">
        <v>22.46</v>
      </c>
      <c r="AG107" s="105">
        <v>97.58</v>
      </c>
      <c r="AH107" s="105">
        <v>35.74</v>
      </c>
      <c r="AI107" s="105">
        <v>16.642499999999998</v>
      </c>
      <c r="AJ107" s="105">
        <v>22.19</v>
      </c>
      <c r="AK107" s="105">
        <v>17.920000000000002</v>
      </c>
      <c r="AL107" s="105">
        <v>63.48</v>
      </c>
      <c r="AM107" s="105">
        <v>132.22</v>
      </c>
      <c r="AN107" s="105">
        <v>191.82</v>
      </c>
      <c r="AO107" s="105">
        <v>57.54</v>
      </c>
      <c r="AP107" s="105">
        <v>50.9</v>
      </c>
      <c r="AQ107" s="105">
        <v>109.5</v>
      </c>
      <c r="AR107" s="105">
        <v>35.31</v>
      </c>
      <c r="AS107" s="105">
        <v>17.45</v>
      </c>
      <c r="AT107" s="105">
        <v>70.95</v>
      </c>
      <c r="AU107" s="105">
        <v>236.63</v>
      </c>
      <c r="AV107" s="105">
        <v>102.22</v>
      </c>
      <c r="AW107" s="105">
        <v>219.21</v>
      </c>
      <c r="AX107" s="105">
        <v>14.42</v>
      </c>
      <c r="AY107" s="105">
        <v>30.16</v>
      </c>
      <c r="AZ107" s="105">
        <v>67.392547039999997</v>
      </c>
      <c r="BA107" s="105">
        <v>38.254074119999999</v>
      </c>
      <c r="BB107" s="105">
        <v>89.75</v>
      </c>
      <c r="BC107" s="105">
        <v>142.36000000000001</v>
      </c>
      <c r="BD107" s="105">
        <v>104.38</v>
      </c>
    </row>
    <row r="108" spans="3:56" x14ac:dyDescent="0.25">
      <c r="C108" s="38">
        <v>43615</v>
      </c>
      <c r="D108" s="105">
        <v>162.76</v>
      </c>
      <c r="E108" s="105">
        <v>132.19999999999999</v>
      </c>
      <c r="F108" s="105">
        <v>79.260000000000005</v>
      </c>
      <c r="G108" s="105">
        <v>51.72</v>
      </c>
      <c r="H108" s="105">
        <v>121.84</v>
      </c>
      <c r="I108" s="105">
        <v>183.01</v>
      </c>
      <c r="J108" s="105">
        <v>44.575000000000003</v>
      </c>
      <c r="K108" s="105">
        <v>1816.32</v>
      </c>
      <c r="L108" s="105">
        <v>351.85</v>
      </c>
      <c r="M108" s="105">
        <v>125.73</v>
      </c>
      <c r="N108" s="105">
        <v>1121.4100000000001</v>
      </c>
      <c r="O108" s="105">
        <v>130.81</v>
      </c>
      <c r="P108" s="105">
        <v>187.29</v>
      </c>
      <c r="Q108" s="105">
        <v>296.68</v>
      </c>
      <c r="R108" s="105">
        <v>57.36</v>
      </c>
      <c r="S108" s="105">
        <v>29.89</v>
      </c>
      <c r="T108" s="105">
        <v>124.65</v>
      </c>
      <c r="U108" s="105">
        <v>55.54</v>
      </c>
      <c r="V108" s="105">
        <v>50.31</v>
      </c>
      <c r="W108" s="105">
        <v>65.010000000000005</v>
      </c>
      <c r="X108" s="105">
        <v>49.39</v>
      </c>
      <c r="Y108" s="105">
        <v>76.438269050000002</v>
      </c>
      <c r="Z108" s="105">
        <v>46.49</v>
      </c>
      <c r="AA108" s="105">
        <v>73.3</v>
      </c>
      <c r="AB108" s="105">
        <v>6.27</v>
      </c>
      <c r="AC108" s="105">
        <v>149.36000000000001</v>
      </c>
      <c r="AD108" s="105">
        <v>52</v>
      </c>
      <c r="AE108" s="105">
        <v>30.2</v>
      </c>
      <c r="AF108" s="105">
        <v>21.27</v>
      </c>
      <c r="AG108" s="105">
        <v>99.01</v>
      </c>
      <c r="AH108" s="105">
        <v>34.25</v>
      </c>
      <c r="AI108" s="105">
        <v>15.932499999999999</v>
      </c>
      <c r="AJ108" s="105">
        <v>22.76</v>
      </c>
      <c r="AK108" s="105">
        <v>17.36</v>
      </c>
      <c r="AL108" s="105">
        <v>59.7</v>
      </c>
      <c r="AM108" s="105">
        <v>129.57</v>
      </c>
      <c r="AN108" s="105">
        <v>183.75</v>
      </c>
      <c r="AO108" s="105">
        <v>56.83</v>
      </c>
      <c r="AP108" s="105">
        <v>50.56</v>
      </c>
      <c r="AQ108" s="105">
        <v>117.6</v>
      </c>
      <c r="AR108" s="105">
        <v>32.090000000000003</v>
      </c>
      <c r="AS108" s="105">
        <v>17.21</v>
      </c>
      <c r="AT108" s="105">
        <v>74.52</v>
      </c>
      <c r="AU108" s="105">
        <v>237.2</v>
      </c>
      <c r="AV108" s="105">
        <v>98.31</v>
      </c>
      <c r="AW108" s="105">
        <v>209.14</v>
      </c>
      <c r="AX108" s="105">
        <v>15.1</v>
      </c>
      <c r="AY108" s="105">
        <v>28.3499868</v>
      </c>
      <c r="AZ108" s="105">
        <v>65.735992240000002</v>
      </c>
      <c r="BA108" s="105">
        <v>37.942748999999999</v>
      </c>
      <c r="BB108" s="105">
        <v>86.31</v>
      </c>
      <c r="BC108" s="105">
        <v>142.41999999999999</v>
      </c>
      <c r="BD108" s="105">
        <v>100.8</v>
      </c>
    </row>
    <row r="109" spans="3:56" x14ac:dyDescent="0.25">
      <c r="C109" s="38">
        <v>43608</v>
      </c>
      <c r="D109" s="105">
        <v>161.51</v>
      </c>
      <c r="E109" s="105">
        <v>132.72999999999999</v>
      </c>
      <c r="F109" s="105">
        <v>82.64</v>
      </c>
      <c r="G109" s="105">
        <v>53.08</v>
      </c>
      <c r="H109" s="105">
        <v>122.26</v>
      </c>
      <c r="I109" s="105">
        <v>180.87</v>
      </c>
      <c r="J109" s="105">
        <v>44.914999999999999</v>
      </c>
      <c r="K109" s="105">
        <v>1815.48</v>
      </c>
      <c r="L109" s="105">
        <v>352.21</v>
      </c>
      <c r="M109" s="105">
        <v>126.18</v>
      </c>
      <c r="N109" s="105">
        <v>1145.3399999999999</v>
      </c>
      <c r="O109" s="105">
        <v>130.22</v>
      </c>
      <c r="P109" s="105">
        <v>206.21</v>
      </c>
      <c r="Q109" s="105">
        <v>307.85000000000002</v>
      </c>
      <c r="R109" s="105">
        <v>59.09</v>
      </c>
      <c r="S109" s="105">
        <v>30.36</v>
      </c>
      <c r="T109" s="105">
        <v>123.91</v>
      </c>
      <c r="U109" s="105">
        <v>56.97</v>
      </c>
      <c r="V109" s="105">
        <v>51.08</v>
      </c>
      <c r="W109" s="105">
        <v>65.819999999999993</v>
      </c>
      <c r="X109" s="105">
        <v>50.96</v>
      </c>
      <c r="Y109" s="105">
        <v>77.756668000000005</v>
      </c>
      <c r="Z109" s="105">
        <v>46.5</v>
      </c>
      <c r="AA109" s="105">
        <v>72.959999999999994</v>
      </c>
      <c r="AB109" s="105">
        <v>6.07</v>
      </c>
      <c r="AC109" s="105">
        <v>150.37</v>
      </c>
      <c r="AD109" s="105">
        <v>54.55</v>
      </c>
      <c r="AE109" s="105">
        <v>31.995000000000001</v>
      </c>
      <c r="AF109" s="105">
        <v>21.62</v>
      </c>
      <c r="AG109" s="105">
        <v>99.6</v>
      </c>
      <c r="AH109" s="105">
        <v>36.76</v>
      </c>
      <c r="AI109" s="105">
        <v>15.805</v>
      </c>
      <c r="AJ109" s="105">
        <v>23.62</v>
      </c>
      <c r="AK109" s="105">
        <v>17.579999999999998</v>
      </c>
      <c r="AL109" s="105">
        <v>61.7</v>
      </c>
      <c r="AM109" s="105">
        <v>132.38999999999999</v>
      </c>
      <c r="AN109" s="105">
        <v>184.5</v>
      </c>
      <c r="AO109" s="105">
        <v>58.87</v>
      </c>
      <c r="AP109" s="105">
        <v>52.16</v>
      </c>
      <c r="AQ109" s="105">
        <v>128.72999999999999</v>
      </c>
      <c r="AR109" s="105">
        <v>31.64</v>
      </c>
      <c r="AS109" s="105">
        <v>19.170000000000002</v>
      </c>
      <c r="AT109" s="105">
        <v>74.680000000000007</v>
      </c>
      <c r="AU109" s="105">
        <v>234</v>
      </c>
      <c r="AV109" s="105">
        <v>97.46</v>
      </c>
      <c r="AW109" s="105">
        <v>206.77</v>
      </c>
      <c r="AX109" s="105">
        <v>14.28</v>
      </c>
      <c r="AY109" s="105">
        <v>28.881247200000001</v>
      </c>
      <c r="AZ109" s="105">
        <v>63.689659839999997</v>
      </c>
      <c r="BA109" s="105">
        <v>35.471605859999997</v>
      </c>
      <c r="BB109" s="105">
        <v>88.81</v>
      </c>
      <c r="BC109" s="105">
        <v>142.71</v>
      </c>
      <c r="BD109" s="105">
        <v>100.21</v>
      </c>
    </row>
    <row r="110" spans="3:56" x14ac:dyDescent="0.25">
      <c r="C110" s="38">
        <v>43601</v>
      </c>
      <c r="D110" s="105">
        <v>164.87</v>
      </c>
      <c r="E110" s="105">
        <v>135.5</v>
      </c>
      <c r="F110" s="105">
        <v>84.28</v>
      </c>
      <c r="G110" s="105">
        <v>54.64</v>
      </c>
      <c r="H110" s="105">
        <v>126.61</v>
      </c>
      <c r="I110" s="105">
        <v>186.99</v>
      </c>
      <c r="J110" s="105">
        <v>47.52</v>
      </c>
      <c r="K110" s="105">
        <v>1907.57</v>
      </c>
      <c r="L110" s="105">
        <v>359.31</v>
      </c>
      <c r="M110" s="105">
        <v>128.93</v>
      </c>
      <c r="N110" s="105">
        <v>1184.5</v>
      </c>
      <c r="O110" s="105">
        <v>128.49</v>
      </c>
      <c r="P110" s="105">
        <v>206.8</v>
      </c>
      <c r="Q110" s="105">
        <v>330.87</v>
      </c>
      <c r="R110" s="105">
        <v>57.73</v>
      </c>
      <c r="S110" s="105">
        <v>29.93</v>
      </c>
      <c r="T110" s="105">
        <v>132.51</v>
      </c>
      <c r="U110" s="105">
        <v>63.4</v>
      </c>
      <c r="V110" s="105">
        <v>53.66</v>
      </c>
      <c r="W110" s="105">
        <v>68.739999999999995</v>
      </c>
      <c r="X110" s="105">
        <v>52.59</v>
      </c>
      <c r="Y110" s="105">
        <v>76.274672100000004</v>
      </c>
      <c r="Z110" s="105">
        <v>47.5</v>
      </c>
      <c r="AA110" s="105">
        <v>72.06</v>
      </c>
      <c r="AB110" s="105">
        <v>6.23</v>
      </c>
      <c r="AC110" s="105">
        <v>163.16999999999999</v>
      </c>
      <c r="AD110" s="105">
        <v>60.12</v>
      </c>
      <c r="AE110" s="105">
        <v>30.51</v>
      </c>
      <c r="AF110" s="105">
        <v>23.16</v>
      </c>
      <c r="AG110" s="105">
        <v>98.47</v>
      </c>
      <c r="AH110" s="105">
        <v>36.049999999999997</v>
      </c>
      <c r="AI110" s="105">
        <v>15.615</v>
      </c>
      <c r="AJ110" s="105">
        <v>23.8</v>
      </c>
      <c r="AK110" s="105">
        <v>17.84</v>
      </c>
      <c r="AL110" s="105">
        <v>59.95</v>
      </c>
      <c r="AM110" s="105">
        <v>135.88</v>
      </c>
      <c r="AN110" s="105">
        <v>185.63</v>
      </c>
      <c r="AO110" s="105">
        <v>57.38</v>
      </c>
      <c r="AP110" s="105">
        <v>52.69</v>
      </c>
      <c r="AQ110" s="105">
        <v>139.01</v>
      </c>
      <c r="AR110" s="105">
        <v>30.55</v>
      </c>
      <c r="AS110" s="105">
        <v>20.21</v>
      </c>
      <c r="AT110" s="105">
        <v>74.64</v>
      </c>
      <c r="AU110" s="105">
        <v>225.93</v>
      </c>
      <c r="AV110" s="105">
        <v>100.89</v>
      </c>
      <c r="AW110" s="105">
        <v>212.05</v>
      </c>
      <c r="AX110" s="105">
        <v>15.45</v>
      </c>
      <c r="AY110" s="105">
        <v>26.93973192</v>
      </c>
      <c r="AZ110" s="105">
        <v>68.610602040000003</v>
      </c>
      <c r="BA110" s="105">
        <v>37.222809660000003</v>
      </c>
      <c r="BB110" s="105">
        <v>88.79</v>
      </c>
      <c r="BC110" s="105">
        <v>144.26</v>
      </c>
      <c r="BD110" s="105">
        <v>96.21</v>
      </c>
    </row>
    <row r="111" spans="3:56" x14ac:dyDescent="0.25">
      <c r="C111" s="38">
        <v>43594</v>
      </c>
      <c r="D111" s="105">
        <v>159.81</v>
      </c>
      <c r="E111" s="105">
        <v>133.59</v>
      </c>
      <c r="F111" s="105">
        <v>82.98</v>
      </c>
      <c r="G111" s="105">
        <v>54.25</v>
      </c>
      <c r="H111" s="105">
        <v>131.19999999999999</v>
      </c>
      <c r="I111" s="105">
        <v>188.65</v>
      </c>
      <c r="J111" s="105">
        <v>50.18</v>
      </c>
      <c r="K111" s="105">
        <v>1899.87</v>
      </c>
      <c r="L111" s="105">
        <v>362.75</v>
      </c>
      <c r="M111" s="105">
        <v>125.5</v>
      </c>
      <c r="N111" s="105">
        <v>1167.97</v>
      </c>
      <c r="O111" s="105">
        <v>125.5</v>
      </c>
      <c r="P111" s="105">
        <v>201.89</v>
      </c>
      <c r="Q111" s="105">
        <v>323.25</v>
      </c>
      <c r="R111" s="105">
        <v>56.06</v>
      </c>
      <c r="S111" s="105">
        <v>30.26</v>
      </c>
      <c r="T111" s="105">
        <v>135.47</v>
      </c>
      <c r="U111" s="105">
        <v>64.88</v>
      </c>
      <c r="V111" s="105">
        <v>51.78</v>
      </c>
      <c r="W111" s="105">
        <v>72.290000000000006</v>
      </c>
      <c r="X111" s="105">
        <v>52.46</v>
      </c>
      <c r="Y111" s="105">
        <v>76.563372599999994</v>
      </c>
      <c r="Z111" s="105">
        <v>45.11</v>
      </c>
      <c r="AA111" s="105">
        <v>68.98</v>
      </c>
      <c r="AB111" s="105">
        <v>5.94</v>
      </c>
      <c r="AC111" s="105">
        <v>167.89</v>
      </c>
      <c r="AD111" s="105">
        <v>61.44</v>
      </c>
      <c r="AE111" s="105">
        <v>31.234999999999999</v>
      </c>
      <c r="AF111" s="105">
        <v>23.65</v>
      </c>
      <c r="AG111" s="105">
        <v>98.75</v>
      </c>
      <c r="AH111" s="105">
        <v>36.159999999999997</v>
      </c>
      <c r="AI111" s="105">
        <v>15.505000000000001</v>
      </c>
      <c r="AJ111" s="105">
        <v>24.76</v>
      </c>
      <c r="AK111" s="105">
        <v>18.34</v>
      </c>
      <c r="AL111" s="105">
        <v>59.84</v>
      </c>
      <c r="AM111" s="105">
        <v>135.34</v>
      </c>
      <c r="AN111" s="105">
        <v>188.01</v>
      </c>
      <c r="AO111" s="105">
        <v>56.48</v>
      </c>
      <c r="AP111" s="105">
        <v>53.84</v>
      </c>
      <c r="AQ111" s="105">
        <v>132.43</v>
      </c>
      <c r="AR111" s="105">
        <v>29.93</v>
      </c>
      <c r="AS111" s="105">
        <v>22.76</v>
      </c>
      <c r="AT111" s="105">
        <v>73.55</v>
      </c>
      <c r="AU111" s="105">
        <v>229.8</v>
      </c>
      <c r="AV111" s="105">
        <v>105.64</v>
      </c>
      <c r="AW111" s="105">
        <v>207.89</v>
      </c>
      <c r="AX111" s="105">
        <v>15.65</v>
      </c>
      <c r="AY111" s="105">
        <v>26.74654632</v>
      </c>
      <c r="AZ111" s="105">
        <v>71.01747872</v>
      </c>
      <c r="BA111" s="105">
        <v>37.076876009999999</v>
      </c>
      <c r="BB111" s="105">
        <v>85.97</v>
      </c>
      <c r="BC111" s="105">
        <v>142.36000000000001</v>
      </c>
      <c r="BD111" s="105">
        <v>95.62</v>
      </c>
    </row>
    <row r="112" spans="3:56" x14ac:dyDescent="0.25">
      <c r="C112" s="38">
        <v>43587</v>
      </c>
      <c r="D112" s="105">
        <v>161.12</v>
      </c>
      <c r="E112" s="105">
        <v>134.13999999999999</v>
      </c>
      <c r="F112" s="105">
        <v>85.27</v>
      </c>
      <c r="G112" s="105">
        <v>54.6</v>
      </c>
      <c r="H112" s="105">
        <v>135.16999999999999</v>
      </c>
      <c r="I112" s="105">
        <v>192.53</v>
      </c>
      <c r="J112" s="105">
        <v>52.287500000000001</v>
      </c>
      <c r="K112" s="105">
        <v>1900.82</v>
      </c>
      <c r="L112" s="105">
        <v>379.06</v>
      </c>
      <c r="M112" s="105">
        <v>126.21</v>
      </c>
      <c r="N112" s="105">
        <v>1166.51</v>
      </c>
      <c r="O112" s="105">
        <v>122.54</v>
      </c>
      <c r="P112" s="105">
        <v>209.12</v>
      </c>
      <c r="Q112" s="105">
        <v>325.88</v>
      </c>
      <c r="R112" s="105">
        <v>55.92</v>
      </c>
      <c r="S112" s="105">
        <v>30.74</v>
      </c>
      <c r="T112" s="105">
        <v>136.88999999999999</v>
      </c>
      <c r="U112" s="105">
        <v>67.430000000000007</v>
      </c>
      <c r="V112" s="105">
        <v>52.36</v>
      </c>
      <c r="W112" s="105">
        <v>75.180000000000007</v>
      </c>
      <c r="X112" s="105">
        <v>53.37</v>
      </c>
      <c r="Y112" s="105">
        <v>71.886424500000004</v>
      </c>
      <c r="Z112" s="105">
        <v>44.34</v>
      </c>
      <c r="AA112" s="105">
        <v>73.900000000000006</v>
      </c>
      <c r="AB112" s="105">
        <v>5.82</v>
      </c>
      <c r="AC112" s="105">
        <v>156.6</v>
      </c>
      <c r="AD112" s="105">
        <v>64.099999999999994</v>
      </c>
      <c r="AE112" s="105">
        <v>32.450000000000003</v>
      </c>
      <c r="AF112" s="105">
        <v>25.25</v>
      </c>
      <c r="AG112" s="105">
        <v>95.43</v>
      </c>
      <c r="AH112" s="105">
        <v>36.020000000000003</v>
      </c>
      <c r="AI112" s="105">
        <v>16.557500000000001</v>
      </c>
      <c r="AJ112" s="105">
        <v>24</v>
      </c>
      <c r="AK112" s="105">
        <v>18.63</v>
      </c>
      <c r="AL112" s="105">
        <v>59.7</v>
      </c>
      <c r="AM112" s="105">
        <v>139.59</v>
      </c>
      <c r="AN112" s="105">
        <v>188.85</v>
      </c>
      <c r="AO112" s="105">
        <v>56.99</v>
      </c>
      <c r="AP112" s="105">
        <v>54.45</v>
      </c>
      <c r="AQ112" s="105">
        <v>134.47</v>
      </c>
      <c r="AR112" s="105">
        <v>30.1</v>
      </c>
      <c r="AS112" s="105">
        <v>27.68</v>
      </c>
      <c r="AT112" s="105">
        <v>70.83</v>
      </c>
      <c r="AU112" s="105">
        <v>236.67</v>
      </c>
      <c r="AV112" s="105">
        <v>109.45</v>
      </c>
      <c r="AW112" s="105">
        <v>201.47</v>
      </c>
      <c r="AX112" s="105">
        <v>16.09</v>
      </c>
      <c r="AY112" s="105">
        <v>27.00734688</v>
      </c>
      <c r="AZ112" s="105">
        <v>73.015088919999997</v>
      </c>
      <c r="BA112" s="105">
        <v>35.208925290000003</v>
      </c>
      <c r="BB112" s="105">
        <v>87.36</v>
      </c>
      <c r="BC112" s="105">
        <v>146.53</v>
      </c>
      <c r="BD112" s="105">
        <v>94.42</v>
      </c>
    </row>
    <row r="113" spans="3:56" x14ac:dyDescent="0.25">
      <c r="C113" s="38">
        <v>43580</v>
      </c>
      <c r="D113" s="105">
        <v>161.02000000000001</v>
      </c>
      <c r="E113" s="105">
        <v>137.24</v>
      </c>
      <c r="F113" s="105">
        <v>87.56</v>
      </c>
      <c r="G113" s="105">
        <v>55.01</v>
      </c>
      <c r="H113" s="105">
        <v>136.13</v>
      </c>
      <c r="I113" s="105">
        <v>193.26</v>
      </c>
      <c r="J113" s="105">
        <v>51.32</v>
      </c>
      <c r="K113" s="105">
        <v>1902.25</v>
      </c>
      <c r="L113" s="105">
        <v>368.33</v>
      </c>
      <c r="M113" s="105">
        <v>129.15</v>
      </c>
      <c r="N113" s="105">
        <v>1267.3399999999999</v>
      </c>
      <c r="O113" s="105">
        <v>122.44</v>
      </c>
      <c r="P113" s="105">
        <v>212.16</v>
      </c>
      <c r="Q113" s="105">
        <v>296.74</v>
      </c>
      <c r="R113" s="105">
        <v>55.99</v>
      </c>
      <c r="S113" s="105">
        <v>30.8</v>
      </c>
      <c r="T113" s="105">
        <v>135.68</v>
      </c>
      <c r="U113" s="105">
        <v>67.14</v>
      </c>
      <c r="V113" s="105">
        <v>51.56</v>
      </c>
      <c r="W113" s="105">
        <v>73.790000000000006</v>
      </c>
      <c r="X113" s="105">
        <v>53.35</v>
      </c>
      <c r="Y113" s="105">
        <v>74.821546249999997</v>
      </c>
      <c r="Z113" s="105">
        <v>44.11</v>
      </c>
      <c r="AA113" s="105">
        <v>74.650000000000006</v>
      </c>
      <c r="AB113" s="105">
        <v>5.46</v>
      </c>
      <c r="AC113" s="105">
        <v>163.34</v>
      </c>
      <c r="AD113" s="105">
        <v>66.52</v>
      </c>
      <c r="AE113" s="105">
        <v>38.164999999999999</v>
      </c>
      <c r="AF113" s="105">
        <v>26.05</v>
      </c>
      <c r="AG113" s="105">
        <v>95.17</v>
      </c>
      <c r="AH113" s="105">
        <v>38.24</v>
      </c>
      <c r="AI113" s="105">
        <v>15.2875</v>
      </c>
      <c r="AJ113" s="105">
        <v>24.93</v>
      </c>
      <c r="AK113" s="105">
        <v>18.03</v>
      </c>
      <c r="AL113" s="105">
        <v>63.58</v>
      </c>
      <c r="AM113" s="105">
        <v>138.63</v>
      </c>
      <c r="AN113" s="105">
        <v>187.17</v>
      </c>
      <c r="AO113" s="105">
        <v>55.85</v>
      </c>
      <c r="AP113" s="105">
        <v>55.08</v>
      </c>
      <c r="AQ113" s="105">
        <v>135.76</v>
      </c>
      <c r="AR113" s="105">
        <v>31.63</v>
      </c>
      <c r="AS113" s="105">
        <v>26.68</v>
      </c>
      <c r="AT113" s="105">
        <v>69.37</v>
      </c>
      <c r="AU113" s="105">
        <v>237.43</v>
      </c>
      <c r="AV113" s="105">
        <v>110.76</v>
      </c>
      <c r="AW113" s="105">
        <v>196.54</v>
      </c>
      <c r="AX113" s="105">
        <v>15.81</v>
      </c>
      <c r="AY113" s="105">
        <v>26.669272079999999</v>
      </c>
      <c r="AZ113" s="105">
        <v>67.840791280000005</v>
      </c>
      <c r="BA113" s="105">
        <v>33.983082629999998</v>
      </c>
      <c r="BB113" s="105">
        <v>87.68</v>
      </c>
      <c r="BC113" s="105">
        <v>139.97999999999999</v>
      </c>
      <c r="BD113" s="105">
        <v>92.31</v>
      </c>
    </row>
    <row r="114" spans="3:56" x14ac:dyDescent="0.25">
      <c r="C114" s="38">
        <v>43573</v>
      </c>
      <c r="D114" s="105">
        <v>160.16</v>
      </c>
      <c r="E114" s="105">
        <v>132.44999999999999</v>
      </c>
      <c r="F114" s="105">
        <v>89.2</v>
      </c>
      <c r="G114" s="105">
        <v>54.52</v>
      </c>
      <c r="H114" s="105">
        <v>143.36000000000001</v>
      </c>
      <c r="I114" s="105">
        <v>178.28</v>
      </c>
      <c r="J114" s="105">
        <v>50.965000000000003</v>
      </c>
      <c r="K114" s="105">
        <v>1861.69</v>
      </c>
      <c r="L114" s="105">
        <v>360.35</v>
      </c>
      <c r="M114" s="105">
        <v>123.37</v>
      </c>
      <c r="N114" s="105">
        <v>1241.47</v>
      </c>
      <c r="O114" s="105">
        <v>116.96</v>
      </c>
      <c r="P114" s="105">
        <v>198.8</v>
      </c>
      <c r="Q114" s="105">
        <v>281.49</v>
      </c>
      <c r="R114" s="105">
        <v>54.68</v>
      </c>
      <c r="S114" s="105">
        <v>30.97</v>
      </c>
      <c r="T114" s="105">
        <v>134.41</v>
      </c>
      <c r="U114" s="105">
        <v>68.22</v>
      </c>
      <c r="V114" s="105">
        <v>52.91</v>
      </c>
      <c r="W114" s="105">
        <v>73.64</v>
      </c>
      <c r="X114" s="105">
        <v>52.18</v>
      </c>
      <c r="Y114" s="105">
        <v>75.023636600000003</v>
      </c>
      <c r="Z114" s="105">
        <v>41.91</v>
      </c>
      <c r="AA114" s="105">
        <v>70.23</v>
      </c>
      <c r="AB114" s="105">
        <v>5.44</v>
      </c>
      <c r="AC114" s="105">
        <v>168.98</v>
      </c>
      <c r="AD114" s="105">
        <v>66.03</v>
      </c>
      <c r="AE114" s="105">
        <v>38.164999999999999</v>
      </c>
      <c r="AF114" s="105">
        <v>27.07</v>
      </c>
      <c r="AG114" s="105">
        <v>92.77</v>
      </c>
      <c r="AH114" s="105">
        <v>38.85</v>
      </c>
      <c r="AI114" s="105">
        <v>15.3125</v>
      </c>
      <c r="AJ114" s="105">
        <v>25.22</v>
      </c>
      <c r="AK114" s="105">
        <v>16.96</v>
      </c>
      <c r="AL114" s="105">
        <v>63.09</v>
      </c>
      <c r="AM114" s="105">
        <v>140.33000000000001</v>
      </c>
      <c r="AN114" s="105">
        <v>180.26</v>
      </c>
      <c r="AO114" s="105">
        <v>58.04</v>
      </c>
      <c r="AP114" s="105">
        <v>55.12</v>
      </c>
      <c r="AQ114" s="105">
        <v>128.08000000000001</v>
      </c>
      <c r="AR114" s="105">
        <v>33.04</v>
      </c>
      <c r="AS114" s="105">
        <v>26.85</v>
      </c>
      <c r="AT114" s="105">
        <v>70.989999999999995</v>
      </c>
      <c r="AU114" s="105">
        <v>227.89</v>
      </c>
      <c r="AV114" s="105">
        <v>108.67</v>
      </c>
      <c r="AW114" s="105">
        <v>188.95</v>
      </c>
      <c r="AX114" s="105">
        <v>15.41</v>
      </c>
      <c r="AY114" s="105">
        <v>26.534042159999998</v>
      </c>
      <c r="AZ114" s="105">
        <v>70.695912199999995</v>
      </c>
      <c r="BA114" s="105">
        <v>34.430612490000001</v>
      </c>
      <c r="BB114" s="105">
        <v>86.44</v>
      </c>
      <c r="BC114" s="105">
        <v>131.15</v>
      </c>
      <c r="BD114" s="105">
        <v>93.23</v>
      </c>
    </row>
    <row r="115" spans="3:56" x14ac:dyDescent="0.25">
      <c r="C115" s="38">
        <v>43566</v>
      </c>
      <c r="D115" s="105">
        <v>157.86000000000001</v>
      </c>
      <c r="E115" s="105">
        <v>116.6</v>
      </c>
      <c r="F115" s="105">
        <v>85</v>
      </c>
      <c r="G115" s="105">
        <v>53.79</v>
      </c>
      <c r="H115" s="105">
        <v>138.87</v>
      </c>
      <c r="I115" s="105">
        <v>177.51</v>
      </c>
      <c r="J115" s="105">
        <v>49.737499999999997</v>
      </c>
      <c r="K115" s="105">
        <v>1844.07</v>
      </c>
      <c r="L115" s="105">
        <v>367.65</v>
      </c>
      <c r="M115" s="105">
        <v>120.33</v>
      </c>
      <c r="N115" s="105">
        <v>1209.5899999999999</v>
      </c>
      <c r="O115" s="105">
        <v>115.92</v>
      </c>
      <c r="P115" s="105">
        <v>191.17</v>
      </c>
      <c r="Q115" s="105">
        <v>289.66000000000003</v>
      </c>
      <c r="R115" s="105">
        <v>55.67</v>
      </c>
      <c r="S115" s="105">
        <v>31.97</v>
      </c>
      <c r="T115" s="105">
        <v>133.25</v>
      </c>
      <c r="U115" s="105">
        <v>66.08</v>
      </c>
      <c r="V115" s="105">
        <v>51.3</v>
      </c>
      <c r="W115" s="105">
        <v>73.98</v>
      </c>
      <c r="X115" s="105">
        <v>53</v>
      </c>
      <c r="Y115" s="105">
        <v>74.446235599999994</v>
      </c>
      <c r="Z115" s="105">
        <v>42.2</v>
      </c>
      <c r="AA115" s="105">
        <v>68.31</v>
      </c>
      <c r="AB115" s="105">
        <v>5.48</v>
      </c>
      <c r="AC115" s="105">
        <v>167.87</v>
      </c>
      <c r="AD115" s="105">
        <v>61.85</v>
      </c>
      <c r="AE115" s="105">
        <v>36.5</v>
      </c>
      <c r="AF115" s="105">
        <v>27</v>
      </c>
      <c r="AG115" s="105">
        <v>90.6</v>
      </c>
      <c r="AH115" s="105">
        <v>40.69</v>
      </c>
      <c r="AI115" s="105">
        <v>16.07</v>
      </c>
      <c r="AJ115" s="105">
        <v>24.63</v>
      </c>
      <c r="AK115" s="105">
        <v>17.14</v>
      </c>
      <c r="AL115" s="105">
        <v>62.6</v>
      </c>
      <c r="AM115" s="105">
        <v>143.78</v>
      </c>
      <c r="AN115" s="105">
        <v>195.33</v>
      </c>
      <c r="AO115" s="105">
        <v>58.56</v>
      </c>
      <c r="AP115" s="105">
        <v>53.89</v>
      </c>
      <c r="AQ115" s="105">
        <v>135.38</v>
      </c>
      <c r="AR115" s="105">
        <v>35.0948499</v>
      </c>
      <c r="AS115" s="105">
        <v>27.01</v>
      </c>
      <c r="AT115" s="105">
        <v>68.12</v>
      </c>
      <c r="AU115" s="105">
        <v>251.73</v>
      </c>
      <c r="AV115" s="105">
        <v>104.65</v>
      </c>
      <c r="AW115" s="105">
        <v>188.58</v>
      </c>
      <c r="AX115" s="105">
        <v>15.93</v>
      </c>
      <c r="AY115" s="105">
        <v>26.601657119999999</v>
      </c>
      <c r="AZ115" s="105">
        <v>69.351179479999999</v>
      </c>
      <c r="BA115" s="105">
        <v>34.897600169999997</v>
      </c>
      <c r="BB115" s="105">
        <v>87.6</v>
      </c>
      <c r="BC115" s="105">
        <v>136.38999999999999</v>
      </c>
      <c r="BD115" s="105">
        <v>95.44</v>
      </c>
    </row>
    <row r="116" spans="3:56" x14ac:dyDescent="0.25">
      <c r="C116" s="38">
        <v>43559</v>
      </c>
      <c r="D116" s="105">
        <v>157.63999999999999</v>
      </c>
      <c r="E116" s="105">
        <v>114.75</v>
      </c>
      <c r="F116" s="105">
        <v>85.28</v>
      </c>
      <c r="G116" s="105">
        <v>53.82</v>
      </c>
      <c r="H116" s="105">
        <v>140.13</v>
      </c>
      <c r="I116" s="105">
        <v>176.02</v>
      </c>
      <c r="J116" s="105">
        <v>48.922499999999999</v>
      </c>
      <c r="K116" s="105">
        <v>1818.86</v>
      </c>
      <c r="L116" s="105">
        <v>367.88</v>
      </c>
      <c r="M116" s="105">
        <v>119.36</v>
      </c>
      <c r="N116" s="105">
        <v>1219.45</v>
      </c>
      <c r="O116" s="105">
        <v>114.91</v>
      </c>
      <c r="P116" s="105">
        <v>191.45</v>
      </c>
      <c r="Q116" s="105">
        <v>287.95999999999998</v>
      </c>
      <c r="R116" s="105">
        <v>55.28</v>
      </c>
      <c r="S116" s="105">
        <v>31.67</v>
      </c>
      <c r="T116" s="105">
        <v>132.19999999999999</v>
      </c>
      <c r="U116" s="105">
        <v>65.61</v>
      </c>
      <c r="V116" s="105">
        <v>50.69</v>
      </c>
      <c r="W116" s="105">
        <v>74.569999999999993</v>
      </c>
      <c r="X116" s="105">
        <v>53.18</v>
      </c>
      <c r="Y116" s="105">
        <v>70.818232649999999</v>
      </c>
      <c r="Z116" s="105">
        <v>41.21</v>
      </c>
      <c r="AA116" s="105">
        <v>67.17</v>
      </c>
      <c r="AB116" s="105">
        <v>5.34</v>
      </c>
      <c r="AC116" s="105">
        <v>163.44</v>
      </c>
      <c r="AD116" s="105">
        <v>58.57</v>
      </c>
      <c r="AE116" s="105">
        <v>33.89</v>
      </c>
      <c r="AF116" s="105">
        <v>27.72</v>
      </c>
      <c r="AG116" s="105">
        <v>87.68</v>
      </c>
      <c r="AH116" s="105">
        <v>39.65</v>
      </c>
      <c r="AI116" s="105">
        <v>14.41</v>
      </c>
      <c r="AJ116" s="105">
        <v>25.5</v>
      </c>
      <c r="AK116" s="105">
        <v>16.600000000000001</v>
      </c>
      <c r="AL116" s="105">
        <v>63.69</v>
      </c>
      <c r="AM116" s="105">
        <v>142.78</v>
      </c>
      <c r="AN116" s="105">
        <v>193.71</v>
      </c>
      <c r="AO116" s="105">
        <v>58.99</v>
      </c>
      <c r="AP116" s="105">
        <v>54.25</v>
      </c>
      <c r="AQ116" s="105">
        <v>125.95</v>
      </c>
      <c r="AR116" s="105">
        <v>35.592441600000001</v>
      </c>
      <c r="AS116" s="105">
        <v>27.42</v>
      </c>
      <c r="AT116" s="105">
        <v>66.86</v>
      </c>
      <c r="AU116" s="105">
        <v>251.59</v>
      </c>
      <c r="AV116" s="105">
        <v>105.63</v>
      </c>
      <c r="AW116" s="105">
        <v>183.69</v>
      </c>
      <c r="AX116" s="105">
        <v>16.420000000000002</v>
      </c>
      <c r="AY116" s="105">
        <v>25.713003359999998</v>
      </c>
      <c r="AZ116" s="105">
        <v>69.156290679999998</v>
      </c>
      <c r="BA116" s="105">
        <v>35.33540112</v>
      </c>
      <c r="BB116" s="105">
        <v>87.39</v>
      </c>
      <c r="BC116" s="105">
        <v>135.94999999999999</v>
      </c>
      <c r="BD116" s="105">
        <v>95.91</v>
      </c>
    </row>
    <row r="117" spans="3:56" x14ac:dyDescent="0.25">
      <c r="C117" s="38">
        <v>43552</v>
      </c>
      <c r="D117" s="105">
        <v>154.66999999999999</v>
      </c>
      <c r="E117" s="105">
        <v>110.71</v>
      </c>
      <c r="F117" s="105">
        <v>84.04</v>
      </c>
      <c r="G117" s="105">
        <v>53.19</v>
      </c>
      <c r="H117" s="105">
        <v>132.37</v>
      </c>
      <c r="I117" s="105">
        <v>165.55</v>
      </c>
      <c r="J117" s="105">
        <v>47.18</v>
      </c>
      <c r="K117" s="105">
        <v>1773.42</v>
      </c>
      <c r="L117" s="105">
        <v>354.61</v>
      </c>
      <c r="M117" s="105">
        <v>116.93</v>
      </c>
      <c r="N117" s="105">
        <v>1172.27</v>
      </c>
      <c r="O117" s="105">
        <v>114.33</v>
      </c>
      <c r="P117" s="105">
        <v>172.5</v>
      </c>
      <c r="Q117" s="105">
        <v>273.91000000000003</v>
      </c>
      <c r="R117" s="105">
        <v>56.16</v>
      </c>
      <c r="S117" s="105">
        <v>31.59</v>
      </c>
      <c r="T117" s="105">
        <v>124.08</v>
      </c>
      <c r="U117" s="105">
        <v>60.33</v>
      </c>
      <c r="V117" s="105">
        <v>49.76</v>
      </c>
      <c r="W117" s="105">
        <v>71.099999999999994</v>
      </c>
      <c r="X117" s="105">
        <v>50.45</v>
      </c>
      <c r="Y117" s="105">
        <v>72.338721949999993</v>
      </c>
      <c r="Z117" s="105">
        <v>43.15</v>
      </c>
      <c r="AA117" s="105">
        <v>64.44</v>
      </c>
      <c r="AB117" s="105">
        <v>5.26</v>
      </c>
      <c r="AC117" s="105">
        <v>152.16999999999999</v>
      </c>
      <c r="AD117" s="105">
        <v>53.28</v>
      </c>
      <c r="AE117" s="105">
        <v>31.61</v>
      </c>
      <c r="AF117" s="105">
        <v>27.17</v>
      </c>
      <c r="AG117" s="105">
        <v>85.26</v>
      </c>
      <c r="AH117" s="105">
        <v>36.380000000000003</v>
      </c>
      <c r="AI117" s="105">
        <v>14.63</v>
      </c>
      <c r="AJ117" s="105">
        <v>23.91</v>
      </c>
      <c r="AK117" s="105">
        <v>16.18</v>
      </c>
      <c r="AL117" s="105">
        <v>62.16</v>
      </c>
      <c r="AM117" s="105">
        <v>139.91999999999999</v>
      </c>
      <c r="AN117" s="105">
        <v>196.12</v>
      </c>
      <c r="AO117" s="105">
        <v>59.08</v>
      </c>
      <c r="AP117" s="105">
        <v>53.06</v>
      </c>
      <c r="AQ117" s="105">
        <v>121.83</v>
      </c>
      <c r="AR117" s="105">
        <v>34.704581900000001</v>
      </c>
      <c r="AS117" s="105">
        <v>28.24</v>
      </c>
      <c r="AT117" s="105">
        <v>66.260000000000005</v>
      </c>
      <c r="AU117" s="105">
        <v>247</v>
      </c>
      <c r="AV117" s="105">
        <v>103.47</v>
      </c>
      <c r="AW117" s="105">
        <v>186.69</v>
      </c>
      <c r="AX117" s="105">
        <v>16.54</v>
      </c>
      <c r="AY117" s="105">
        <v>24.669801119999999</v>
      </c>
      <c r="AZ117" s="105">
        <v>67.139191600000004</v>
      </c>
      <c r="BA117" s="105">
        <v>34.829497799999999</v>
      </c>
      <c r="BB117" s="105">
        <v>89.09</v>
      </c>
      <c r="BC117" s="105">
        <v>126.78</v>
      </c>
      <c r="BD117" s="105">
        <v>94.77</v>
      </c>
    </row>
    <row r="118" spans="3:56" x14ac:dyDescent="0.25">
      <c r="C118" s="38">
        <v>43545</v>
      </c>
      <c r="D118" s="105">
        <v>155.80000000000001</v>
      </c>
      <c r="E118" s="105">
        <v>108.66</v>
      </c>
      <c r="F118" s="105">
        <v>88.01</v>
      </c>
      <c r="G118" s="105">
        <v>54.04</v>
      </c>
      <c r="H118" s="105">
        <v>134.06</v>
      </c>
      <c r="I118" s="105">
        <v>166.08</v>
      </c>
      <c r="J118" s="105">
        <v>48.772500000000001</v>
      </c>
      <c r="K118" s="105">
        <v>1819.26</v>
      </c>
      <c r="L118" s="105">
        <v>377.87</v>
      </c>
      <c r="M118" s="105">
        <v>120.22</v>
      </c>
      <c r="N118" s="105">
        <v>1236.1300000000001</v>
      </c>
      <c r="O118" s="105">
        <v>111.5</v>
      </c>
      <c r="P118" s="105">
        <v>169.39</v>
      </c>
      <c r="Q118" s="105">
        <v>280.73</v>
      </c>
      <c r="R118" s="105">
        <v>56.48</v>
      </c>
      <c r="S118" s="105">
        <v>32.299999999999997</v>
      </c>
      <c r="T118" s="105">
        <v>125.06</v>
      </c>
      <c r="U118" s="105">
        <v>61.2</v>
      </c>
      <c r="V118" s="105">
        <v>47.57</v>
      </c>
      <c r="W118" s="105">
        <v>70.56</v>
      </c>
      <c r="X118" s="105">
        <v>50.74</v>
      </c>
      <c r="Y118" s="105">
        <v>70.134974799999995</v>
      </c>
      <c r="Z118" s="105">
        <v>43.64</v>
      </c>
      <c r="AA118" s="105">
        <v>65.33</v>
      </c>
      <c r="AB118" s="105">
        <v>5.42</v>
      </c>
      <c r="AC118" s="105">
        <v>161.62</v>
      </c>
      <c r="AD118" s="105">
        <v>51.48</v>
      </c>
      <c r="AE118" s="105">
        <v>32.729999999999997</v>
      </c>
      <c r="AF118" s="105">
        <v>28.3</v>
      </c>
      <c r="AG118" s="105">
        <v>80.7</v>
      </c>
      <c r="AH118" s="105">
        <v>35.25</v>
      </c>
      <c r="AI118" s="105">
        <v>14.395</v>
      </c>
      <c r="AJ118" s="105">
        <v>23.79</v>
      </c>
      <c r="AK118" s="105">
        <v>16.3</v>
      </c>
      <c r="AL118" s="105">
        <v>64.98</v>
      </c>
      <c r="AM118" s="105">
        <v>141.44</v>
      </c>
      <c r="AN118" s="105">
        <v>198</v>
      </c>
      <c r="AO118" s="105">
        <v>58.29</v>
      </c>
      <c r="AP118" s="105">
        <v>52.49</v>
      </c>
      <c r="AQ118" s="105">
        <v>132.47</v>
      </c>
      <c r="AR118" s="105">
        <v>33.494751100000002</v>
      </c>
      <c r="AS118" s="105">
        <v>29.25</v>
      </c>
      <c r="AT118" s="105">
        <v>65.91</v>
      </c>
      <c r="AU118" s="105">
        <v>245.42</v>
      </c>
      <c r="AV118" s="105">
        <v>101.41</v>
      </c>
      <c r="AW118" s="105">
        <v>190.05</v>
      </c>
      <c r="AX118" s="105">
        <v>17.37</v>
      </c>
      <c r="AY118" s="105">
        <v>24.785712480000001</v>
      </c>
      <c r="AZ118" s="105">
        <v>66.876091720000005</v>
      </c>
      <c r="BA118" s="105">
        <v>35.277027660000002</v>
      </c>
      <c r="BB118" s="105">
        <v>89.45</v>
      </c>
      <c r="BC118" s="105">
        <v>127.07</v>
      </c>
      <c r="BD118" s="105">
        <v>95.88</v>
      </c>
    </row>
    <row r="119" spans="3:56" x14ac:dyDescent="0.25">
      <c r="C119" s="38">
        <v>43538</v>
      </c>
      <c r="D119" s="105">
        <v>154.19999999999999</v>
      </c>
      <c r="E119" s="105">
        <v>114.48</v>
      </c>
      <c r="F119" s="105">
        <v>86.87</v>
      </c>
      <c r="G119" s="105">
        <v>53.05</v>
      </c>
      <c r="H119" s="105">
        <v>133.69</v>
      </c>
      <c r="I119" s="105">
        <v>170.17</v>
      </c>
      <c r="J119" s="105">
        <v>45.932499999999997</v>
      </c>
      <c r="K119" s="105">
        <v>1686.22</v>
      </c>
      <c r="L119" s="105">
        <v>358.82</v>
      </c>
      <c r="M119" s="105">
        <v>114.59</v>
      </c>
      <c r="N119" s="105">
        <v>1192.53</v>
      </c>
      <c r="O119" s="105">
        <v>110.38</v>
      </c>
      <c r="P119" s="105">
        <v>170.61</v>
      </c>
      <c r="Q119" s="105">
        <v>247.59</v>
      </c>
      <c r="R119" s="105">
        <v>56.16</v>
      </c>
      <c r="S119" s="105">
        <v>32.590000000000003</v>
      </c>
      <c r="T119" s="105">
        <v>119.62</v>
      </c>
      <c r="U119" s="105">
        <v>59.42</v>
      </c>
      <c r="V119" s="105">
        <v>48.02</v>
      </c>
      <c r="W119" s="105">
        <v>68.849999999999994</v>
      </c>
      <c r="X119" s="105">
        <v>51.16</v>
      </c>
      <c r="Y119" s="105">
        <v>67.161359649999994</v>
      </c>
      <c r="Z119" s="105">
        <v>40.96</v>
      </c>
      <c r="AA119" s="105">
        <v>65.180000000000007</v>
      </c>
      <c r="AB119" s="105">
        <v>5.4</v>
      </c>
      <c r="AC119" s="105">
        <v>154.80000000000001</v>
      </c>
      <c r="AD119" s="105">
        <v>50.22</v>
      </c>
      <c r="AE119" s="105">
        <v>35.034999999999997</v>
      </c>
      <c r="AF119" s="105">
        <v>28.38</v>
      </c>
      <c r="AG119" s="105">
        <v>80.63</v>
      </c>
      <c r="AH119" s="105">
        <v>34.979999999999997</v>
      </c>
      <c r="AI119" s="105">
        <v>14.25</v>
      </c>
      <c r="AJ119" s="105">
        <v>25.19</v>
      </c>
      <c r="AK119" s="105">
        <v>16.71</v>
      </c>
      <c r="AL119" s="105">
        <v>64.05</v>
      </c>
      <c r="AM119" s="105">
        <v>138.79</v>
      </c>
      <c r="AN119" s="105">
        <v>193.35</v>
      </c>
      <c r="AO119" s="105">
        <v>57.95</v>
      </c>
      <c r="AP119" s="105">
        <v>52.1</v>
      </c>
      <c r="AQ119" s="105">
        <v>126.42</v>
      </c>
      <c r="AR119" s="105">
        <v>32.606891400000002</v>
      </c>
      <c r="AS119" s="105">
        <v>28</v>
      </c>
      <c r="AT119" s="105">
        <v>66.12</v>
      </c>
      <c r="AU119" s="105">
        <v>252.26</v>
      </c>
      <c r="AV119" s="105">
        <v>100.65</v>
      </c>
      <c r="AW119" s="105">
        <v>183.35</v>
      </c>
      <c r="AX119" s="105">
        <v>16.84</v>
      </c>
      <c r="AY119" s="105">
        <v>24.573208319999999</v>
      </c>
      <c r="AZ119" s="105">
        <v>64.293815120000005</v>
      </c>
      <c r="BA119" s="105">
        <v>33.447992579999998</v>
      </c>
      <c r="BB119" s="105">
        <v>88.69</v>
      </c>
      <c r="BC119" s="105">
        <v>127.36</v>
      </c>
      <c r="BD119" s="105">
        <v>98.2</v>
      </c>
    </row>
    <row r="120" spans="3:56" x14ac:dyDescent="0.25">
      <c r="C120" s="38">
        <v>43531</v>
      </c>
      <c r="D120" s="105">
        <v>146.83000000000001</v>
      </c>
      <c r="E120" s="105">
        <v>114.01</v>
      </c>
      <c r="F120" s="105">
        <v>85.26</v>
      </c>
      <c r="G120" s="105">
        <v>52.58</v>
      </c>
      <c r="H120" s="105">
        <v>132.80000000000001</v>
      </c>
      <c r="I120" s="105">
        <v>169.13</v>
      </c>
      <c r="J120" s="105">
        <v>43.125</v>
      </c>
      <c r="K120" s="105">
        <v>1625.95</v>
      </c>
      <c r="L120" s="105">
        <v>352.6</v>
      </c>
      <c r="M120" s="105">
        <v>110.39</v>
      </c>
      <c r="N120" s="105">
        <v>1150.8499999999999</v>
      </c>
      <c r="O120" s="105">
        <v>111.93</v>
      </c>
      <c r="P120" s="105">
        <v>167.64</v>
      </c>
      <c r="Q120" s="105">
        <v>230.75</v>
      </c>
      <c r="R120" s="105">
        <v>55.52</v>
      </c>
      <c r="S120" s="105">
        <v>32.07</v>
      </c>
      <c r="T120" s="105">
        <v>122.22</v>
      </c>
      <c r="U120" s="105">
        <v>59.99</v>
      </c>
      <c r="V120" s="105">
        <v>47.55</v>
      </c>
      <c r="W120" s="105">
        <v>67.64</v>
      </c>
      <c r="X120" s="105">
        <v>52.43</v>
      </c>
      <c r="Y120" s="105">
        <v>62.965579050000002</v>
      </c>
      <c r="Z120" s="105">
        <v>39.57</v>
      </c>
      <c r="AA120" s="105">
        <v>64.31</v>
      </c>
      <c r="AB120" s="105">
        <v>5.08</v>
      </c>
      <c r="AC120" s="105">
        <v>148.07</v>
      </c>
      <c r="AD120" s="105">
        <v>47.59</v>
      </c>
      <c r="AE120" s="105">
        <v>35.5</v>
      </c>
      <c r="AF120" s="105">
        <v>27.92</v>
      </c>
      <c r="AG120" s="105">
        <v>81</v>
      </c>
      <c r="AH120" s="105">
        <v>37.81</v>
      </c>
      <c r="AI120" s="105">
        <v>14.272500000000001</v>
      </c>
      <c r="AJ120" s="105">
        <v>25.23</v>
      </c>
      <c r="AK120" s="105">
        <v>16.190000000000001</v>
      </c>
      <c r="AL120" s="105">
        <v>62.2</v>
      </c>
      <c r="AM120" s="105">
        <v>135.36000000000001</v>
      </c>
      <c r="AN120" s="105">
        <v>187.06</v>
      </c>
      <c r="AO120" s="105">
        <v>56.3</v>
      </c>
      <c r="AP120" s="105">
        <v>51.75</v>
      </c>
      <c r="AQ120" s="105">
        <v>123.33</v>
      </c>
      <c r="AR120" s="105">
        <v>32.411757399999999</v>
      </c>
      <c r="AS120" s="105">
        <v>26.82</v>
      </c>
      <c r="AT120" s="105">
        <v>65.87</v>
      </c>
      <c r="AU120" s="105">
        <v>246.67</v>
      </c>
      <c r="AV120" s="105">
        <v>103.16</v>
      </c>
      <c r="AW120" s="105">
        <v>176.23</v>
      </c>
      <c r="AX120" s="105">
        <v>16.170000000000002</v>
      </c>
      <c r="AY120" s="105">
        <v>23.50102824</v>
      </c>
      <c r="AZ120" s="105">
        <v>64.615381639999995</v>
      </c>
      <c r="BA120" s="105">
        <v>32.912902529999997</v>
      </c>
      <c r="BB120" s="105">
        <v>86.87</v>
      </c>
      <c r="BC120" s="105">
        <v>127.01</v>
      </c>
      <c r="BD120" s="105">
        <v>100.35</v>
      </c>
    </row>
    <row r="121" spans="3:56" x14ac:dyDescent="0.25">
      <c r="C121" s="38">
        <v>43524</v>
      </c>
      <c r="D121" s="105">
        <v>148.12</v>
      </c>
      <c r="E121" s="105">
        <v>112.84</v>
      </c>
      <c r="F121" s="105">
        <v>85.73</v>
      </c>
      <c r="G121" s="105">
        <v>52.13</v>
      </c>
      <c r="H121" s="105">
        <v>137.34</v>
      </c>
      <c r="I121" s="105">
        <v>161.44999999999999</v>
      </c>
      <c r="J121" s="105">
        <v>43.287500000000001</v>
      </c>
      <c r="K121" s="105">
        <v>1639.83</v>
      </c>
      <c r="L121" s="105">
        <v>358.1</v>
      </c>
      <c r="M121" s="105">
        <v>112.03</v>
      </c>
      <c r="N121" s="105">
        <v>1126.55</v>
      </c>
      <c r="O121" s="105">
        <v>110.68</v>
      </c>
      <c r="P121" s="105">
        <v>169.16</v>
      </c>
      <c r="Q121" s="105">
        <v>258.97000000000003</v>
      </c>
      <c r="R121" s="105">
        <v>54.86</v>
      </c>
      <c r="S121" s="105">
        <v>32.17</v>
      </c>
      <c r="T121" s="105">
        <v>125.27</v>
      </c>
      <c r="U121" s="105">
        <v>61.43</v>
      </c>
      <c r="V121" s="105">
        <v>47.98</v>
      </c>
      <c r="W121" s="105">
        <v>68.84</v>
      </c>
      <c r="X121" s="105">
        <v>56.04</v>
      </c>
      <c r="Y121" s="105">
        <v>64.101134349999995</v>
      </c>
      <c r="Z121" s="105">
        <v>41.22</v>
      </c>
      <c r="AA121" s="105">
        <v>65.709999999999994</v>
      </c>
      <c r="AB121" s="105">
        <v>5.22</v>
      </c>
      <c r="AC121" s="105">
        <v>149.24</v>
      </c>
      <c r="AD121" s="105">
        <v>50.35</v>
      </c>
      <c r="AE121" s="105">
        <v>37.475000000000001</v>
      </c>
      <c r="AF121" s="105">
        <v>31.27</v>
      </c>
      <c r="AG121" s="105">
        <v>88.22</v>
      </c>
      <c r="AH121" s="105">
        <v>39.06</v>
      </c>
      <c r="AI121" s="105">
        <v>14.5525</v>
      </c>
      <c r="AJ121" s="105">
        <v>25.14</v>
      </c>
      <c r="AK121" s="105">
        <v>16.7</v>
      </c>
      <c r="AL121" s="105">
        <v>59.89</v>
      </c>
      <c r="AM121" s="105">
        <v>138.13</v>
      </c>
      <c r="AN121" s="105">
        <v>188.51</v>
      </c>
      <c r="AO121" s="105">
        <v>56.92</v>
      </c>
      <c r="AP121" s="105">
        <v>51.29</v>
      </c>
      <c r="AQ121" s="105">
        <v>135.88</v>
      </c>
      <c r="AR121" s="105">
        <v>33.289860400000002</v>
      </c>
      <c r="AS121" s="105">
        <v>26.39</v>
      </c>
      <c r="AT121" s="105">
        <v>67.55</v>
      </c>
      <c r="AU121" s="105">
        <v>248.79</v>
      </c>
      <c r="AV121" s="105">
        <v>96.33</v>
      </c>
      <c r="AW121" s="105">
        <v>181.73</v>
      </c>
      <c r="AX121" s="105">
        <v>16.760000000000002</v>
      </c>
      <c r="AY121" s="105">
        <v>24.553889760000001</v>
      </c>
      <c r="AZ121" s="105">
        <v>65.852925519999999</v>
      </c>
      <c r="BA121" s="105">
        <v>33.33124566</v>
      </c>
      <c r="BB121" s="105">
        <v>86.45</v>
      </c>
      <c r="BC121" s="105">
        <v>132.1</v>
      </c>
      <c r="BD121" s="105">
        <v>102.99</v>
      </c>
    </row>
    <row r="122" spans="3:56" x14ac:dyDescent="0.25">
      <c r="C122" s="38">
        <v>43517</v>
      </c>
      <c r="D122" s="105">
        <v>144</v>
      </c>
      <c r="E122" s="105">
        <v>114.29</v>
      </c>
      <c r="F122" s="105">
        <v>83.95</v>
      </c>
      <c r="G122" s="105">
        <v>52.11</v>
      </c>
      <c r="H122" s="105">
        <v>138.88</v>
      </c>
      <c r="I122" s="105">
        <v>160.04</v>
      </c>
      <c r="J122" s="105">
        <v>42.765000000000001</v>
      </c>
      <c r="K122" s="105">
        <v>1619.44</v>
      </c>
      <c r="L122" s="105">
        <v>356.97</v>
      </c>
      <c r="M122" s="105">
        <v>109.41</v>
      </c>
      <c r="N122" s="105">
        <v>1104.21</v>
      </c>
      <c r="O122" s="105">
        <v>111.2</v>
      </c>
      <c r="P122" s="105">
        <v>165.65</v>
      </c>
      <c r="Q122" s="105">
        <v>250.23</v>
      </c>
      <c r="R122" s="105">
        <v>54.78</v>
      </c>
      <c r="S122" s="105">
        <v>31.42</v>
      </c>
      <c r="T122" s="105">
        <v>127.37</v>
      </c>
      <c r="U122" s="105">
        <v>61.51</v>
      </c>
      <c r="V122" s="105">
        <v>49.22</v>
      </c>
      <c r="W122" s="105">
        <v>59.77</v>
      </c>
      <c r="X122" s="105">
        <v>54.31</v>
      </c>
      <c r="Y122" s="105">
        <v>64.659288649999993</v>
      </c>
      <c r="Z122" s="105">
        <v>39.549999999999997</v>
      </c>
      <c r="AA122" s="105">
        <v>63.88</v>
      </c>
      <c r="AB122" s="105">
        <v>4.96</v>
      </c>
      <c r="AC122" s="105">
        <v>118.48</v>
      </c>
      <c r="AD122" s="105">
        <v>54.06</v>
      </c>
      <c r="AE122" s="105">
        <v>37.82</v>
      </c>
      <c r="AF122" s="105">
        <v>33.17</v>
      </c>
      <c r="AG122" s="105">
        <v>87.58</v>
      </c>
      <c r="AH122" s="105">
        <v>37.869999999999997</v>
      </c>
      <c r="AI122" s="105">
        <v>14.625</v>
      </c>
      <c r="AJ122" s="105">
        <v>25.42</v>
      </c>
      <c r="AK122" s="105">
        <v>17.489999999999998</v>
      </c>
      <c r="AL122" s="105">
        <v>61.26</v>
      </c>
      <c r="AM122" s="105">
        <v>137.84</v>
      </c>
      <c r="AN122" s="105">
        <v>187.58</v>
      </c>
      <c r="AO122" s="105">
        <v>56.15</v>
      </c>
      <c r="AP122" s="105">
        <v>50.13</v>
      </c>
      <c r="AQ122" s="105">
        <v>132.41999999999999</v>
      </c>
      <c r="AR122" s="105">
        <v>34.5484747</v>
      </c>
      <c r="AS122" s="105">
        <v>31.06</v>
      </c>
      <c r="AT122" s="105">
        <v>67.239999999999995</v>
      </c>
      <c r="AU122" s="105">
        <v>247.69</v>
      </c>
      <c r="AV122" s="105">
        <v>98.12</v>
      </c>
      <c r="AW122" s="105">
        <v>178.93</v>
      </c>
      <c r="AX122" s="105">
        <v>16.55</v>
      </c>
      <c r="AY122" s="105">
        <v>25.056172320000002</v>
      </c>
      <c r="AZ122" s="105">
        <v>64.712826039999996</v>
      </c>
      <c r="BA122" s="105">
        <v>34.167931920000001</v>
      </c>
      <c r="BB122" s="105">
        <v>84.65</v>
      </c>
      <c r="BC122" s="105">
        <v>137.02000000000001</v>
      </c>
      <c r="BD122" s="105">
        <v>98.17</v>
      </c>
    </row>
    <row r="123" spans="3:56" x14ac:dyDescent="0.25">
      <c r="C123" s="38">
        <v>43510</v>
      </c>
      <c r="D123" s="105">
        <v>143.16</v>
      </c>
      <c r="E123" s="105">
        <v>110.66</v>
      </c>
      <c r="F123" s="105">
        <v>84.68</v>
      </c>
      <c r="G123" s="105">
        <v>51.48</v>
      </c>
      <c r="H123" s="105">
        <v>132.62</v>
      </c>
      <c r="I123" s="105">
        <v>163.95</v>
      </c>
      <c r="J123" s="105">
        <v>42.7</v>
      </c>
      <c r="K123" s="105">
        <v>1622.65</v>
      </c>
      <c r="L123" s="105">
        <v>359.07</v>
      </c>
      <c r="M123" s="105">
        <v>106.9</v>
      </c>
      <c r="N123" s="105">
        <v>1129.2</v>
      </c>
      <c r="O123" s="105">
        <v>108.2</v>
      </c>
      <c r="P123" s="105">
        <v>173.96</v>
      </c>
      <c r="Q123" s="105">
        <v>250.75</v>
      </c>
      <c r="R123" s="105">
        <v>53.27</v>
      </c>
      <c r="S123" s="105">
        <v>30.55</v>
      </c>
      <c r="T123" s="105">
        <v>118.62</v>
      </c>
      <c r="U123" s="105">
        <v>59.37</v>
      </c>
      <c r="V123" s="105">
        <v>48.24</v>
      </c>
      <c r="W123" s="105">
        <v>59.57</v>
      </c>
      <c r="X123" s="105">
        <v>58</v>
      </c>
      <c r="Y123" s="105">
        <v>66.045051049999998</v>
      </c>
      <c r="Z123" s="105">
        <v>38.58</v>
      </c>
      <c r="AA123" s="105">
        <v>57.18</v>
      </c>
      <c r="AB123" s="105">
        <v>4.9800000000000004</v>
      </c>
      <c r="AC123" s="105">
        <v>117.37</v>
      </c>
      <c r="AD123" s="105">
        <v>59.55</v>
      </c>
      <c r="AE123" s="105">
        <v>39.17</v>
      </c>
      <c r="AF123" s="105">
        <v>31.94</v>
      </c>
      <c r="AG123" s="105">
        <v>87.14</v>
      </c>
      <c r="AH123" s="105">
        <v>36.369999999999997</v>
      </c>
      <c r="AI123" s="105">
        <v>14.02</v>
      </c>
      <c r="AJ123" s="105">
        <v>25.72</v>
      </c>
      <c r="AK123" s="105">
        <v>18.079999999999998</v>
      </c>
      <c r="AL123" s="105">
        <v>60.52</v>
      </c>
      <c r="AM123" s="105">
        <v>136.47999999999999</v>
      </c>
      <c r="AN123" s="105">
        <v>185.54</v>
      </c>
      <c r="AO123" s="105">
        <v>54.03</v>
      </c>
      <c r="AP123" s="105">
        <v>49.5</v>
      </c>
      <c r="AQ123" s="105">
        <v>134.53</v>
      </c>
      <c r="AR123" s="105">
        <v>32.304433699999997</v>
      </c>
      <c r="AS123" s="105">
        <v>31.52</v>
      </c>
      <c r="AT123" s="105">
        <v>66.56</v>
      </c>
      <c r="AU123" s="105">
        <v>244.51</v>
      </c>
      <c r="AV123" s="105">
        <v>98.53</v>
      </c>
      <c r="AW123" s="105">
        <v>178.38</v>
      </c>
      <c r="AX123" s="105">
        <v>17.55</v>
      </c>
      <c r="AY123" s="105">
        <v>24.660141840000001</v>
      </c>
      <c r="AZ123" s="105">
        <v>62.539815920000002</v>
      </c>
      <c r="BA123" s="105">
        <v>33.555010590000002</v>
      </c>
      <c r="BB123" s="105">
        <v>82.75</v>
      </c>
      <c r="BC123" s="105">
        <v>139.74</v>
      </c>
      <c r="BD123" s="105">
        <v>97.13</v>
      </c>
    </row>
    <row r="124" spans="3:56" x14ac:dyDescent="0.25">
      <c r="C124" s="38">
        <v>43503</v>
      </c>
      <c r="D124" s="105">
        <v>140.16999999999999</v>
      </c>
      <c r="E124" s="105">
        <v>110.95</v>
      </c>
      <c r="F124" s="105">
        <v>82.39</v>
      </c>
      <c r="G124" s="105">
        <v>50.22</v>
      </c>
      <c r="H124" s="105">
        <v>128.78</v>
      </c>
      <c r="I124" s="105">
        <v>166.38</v>
      </c>
      <c r="J124" s="105">
        <v>42.734999999999999</v>
      </c>
      <c r="K124" s="105">
        <v>1614.37</v>
      </c>
      <c r="L124" s="105">
        <v>344.71</v>
      </c>
      <c r="M124" s="105">
        <v>105.27</v>
      </c>
      <c r="N124" s="105">
        <v>1105.9100000000001</v>
      </c>
      <c r="O124" s="105">
        <v>106.96</v>
      </c>
      <c r="P124" s="105">
        <v>174.05</v>
      </c>
      <c r="Q124" s="105">
        <v>239.45</v>
      </c>
      <c r="R124" s="105">
        <v>53.13</v>
      </c>
      <c r="S124" s="105">
        <v>31.05</v>
      </c>
      <c r="T124" s="105">
        <v>115.52</v>
      </c>
      <c r="U124" s="105">
        <v>59.45</v>
      </c>
      <c r="V124" s="105">
        <v>46.19</v>
      </c>
      <c r="W124" s="105">
        <v>58.86</v>
      </c>
      <c r="X124" s="105">
        <v>57.48</v>
      </c>
      <c r="Y124" s="105">
        <v>65.236689650000002</v>
      </c>
      <c r="Z124" s="105">
        <v>36.64</v>
      </c>
      <c r="AA124" s="105">
        <v>56.24</v>
      </c>
      <c r="AB124" s="105">
        <v>4.74</v>
      </c>
      <c r="AC124" s="105">
        <v>110.05</v>
      </c>
      <c r="AD124" s="105">
        <v>58.98</v>
      </c>
      <c r="AE124" s="105">
        <v>36.134999999999998</v>
      </c>
      <c r="AF124" s="105">
        <v>31.4</v>
      </c>
      <c r="AG124" s="105">
        <v>82.24</v>
      </c>
      <c r="AH124" s="105">
        <v>35.81</v>
      </c>
      <c r="AI124" s="105">
        <v>13.2425</v>
      </c>
      <c r="AJ124" s="105">
        <v>26.96</v>
      </c>
      <c r="AK124" s="105">
        <v>18.100000000000001</v>
      </c>
      <c r="AL124" s="105">
        <v>57.69</v>
      </c>
      <c r="AM124" s="105">
        <v>133.19</v>
      </c>
      <c r="AN124" s="105">
        <v>180.75</v>
      </c>
      <c r="AO124" s="105">
        <v>53.57</v>
      </c>
      <c r="AP124" s="105">
        <v>48.52</v>
      </c>
      <c r="AQ124" s="105">
        <v>128.21</v>
      </c>
      <c r="AR124" s="105">
        <v>32.9093491</v>
      </c>
      <c r="AS124" s="105">
        <v>30.35</v>
      </c>
      <c r="AT124" s="105">
        <v>65.11</v>
      </c>
      <c r="AU124" s="105">
        <v>241.56</v>
      </c>
      <c r="AV124" s="105">
        <v>98.29</v>
      </c>
      <c r="AW124" s="105">
        <v>168.17</v>
      </c>
      <c r="AX124" s="105">
        <v>16.190000000000001</v>
      </c>
      <c r="AY124" s="105">
        <v>24.235133520000002</v>
      </c>
      <c r="AZ124" s="105">
        <v>61.779749600000002</v>
      </c>
      <c r="BA124" s="105">
        <v>32.679408690000002</v>
      </c>
      <c r="BB124" s="105">
        <v>83.26</v>
      </c>
      <c r="BC124" s="105">
        <v>136.12</v>
      </c>
      <c r="BD124" s="105">
        <v>97.31</v>
      </c>
    </row>
    <row r="125" spans="3:56" x14ac:dyDescent="0.25">
      <c r="C125" s="38">
        <v>43496</v>
      </c>
      <c r="D125" s="105">
        <v>135.01</v>
      </c>
      <c r="E125" s="105">
        <v>111.52</v>
      </c>
      <c r="F125" s="105">
        <v>81.88</v>
      </c>
      <c r="G125" s="105">
        <v>50.23</v>
      </c>
      <c r="H125" s="105">
        <v>133.16</v>
      </c>
      <c r="I125" s="105">
        <v>166.69</v>
      </c>
      <c r="J125" s="105">
        <v>41.61</v>
      </c>
      <c r="K125" s="105">
        <v>1718.73</v>
      </c>
      <c r="L125" s="105">
        <v>339.5</v>
      </c>
      <c r="M125" s="105">
        <v>104.43</v>
      </c>
      <c r="N125" s="105">
        <v>1125.8900000000001</v>
      </c>
      <c r="O125" s="105">
        <v>106.1</v>
      </c>
      <c r="P125" s="105">
        <v>173.66</v>
      </c>
      <c r="Q125" s="105">
        <v>248.95</v>
      </c>
      <c r="R125" s="105">
        <v>52.36</v>
      </c>
      <c r="S125" s="105">
        <v>31.32</v>
      </c>
      <c r="T125" s="105">
        <v>114.53</v>
      </c>
      <c r="U125" s="105">
        <v>58.36</v>
      </c>
      <c r="V125" s="105">
        <v>47.42</v>
      </c>
      <c r="W125" s="105">
        <v>59.24</v>
      </c>
      <c r="X125" s="105">
        <v>56.76</v>
      </c>
      <c r="Y125" s="105">
        <v>63.177292749999999</v>
      </c>
      <c r="Z125" s="105">
        <v>35.97</v>
      </c>
      <c r="AA125" s="105">
        <v>56.29</v>
      </c>
      <c r="AB125" s="105">
        <v>4.4800000000000004</v>
      </c>
      <c r="AC125" s="105">
        <v>103.83</v>
      </c>
      <c r="AD125" s="105">
        <v>60.78</v>
      </c>
      <c r="AE125" s="105">
        <v>34.880000000000003</v>
      </c>
      <c r="AF125" s="105">
        <v>32.28</v>
      </c>
      <c r="AG125" s="105">
        <v>78.17</v>
      </c>
      <c r="AH125" s="105">
        <v>35.31</v>
      </c>
      <c r="AI125" s="105">
        <v>13.255000000000001</v>
      </c>
      <c r="AJ125" s="105">
        <v>25.55</v>
      </c>
      <c r="AK125" s="105">
        <v>17.989999999999998</v>
      </c>
      <c r="AL125" s="105">
        <v>56.97</v>
      </c>
      <c r="AM125" s="105">
        <v>134.41999999999999</v>
      </c>
      <c r="AN125" s="105">
        <v>177.57</v>
      </c>
      <c r="AO125" s="105">
        <v>55.06</v>
      </c>
      <c r="AP125" s="105">
        <v>49.73</v>
      </c>
      <c r="AQ125" s="105">
        <v>124.84</v>
      </c>
      <c r="AR125" s="105">
        <v>33.280103699999998</v>
      </c>
      <c r="AS125" s="105">
        <v>29.95</v>
      </c>
      <c r="AT125" s="105">
        <v>63.85</v>
      </c>
      <c r="AU125" s="105">
        <v>249.46</v>
      </c>
      <c r="AV125" s="105">
        <v>96.83</v>
      </c>
      <c r="AW125" s="105">
        <v>148.24</v>
      </c>
      <c r="AX125" s="105">
        <v>17.68</v>
      </c>
      <c r="AY125" s="105">
        <v>24.631163999999998</v>
      </c>
      <c r="AZ125" s="105">
        <v>62.5593048</v>
      </c>
      <c r="BA125" s="105">
        <v>32.523746129999999</v>
      </c>
      <c r="BB125" s="105">
        <v>82.15</v>
      </c>
      <c r="BC125" s="105">
        <v>130</v>
      </c>
      <c r="BD125" s="105">
        <v>96.39</v>
      </c>
    </row>
    <row r="126" spans="3:56" x14ac:dyDescent="0.25">
      <c r="C126" s="38">
        <v>43489</v>
      </c>
      <c r="D126" s="105">
        <v>137.69999999999999</v>
      </c>
      <c r="E126" s="105">
        <v>110.55</v>
      </c>
      <c r="F126" s="105">
        <v>80.44</v>
      </c>
      <c r="G126" s="105">
        <v>49.2</v>
      </c>
      <c r="H126" s="105">
        <v>132.72999999999999</v>
      </c>
      <c r="I126" s="105">
        <v>145.83000000000001</v>
      </c>
      <c r="J126" s="105">
        <v>38.174999999999997</v>
      </c>
      <c r="K126" s="105">
        <v>1654.93</v>
      </c>
      <c r="L126" s="105">
        <v>326.67</v>
      </c>
      <c r="M126" s="105">
        <v>106.2</v>
      </c>
      <c r="N126" s="105">
        <v>1084</v>
      </c>
      <c r="O126" s="105">
        <v>105.37</v>
      </c>
      <c r="P126" s="105">
        <v>164.79</v>
      </c>
      <c r="Q126" s="105">
        <v>220.67</v>
      </c>
      <c r="R126" s="105">
        <v>51.39</v>
      </c>
      <c r="S126" s="105">
        <v>30.78</v>
      </c>
      <c r="T126" s="105">
        <v>108.24</v>
      </c>
      <c r="U126" s="105">
        <v>56.37</v>
      </c>
      <c r="V126" s="105">
        <v>44.87</v>
      </c>
      <c r="W126" s="105">
        <v>57.6</v>
      </c>
      <c r="X126" s="105">
        <v>54.21</v>
      </c>
      <c r="Y126" s="105">
        <v>65.227066300000004</v>
      </c>
      <c r="Z126" s="105">
        <v>36.07</v>
      </c>
      <c r="AA126" s="105">
        <v>54.52</v>
      </c>
      <c r="AB126" s="105">
        <v>4.41</v>
      </c>
      <c r="AC126" s="105">
        <v>98.86</v>
      </c>
      <c r="AD126" s="105">
        <v>60.88</v>
      </c>
      <c r="AE126" s="105">
        <v>33.344999999999999</v>
      </c>
      <c r="AF126" s="105">
        <v>31.01</v>
      </c>
      <c r="AG126" s="105">
        <v>75.150000000000006</v>
      </c>
      <c r="AH126" s="105">
        <v>34.32</v>
      </c>
      <c r="AI126" s="105">
        <v>13.2925</v>
      </c>
      <c r="AJ126" s="105">
        <v>26.1</v>
      </c>
      <c r="AK126" s="105">
        <v>18.12</v>
      </c>
      <c r="AL126" s="105">
        <v>55.14</v>
      </c>
      <c r="AM126" s="105">
        <v>132.53</v>
      </c>
      <c r="AN126" s="105">
        <v>167.3</v>
      </c>
      <c r="AO126" s="105">
        <v>57.07</v>
      </c>
      <c r="AP126" s="105">
        <v>48.68</v>
      </c>
      <c r="AQ126" s="105">
        <v>119.95</v>
      </c>
      <c r="AR126" s="105">
        <v>31.3970606</v>
      </c>
      <c r="AS126" s="105">
        <v>28.21</v>
      </c>
      <c r="AT126" s="105">
        <v>62.53</v>
      </c>
      <c r="AU126" s="105">
        <v>240.72</v>
      </c>
      <c r="AV126" s="105">
        <v>94.56</v>
      </c>
      <c r="AW126" s="105">
        <v>138.49</v>
      </c>
      <c r="AX126" s="105">
        <v>17.2</v>
      </c>
      <c r="AY126" s="105">
        <v>23.848762319999999</v>
      </c>
      <c r="AZ126" s="105">
        <v>60.113450360000002</v>
      </c>
      <c r="BA126" s="105">
        <v>31.570312950000002</v>
      </c>
      <c r="BB126" s="105">
        <v>83.3</v>
      </c>
      <c r="BC126" s="105">
        <v>121.45</v>
      </c>
      <c r="BD126" s="105">
        <v>96.35</v>
      </c>
    </row>
    <row r="127" spans="3:56" x14ac:dyDescent="0.25">
      <c r="C127" s="38">
        <v>43482</v>
      </c>
      <c r="D127" s="105">
        <v>137.28</v>
      </c>
      <c r="E127" s="105">
        <v>111.01</v>
      </c>
      <c r="F127" s="105">
        <v>79.13</v>
      </c>
      <c r="G127" s="105">
        <v>48.58</v>
      </c>
      <c r="H127" s="105">
        <v>134.54</v>
      </c>
      <c r="I127" s="105">
        <v>148.30000000000001</v>
      </c>
      <c r="J127" s="105">
        <v>38.965000000000003</v>
      </c>
      <c r="K127" s="105">
        <v>1693.22</v>
      </c>
      <c r="L127" s="105">
        <v>353.19</v>
      </c>
      <c r="M127" s="105">
        <v>106.12</v>
      </c>
      <c r="N127" s="105">
        <v>1099.1199999999999</v>
      </c>
      <c r="O127" s="105">
        <v>107.78</v>
      </c>
      <c r="P127" s="105">
        <v>160.36000000000001</v>
      </c>
      <c r="Q127" s="105">
        <v>212.67</v>
      </c>
      <c r="R127" s="105">
        <v>50.69</v>
      </c>
      <c r="S127" s="105">
        <v>29.9</v>
      </c>
      <c r="T127" s="105">
        <v>108.47</v>
      </c>
      <c r="U127" s="105">
        <v>57.05</v>
      </c>
      <c r="V127" s="105">
        <v>44.78</v>
      </c>
      <c r="W127" s="105">
        <v>57.82</v>
      </c>
      <c r="X127" s="105">
        <v>50.59</v>
      </c>
      <c r="Y127" s="105">
        <v>65.0923394</v>
      </c>
      <c r="Z127" s="105">
        <v>38.72</v>
      </c>
      <c r="AA127" s="105">
        <v>54.26</v>
      </c>
      <c r="AB127" s="105">
        <v>4.28</v>
      </c>
      <c r="AC127" s="105">
        <v>97.4</v>
      </c>
      <c r="AD127" s="105">
        <v>61.79</v>
      </c>
      <c r="AE127" s="105">
        <v>34.174999999999997</v>
      </c>
      <c r="AF127" s="105">
        <v>31.96</v>
      </c>
      <c r="AG127" s="105">
        <v>75.739999999999995</v>
      </c>
      <c r="AH127" s="105">
        <v>33.33</v>
      </c>
      <c r="AI127" s="105">
        <v>13.032500000000001</v>
      </c>
      <c r="AJ127" s="105">
        <v>26.29</v>
      </c>
      <c r="AK127" s="105">
        <v>17.45</v>
      </c>
      <c r="AL127" s="105">
        <v>53.51</v>
      </c>
      <c r="AM127" s="105">
        <v>122.19</v>
      </c>
      <c r="AN127" s="105">
        <v>164.41</v>
      </c>
      <c r="AO127" s="105">
        <v>56.83</v>
      </c>
      <c r="AP127" s="105">
        <v>48</v>
      </c>
      <c r="AQ127" s="105">
        <v>118.55</v>
      </c>
      <c r="AR127" s="105">
        <v>30.8506854</v>
      </c>
      <c r="AS127" s="105">
        <v>29.55</v>
      </c>
      <c r="AT127" s="105">
        <v>62.24</v>
      </c>
      <c r="AU127" s="105">
        <v>236.11</v>
      </c>
      <c r="AV127" s="105">
        <v>94.57</v>
      </c>
      <c r="AW127" s="105">
        <v>132.22</v>
      </c>
      <c r="AX127" s="105">
        <v>16.16</v>
      </c>
      <c r="AY127" s="105">
        <v>24.244792799999999</v>
      </c>
      <c r="AZ127" s="105">
        <v>61.195083199999999</v>
      </c>
      <c r="BA127" s="105">
        <v>32.21242101</v>
      </c>
      <c r="BB127" s="105">
        <v>81.59</v>
      </c>
      <c r="BC127" s="105">
        <v>122.01</v>
      </c>
      <c r="BD127" s="105">
        <v>95.45</v>
      </c>
    </row>
    <row r="128" spans="3:56" x14ac:dyDescent="0.25">
      <c r="C128" s="38">
        <v>43475</v>
      </c>
      <c r="D128" s="105">
        <v>138.66999999999999</v>
      </c>
      <c r="E128" s="105">
        <v>112.8</v>
      </c>
      <c r="F128" s="105">
        <v>76.42</v>
      </c>
      <c r="G128" s="105">
        <v>47.82</v>
      </c>
      <c r="H128" s="105">
        <v>132.96</v>
      </c>
      <c r="I128" s="105">
        <v>144.19999999999999</v>
      </c>
      <c r="J128" s="105">
        <v>38.450000000000003</v>
      </c>
      <c r="K128" s="105">
        <v>1656.22</v>
      </c>
      <c r="L128" s="105">
        <v>324.66000000000003</v>
      </c>
      <c r="M128" s="105">
        <v>103.6</v>
      </c>
      <c r="N128" s="105">
        <v>1078.83</v>
      </c>
      <c r="O128" s="105">
        <v>106.8</v>
      </c>
      <c r="P128" s="105">
        <v>159.93</v>
      </c>
      <c r="Q128" s="105">
        <v>202.64</v>
      </c>
      <c r="R128" s="105">
        <v>49.27</v>
      </c>
      <c r="S128" s="105">
        <v>29.57</v>
      </c>
      <c r="T128" s="105">
        <v>110.05</v>
      </c>
      <c r="U128" s="105">
        <v>56.73</v>
      </c>
      <c r="V128" s="105">
        <v>45.17</v>
      </c>
      <c r="W128" s="105">
        <v>56.87</v>
      </c>
      <c r="X128" s="105">
        <v>48.99</v>
      </c>
      <c r="Y128" s="105">
        <v>66.449231749999996</v>
      </c>
      <c r="Z128" s="105">
        <v>35.200000000000003</v>
      </c>
      <c r="AA128" s="105">
        <v>51.78</v>
      </c>
      <c r="AB128" s="105">
        <v>4.29</v>
      </c>
      <c r="AC128" s="105">
        <v>93.23</v>
      </c>
      <c r="AD128" s="105">
        <v>62.79</v>
      </c>
      <c r="AE128" s="105">
        <v>33.945</v>
      </c>
      <c r="AF128" s="105">
        <v>31.57</v>
      </c>
      <c r="AG128" s="105">
        <v>76.489999999999995</v>
      </c>
      <c r="AH128" s="105">
        <v>33.299999999999997</v>
      </c>
      <c r="AI128" s="105">
        <v>11.96</v>
      </c>
      <c r="AJ128" s="105">
        <v>26.66</v>
      </c>
      <c r="AK128" s="105">
        <v>17.149999999999999</v>
      </c>
      <c r="AL128" s="105">
        <v>59.34</v>
      </c>
      <c r="AM128" s="105">
        <v>121.79</v>
      </c>
      <c r="AN128" s="105">
        <v>161.34</v>
      </c>
      <c r="AO128" s="105">
        <v>57.6</v>
      </c>
      <c r="AP128" s="105">
        <v>47.09</v>
      </c>
      <c r="AQ128" s="105">
        <v>116.7</v>
      </c>
      <c r="AR128" s="105">
        <v>33.972829400000002</v>
      </c>
      <c r="AS128" s="105">
        <v>29.11</v>
      </c>
      <c r="AT128" s="105">
        <v>63.26</v>
      </c>
      <c r="AU128" s="105">
        <v>229.45</v>
      </c>
      <c r="AV128" s="105">
        <v>96.41</v>
      </c>
      <c r="AW128" s="105">
        <v>128.61000000000001</v>
      </c>
      <c r="AX128" s="105">
        <v>16.91</v>
      </c>
      <c r="AY128" s="105">
        <v>25.278335760000001</v>
      </c>
      <c r="AZ128" s="105">
        <v>60.366805800000002</v>
      </c>
      <c r="BA128" s="105">
        <v>31.268716739999999</v>
      </c>
      <c r="BB128" s="105">
        <v>78.47</v>
      </c>
      <c r="BC128" s="105">
        <v>120.26</v>
      </c>
      <c r="BD128" s="105">
        <v>92.5</v>
      </c>
    </row>
    <row r="129" spans="3:56" x14ac:dyDescent="0.25">
      <c r="C129" s="38">
        <v>43468</v>
      </c>
      <c r="D129" s="105">
        <v>128.13</v>
      </c>
      <c r="E129" s="105">
        <v>106.33</v>
      </c>
      <c r="F129" s="105">
        <v>72.75</v>
      </c>
      <c r="G129" s="105">
        <v>44.78</v>
      </c>
      <c r="H129" s="105">
        <v>121.51</v>
      </c>
      <c r="I129" s="105">
        <v>131.74</v>
      </c>
      <c r="J129" s="105">
        <v>35.547499999999999</v>
      </c>
      <c r="K129" s="105">
        <v>1500.28</v>
      </c>
      <c r="L129" s="105">
        <v>271.2</v>
      </c>
      <c r="M129" s="105">
        <v>97.4</v>
      </c>
      <c r="N129" s="105">
        <v>1025.47</v>
      </c>
      <c r="O129" s="105">
        <v>106.24</v>
      </c>
      <c r="P129" s="105">
        <v>161.6</v>
      </c>
      <c r="Q129" s="105">
        <v>184.78</v>
      </c>
      <c r="R129" s="105">
        <v>48.03</v>
      </c>
      <c r="S129" s="105">
        <v>28.01</v>
      </c>
      <c r="T129" s="105">
        <v>101.74</v>
      </c>
      <c r="U129" s="105">
        <v>52.22</v>
      </c>
      <c r="V129" s="105">
        <v>39.549999999999997</v>
      </c>
      <c r="W129" s="105">
        <v>52.5</v>
      </c>
      <c r="X129" s="105">
        <v>45.61</v>
      </c>
      <c r="Y129" s="105">
        <v>58.471474600000001</v>
      </c>
      <c r="Z129" s="105">
        <v>31.88</v>
      </c>
      <c r="AA129" s="105">
        <v>46.73</v>
      </c>
      <c r="AB129" s="105">
        <v>3.92</v>
      </c>
      <c r="AC129" s="105">
        <v>79.31</v>
      </c>
      <c r="AD129" s="105">
        <v>55.33</v>
      </c>
      <c r="AE129" s="105">
        <v>30.39</v>
      </c>
      <c r="AF129" s="105">
        <v>28.45</v>
      </c>
      <c r="AG129" s="105">
        <v>66.2</v>
      </c>
      <c r="AH129" s="105">
        <v>32.4</v>
      </c>
      <c r="AI129" s="105">
        <v>10.2675</v>
      </c>
      <c r="AJ129" s="105">
        <v>26.71</v>
      </c>
      <c r="AK129" s="105">
        <v>15.93</v>
      </c>
      <c r="AL129" s="105">
        <v>56.84</v>
      </c>
      <c r="AM129" s="105">
        <v>112.91</v>
      </c>
      <c r="AN129" s="105">
        <v>152.46</v>
      </c>
      <c r="AO129" s="105">
        <v>56.22</v>
      </c>
      <c r="AP129" s="105">
        <v>44.19</v>
      </c>
      <c r="AQ129" s="105">
        <v>100.81</v>
      </c>
      <c r="AR129" s="105">
        <v>33.543534600000001</v>
      </c>
      <c r="AS129" s="105">
        <v>27.23</v>
      </c>
      <c r="AT129" s="105">
        <v>61.37</v>
      </c>
      <c r="AU129" s="105">
        <v>211.2</v>
      </c>
      <c r="AV129" s="105">
        <v>90.76</v>
      </c>
      <c r="AW129" s="105">
        <v>116.5</v>
      </c>
      <c r="AX129" s="105">
        <v>15.43</v>
      </c>
      <c r="AY129" s="105">
        <v>23.33682048</v>
      </c>
      <c r="AZ129" s="105">
        <v>52.961031400000003</v>
      </c>
      <c r="BA129" s="105">
        <v>27.425797289999998</v>
      </c>
      <c r="BB129" s="105">
        <v>77.06</v>
      </c>
      <c r="BC129" s="105">
        <v>101.43</v>
      </c>
      <c r="BD129" s="105">
        <v>88.66</v>
      </c>
    </row>
    <row r="130" spans="3:56" x14ac:dyDescent="0.25">
      <c r="C130" s="38">
        <v>43461</v>
      </c>
      <c r="D130" s="105">
        <v>132.01</v>
      </c>
      <c r="E130" s="105">
        <v>106.52</v>
      </c>
      <c r="F130" s="105">
        <v>73.67</v>
      </c>
      <c r="G130" s="105">
        <v>44.97</v>
      </c>
      <c r="H130" s="105">
        <v>126.67</v>
      </c>
      <c r="I130" s="105">
        <v>134.52000000000001</v>
      </c>
      <c r="J130" s="105">
        <v>39.037500000000001</v>
      </c>
      <c r="K130" s="105">
        <v>1461.64</v>
      </c>
      <c r="L130" s="105">
        <v>255.565</v>
      </c>
      <c r="M130" s="105">
        <v>101.18</v>
      </c>
      <c r="N130" s="105">
        <v>1052.9000000000001</v>
      </c>
      <c r="O130" s="105">
        <v>106.13</v>
      </c>
      <c r="P130" s="105">
        <v>163.5</v>
      </c>
      <c r="Q130" s="105">
        <v>211.33</v>
      </c>
      <c r="R130" s="105">
        <v>49.6</v>
      </c>
      <c r="S130" s="105">
        <v>28.34</v>
      </c>
      <c r="T130" s="105">
        <v>106.63</v>
      </c>
      <c r="U130" s="105">
        <v>51.14</v>
      </c>
      <c r="V130" s="105">
        <v>39.5</v>
      </c>
      <c r="W130" s="105">
        <v>51.96</v>
      </c>
      <c r="X130" s="105">
        <v>46.8</v>
      </c>
      <c r="Y130" s="105">
        <v>58.307877650000002</v>
      </c>
      <c r="Z130" s="105">
        <v>31.75</v>
      </c>
      <c r="AA130" s="105">
        <v>47.51</v>
      </c>
      <c r="AB130" s="105">
        <v>3.88</v>
      </c>
      <c r="AC130" s="105">
        <v>91.16</v>
      </c>
      <c r="AD130" s="105">
        <v>55.99</v>
      </c>
      <c r="AE130" s="105">
        <v>29.11</v>
      </c>
      <c r="AF130" s="105">
        <v>29.56</v>
      </c>
      <c r="AG130" s="105">
        <v>65.319999999999993</v>
      </c>
      <c r="AH130" s="105">
        <v>30.89</v>
      </c>
      <c r="AI130" s="105">
        <v>10.407500000000001</v>
      </c>
      <c r="AJ130" s="105">
        <v>25.76</v>
      </c>
      <c r="AK130" s="105">
        <v>15.99</v>
      </c>
      <c r="AL130" s="105">
        <v>57</v>
      </c>
      <c r="AM130" s="105">
        <v>113.78</v>
      </c>
      <c r="AN130" s="105">
        <v>154.6</v>
      </c>
      <c r="AO130" s="105">
        <v>55.15</v>
      </c>
      <c r="AP130" s="105">
        <v>43.84</v>
      </c>
      <c r="AQ130" s="105">
        <v>102.74</v>
      </c>
      <c r="AR130" s="105">
        <v>34.1386933</v>
      </c>
      <c r="AS130" s="105">
        <v>27.43</v>
      </c>
      <c r="AT130" s="105">
        <v>62.05</v>
      </c>
      <c r="AU130" s="105">
        <v>222.22</v>
      </c>
      <c r="AV130" s="105">
        <v>87.33</v>
      </c>
      <c r="AW130" s="105">
        <v>121.75</v>
      </c>
      <c r="AX130" s="105">
        <v>16.18</v>
      </c>
      <c r="AY130" s="105">
        <v>23.414094720000001</v>
      </c>
      <c r="AZ130" s="105">
        <v>53.263109040000003</v>
      </c>
      <c r="BA130" s="105">
        <v>26.024834250000001</v>
      </c>
      <c r="BB130" s="105">
        <v>78.27</v>
      </c>
      <c r="BC130" s="105">
        <v>101.73</v>
      </c>
      <c r="BD130" s="105">
        <v>87.92</v>
      </c>
    </row>
    <row r="131" spans="3:56" x14ac:dyDescent="0.25">
      <c r="C131" s="38">
        <v>43454</v>
      </c>
      <c r="D131" s="105">
        <v>128.76</v>
      </c>
      <c r="E131" s="105">
        <v>107</v>
      </c>
      <c r="F131" s="105">
        <v>67.53</v>
      </c>
      <c r="G131" s="105">
        <v>46.24</v>
      </c>
      <c r="H131" s="105">
        <v>121.55</v>
      </c>
      <c r="I131" s="105">
        <v>133.4</v>
      </c>
      <c r="J131" s="105">
        <v>39.207500000000003</v>
      </c>
      <c r="K131" s="105">
        <v>1460.83</v>
      </c>
      <c r="L131" s="105">
        <v>260.58</v>
      </c>
      <c r="M131" s="105">
        <v>101.51</v>
      </c>
      <c r="N131" s="105">
        <v>1023.58</v>
      </c>
      <c r="O131" s="105">
        <v>106.43</v>
      </c>
      <c r="P131" s="105">
        <v>166.88</v>
      </c>
      <c r="Q131" s="105">
        <v>197.78</v>
      </c>
      <c r="R131" s="105">
        <v>51.37</v>
      </c>
      <c r="S131" s="105">
        <v>28.7</v>
      </c>
      <c r="T131" s="105">
        <v>104.19</v>
      </c>
      <c r="U131" s="105">
        <v>50.34</v>
      </c>
      <c r="V131" s="105">
        <v>40.880000000000003</v>
      </c>
      <c r="W131" s="105">
        <v>50.41</v>
      </c>
      <c r="X131" s="105">
        <v>47.07</v>
      </c>
      <c r="Y131" s="105">
        <v>58.461851250000002</v>
      </c>
      <c r="Z131" s="105">
        <v>31.83</v>
      </c>
      <c r="AA131" s="105">
        <v>45.29</v>
      </c>
      <c r="AB131" s="105">
        <v>3.59</v>
      </c>
      <c r="AC131" s="105">
        <v>90.73</v>
      </c>
      <c r="AD131" s="105">
        <v>52.82</v>
      </c>
      <c r="AE131" s="105">
        <v>28.555</v>
      </c>
      <c r="AF131" s="105">
        <v>28.79</v>
      </c>
      <c r="AG131" s="105">
        <v>63.08</v>
      </c>
      <c r="AH131" s="105">
        <v>31.4</v>
      </c>
      <c r="AI131" s="105">
        <v>10.9025</v>
      </c>
      <c r="AJ131" s="105">
        <v>23.99</v>
      </c>
      <c r="AK131" s="105">
        <v>16.14</v>
      </c>
      <c r="AL131" s="105">
        <v>58.26</v>
      </c>
      <c r="AM131" s="105">
        <v>113.02</v>
      </c>
      <c r="AN131" s="105">
        <v>153.79</v>
      </c>
      <c r="AO131" s="105">
        <v>55.07</v>
      </c>
      <c r="AP131" s="105">
        <v>42.43</v>
      </c>
      <c r="AQ131" s="105">
        <v>96.55</v>
      </c>
      <c r="AR131" s="105">
        <v>33.260590299999997</v>
      </c>
      <c r="AS131" s="105">
        <v>27.36</v>
      </c>
      <c r="AT131" s="105">
        <v>61.82</v>
      </c>
      <c r="AU131" s="105">
        <v>217.48</v>
      </c>
      <c r="AV131" s="105">
        <v>83.77</v>
      </c>
      <c r="AW131" s="105">
        <v>119.56</v>
      </c>
      <c r="AX131" s="105">
        <v>16.91</v>
      </c>
      <c r="AY131" s="105">
        <v>23.36579832</v>
      </c>
      <c r="AZ131" s="105">
        <v>53.18515352</v>
      </c>
      <c r="BA131" s="105">
        <v>25.460557470000001</v>
      </c>
      <c r="BB131" s="105">
        <v>82.89</v>
      </c>
      <c r="BC131" s="105">
        <v>111.82</v>
      </c>
      <c r="BD131" s="105">
        <v>86.71</v>
      </c>
    </row>
    <row r="132" spans="3:56" x14ac:dyDescent="0.25">
      <c r="C132" s="38">
        <v>43447</v>
      </c>
      <c r="D132" s="105">
        <v>137.54</v>
      </c>
      <c r="E132" s="105">
        <v>113.39</v>
      </c>
      <c r="F132" s="105">
        <v>72.930000000000007</v>
      </c>
      <c r="G132" s="105">
        <v>47.23</v>
      </c>
      <c r="H132" s="105">
        <v>125.9</v>
      </c>
      <c r="I132" s="105">
        <v>145.01</v>
      </c>
      <c r="J132" s="105">
        <v>42.737499999999997</v>
      </c>
      <c r="K132" s="105">
        <v>1658.38</v>
      </c>
      <c r="L132" s="105">
        <v>276.02</v>
      </c>
      <c r="M132" s="105">
        <v>109.45</v>
      </c>
      <c r="N132" s="105">
        <v>1073.54</v>
      </c>
      <c r="O132" s="105">
        <v>110.01</v>
      </c>
      <c r="P132" s="105">
        <v>182.63</v>
      </c>
      <c r="Q132" s="105">
        <v>217.23</v>
      </c>
      <c r="R132" s="105">
        <v>53.68</v>
      </c>
      <c r="S132" s="105">
        <v>30.83</v>
      </c>
      <c r="T132" s="105">
        <v>108.85</v>
      </c>
      <c r="U132" s="105">
        <v>55.1</v>
      </c>
      <c r="V132" s="105">
        <v>40.909999999999997</v>
      </c>
      <c r="W132" s="105">
        <v>55.93</v>
      </c>
      <c r="X132" s="105">
        <v>50.34</v>
      </c>
      <c r="Y132" s="105">
        <v>62.291944549999997</v>
      </c>
      <c r="Z132" s="105">
        <v>34.83</v>
      </c>
      <c r="AA132" s="105">
        <v>50.15</v>
      </c>
      <c r="AB132" s="105">
        <v>3.72</v>
      </c>
      <c r="AC132" s="105">
        <v>96.45</v>
      </c>
      <c r="AD132" s="105">
        <v>44.5</v>
      </c>
      <c r="AE132" s="105">
        <v>30.195</v>
      </c>
      <c r="AF132" s="105">
        <v>30.91</v>
      </c>
      <c r="AG132" s="105">
        <v>66.61</v>
      </c>
      <c r="AH132" s="105">
        <v>34.159999999999997</v>
      </c>
      <c r="AI132" s="105">
        <v>12.1675</v>
      </c>
      <c r="AJ132" s="105">
        <v>25.81</v>
      </c>
      <c r="AK132" s="105">
        <v>17.27</v>
      </c>
      <c r="AL132" s="105">
        <v>59.53</v>
      </c>
      <c r="AM132" s="105">
        <v>120.73</v>
      </c>
      <c r="AN132" s="105">
        <v>172.86</v>
      </c>
      <c r="AO132" s="105">
        <v>57.09</v>
      </c>
      <c r="AP132" s="105">
        <v>45.81</v>
      </c>
      <c r="AQ132" s="105">
        <v>107.76</v>
      </c>
      <c r="AR132" s="105">
        <v>33.211806799999998</v>
      </c>
      <c r="AS132" s="105">
        <v>30.04</v>
      </c>
      <c r="AT132" s="105">
        <v>65.98</v>
      </c>
      <c r="AU132" s="105">
        <v>236.89</v>
      </c>
      <c r="AV132" s="105">
        <v>85.05</v>
      </c>
      <c r="AW132" s="105">
        <v>133.36000000000001</v>
      </c>
      <c r="AX132" s="105">
        <v>18.62</v>
      </c>
      <c r="AY132" s="105">
        <v>23.713532399999998</v>
      </c>
      <c r="AZ132" s="105">
        <v>53.243620159999999</v>
      </c>
      <c r="BA132" s="105">
        <v>26.78368923</v>
      </c>
      <c r="BB132" s="105">
        <v>87.03</v>
      </c>
      <c r="BC132" s="105">
        <v>120.84</v>
      </c>
      <c r="BD132" s="105">
        <v>89.97</v>
      </c>
    </row>
    <row r="133" spans="3:56" x14ac:dyDescent="0.25">
      <c r="C133" s="38">
        <v>43440</v>
      </c>
      <c r="D133" s="105">
        <v>141.05000000000001</v>
      </c>
      <c r="E133" s="105">
        <v>114.33</v>
      </c>
      <c r="F133" s="105">
        <v>75.540000000000006</v>
      </c>
      <c r="G133" s="105">
        <v>46.68</v>
      </c>
      <c r="H133" s="105">
        <v>128.37</v>
      </c>
      <c r="I133" s="105">
        <v>139.63</v>
      </c>
      <c r="J133" s="105">
        <v>43.68</v>
      </c>
      <c r="K133" s="105">
        <v>1699.19</v>
      </c>
      <c r="L133" s="105">
        <v>282.88</v>
      </c>
      <c r="M133" s="105">
        <v>109.19</v>
      </c>
      <c r="N133" s="105">
        <v>1078.08</v>
      </c>
      <c r="O133" s="105">
        <v>108.14</v>
      </c>
      <c r="P133" s="105">
        <v>190.72</v>
      </c>
      <c r="Q133" s="105">
        <v>219.34</v>
      </c>
      <c r="R133" s="105">
        <v>53.21</v>
      </c>
      <c r="S133" s="105">
        <v>30.65</v>
      </c>
      <c r="T133" s="105">
        <v>115.32</v>
      </c>
      <c r="U133" s="105">
        <v>55.69</v>
      </c>
      <c r="V133" s="105">
        <v>42.46</v>
      </c>
      <c r="W133" s="105">
        <v>62.28</v>
      </c>
      <c r="X133" s="105">
        <v>53.6</v>
      </c>
      <c r="Y133" s="105">
        <v>61.281492800000002</v>
      </c>
      <c r="Z133" s="105">
        <v>32.51</v>
      </c>
      <c r="AA133" s="105">
        <v>51.6</v>
      </c>
      <c r="AB133" s="105">
        <v>3.63</v>
      </c>
      <c r="AC133" s="105">
        <v>98.59</v>
      </c>
      <c r="AD133" s="105">
        <v>71.22</v>
      </c>
      <c r="AE133" s="105">
        <v>31.315000000000001</v>
      </c>
      <c r="AF133" s="105">
        <v>34.549999999999997</v>
      </c>
      <c r="AG133" s="105">
        <v>71.900000000000006</v>
      </c>
      <c r="AH133" s="105">
        <v>35.71</v>
      </c>
      <c r="AI133" s="105">
        <v>12.984999999999999</v>
      </c>
      <c r="AJ133" s="105">
        <v>25.85</v>
      </c>
      <c r="AK133" s="105">
        <v>18.850000000000001</v>
      </c>
      <c r="AL133" s="105">
        <v>57.54</v>
      </c>
      <c r="AM133" s="105">
        <v>123.91</v>
      </c>
      <c r="AN133" s="105">
        <v>172.44</v>
      </c>
      <c r="AO133" s="105">
        <v>58.08</v>
      </c>
      <c r="AP133" s="105">
        <v>46.46</v>
      </c>
      <c r="AQ133" s="105">
        <v>111.1</v>
      </c>
      <c r="AR133" s="105">
        <v>31.865382199999999</v>
      </c>
      <c r="AS133" s="105">
        <v>31.84</v>
      </c>
      <c r="AT133" s="105">
        <v>65.94</v>
      </c>
      <c r="AU133" s="105">
        <v>241.23</v>
      </c>
      <c r="AV133" s="105">
        <v>86.25</v>
      </c>
      <c r="AW133" s="105">
        <v>133.57</v>
      </c>
      <c r="AX133" s="105">
        <v>20.21</v>
      </c>
      <c r="AY133" s="105">
        <v>24.901623839999999</v>
      </c>
      <c r="AZ133" s="105">
        <v>56.702896359999997</v>
      </c>
      <c r="BA133" s="105">
        <v>27.036640890000001</v>
      </c>
      <c r="BB133" s="105">
        <v>86.34</v>
      </c>
      <c r="BC133" s="105">
        <v>135.13</v>
      </c>
      <c r="BD133" s="105">
        <v>92.23</v>
      </c>
    </row>
    <row r="134" spans="3:56" x14ac:dyDescent="0.25">
      <c r="C134" s="38">
        <v>43433</v>
      </c>
      <c r="D134" s="105">
        <v>139.1</v>
      </c>
      <c r="E134" s="105">
        <v>116.61</v>
      </c>
      <c r="F134" s="105">
        <v>74.34</v>
      </c>
      <c r="G134" s="105">
        <v>47.9</v>
      </c>
      <c r="H134" s="105">
        <v>130.22999999999999</v>
      </c>
      <c r="I134" s="105">
        <v>138.68</v>
      </c>
      <c r="J134" s="105">
        <v>44.887500000000003</v>
      </c>
      <c r="K134" s="105">
        <v>1673.57</v>
      </c>
      <c r="L134" s="105">
        <v>288.75</v>
      </c>
      <c r="M134" s="105">
        <v>110.19</v>
      </c>
      <c r="N134" s="105">
        <v>1094.58</v>
      </c>
      <c r="O134" s="105">
        <v>107.45</v>
      </c>
      <c r="P134" s="105">
        <v>196.21</v>
      </c>
      <c r="Q134" s="105">
        <v>228.7</v>
      </c>
      <c r="R134" s="105">
        <v>51.53</v>
      </c>
      <c r="S134" s="105">
        <v>30.67</v>
      </c>
      <c r="T134" s="105">
        <v>121.84</v>
      </c>
      <c r="U134" s="105">
        <v>54.47</v>
      </c>
      <c r="V134" s="105">
        <v>43.04</v>
      </c>
      <c r="W134" s="105">
        <v>64.069999999999993</v>
      </c>
      <c r="X134" s="105">
        <v>53.23</v>
      </c>
      <c r="Y134" s="105">
        <v>62.08023085</v>
      </c>
      <c r="Z134" s="105">
        <v>32.57</v>
      </c>
      <c r="AA134" s="105">
        <v>53.49</v>
      </c>
      <c r="AB134" s="105">
        <v>3.64</v>
      </c>
      <c r="AC134" s="105">
        <v>91.58</v>
      </c>
      <c r="AD134" s="105">
        <v>76.34</v>
      </c>
      <c r="AE134" s="105">
        <v>31.675000000000001</v>
      </c>
      <c r="AF134" s="105">
        <v>36.17</v>
      </c>
      <c r="AG134" s="105">
        <v>89.75</v>
      </c>
      <c r="AH134" s="105">
        <v>35.520000000000003</v>
      </c>
      <c r="AI134" s="105">
        <v>12.8475</v>
      </c>
      <c r="AJ134" s="105">
        <v>25.55</v>
      </c>
      <c r="AK134" s="105">
        <v>19.03</v>
      </c>
      <c r="AL134" s="105">
        <v>54.72</v>
      </c>
      <c r="AM134" s="105">
        <v>121.48</v>
      </c>
      <c r="AN134" s="105">
        <v>170.91</v>
      </c>
      <c r="AO134" s="105">
        <v>59.45</v>
      </c>
      <c r="AP134" s="105">
        <v>47.49</v>
      </c>
      <c r="AQ134" s="105">
        <v>101.63</v>
      </c>
      <c r="AR134" s="105">
        <v>31.553167800000001</v>
      </c>
      <c r="AS134" s="105">
        <v>34.04</v>
      </c>
      <c r="AT134" s="105">
        <v>67.540000000000006</v>
      </c>
      <c r="AU134" s="105">
        <v>250.1</v>
      </c>
      <c r="AV134" s="105">
        <v>88.43</v>
      </c>
      <c r="AW134" s="105">
        <v>131.37</v>
      </c>
      <c r="AX134" s="105">
        <v>19.850000000000001</v>
      </c>
      <c r="AY134" s="105">
        <v>26.215285919999999</v>
      </c>
      <c r="AZ134" s="105">
        <v>57.004973999999997</v>
      </c>
      <c r="BA134" s="105">
        <v>26.66694231</v>
      </c>
      <c r="BB134" s="105">
        <v>83.07</v>
      </c>
      <c r="BC134" s="105">
        <v>126.08</v>
      </c>
      <c r="BD134" s="105">
        <v>97.8</v>
      </c>
    </row>
    <row r="135" spans="3:56" x14ac:dyDescent="0.25">
      <c r="C135" s="38">
        <v>43425</v>
      </c>
      <c r="D135" s="105">
        <v>134.41999999999999</v>
      </c>
      <c r="E135" s="105">
        <v>113.03</v>
      </c>
      <c r="F135" s="105">
        <v>72.37</v>
      </c>
      <c r="G135" s="105">
        <v>48.62</v>
      </c>
      <c r="H135" s="105">
        <v>123.87</v>
      </c>
      <c r="I135" s="105">
        <v>134.82</v>
      </c>
      <c r="J135" s="105">
        <v>44.195</v>
      </c>
      <c r="K135" s="105">
        <v>1516.73</v>
      </c>
      <c r="L135" s="105">
        <v>262.13</v>
      </c>
      <c r="M135" s="105">
        <v>103.11</v>
      </c>
      <c r="N135" s="105">
        <v>1043.43</v>
      </c>
      <c r="O135" s="105">
        <v>106.16</v>
      </c>
      <c r="P135" s="105">
        <v>194.21</v>
      </c>
      <c r="Q135" s="105">
        <v>215.72</v>
      </c>
      <c r="R135" s="105">
        <v>50.75</v>
      </c>
      <c r="S135" s="105">
        <v>30.64</v>
      </c>
      <c r="T135" s="105">
        <v>117.17</v>
      </c>
      <c r="U135" s="105">
        <v>51.96</v>
      </c>
      <c r="V135" s="105">
        <v>42.78</v>
      </c>
      <c r="W135" s="105">
        <v>62.09</v>
      </c>
      <c r="X135" s="105">
        <v>52.25</v>
      </c>
      <c r="Y135" s="105">
        <v>59.145139616000002</v>
      </c>
      <c r="Z135" s="105">
        <v>32.549999999999997</v>
      </c>
      <c r="AA135" s="105">
        <v>50.59</v>
      </c>
      <c r="AB135" s="105">
        <v>3.49</v>
      </c>
      <c r="AC135" s="105">
        <v>87.79</v>
      </c>
      <c r="AD135" s="105">
        <v>72.34</v>
      </c>
      <c r="AE135" s="105">
        <v>29.905000000000001</v>
      </c>
      <c r="AF135" s="105">
        <v>35.46</v>
      </c>
      <c r="AG135" s="105">
        <v>83.67</v>
      </c>
      <c r="AH135" s="105">
        <v>35.1</v>
      </c>
      <c r="AI135" s="105">
        <v>12.21</v>
      </c>
      <c r="AJ135" s="105">
        <v>25.63</v>
      </c>
      <c r="AK135" s="105">
        <v>18.05</v>
      </c>
      <c r="AL135" s="105">
        <v>53.59</v>
      </c>
      <c r="AM135" s="105">
        <v>118.57</v>
      </c>
      <c r="AN135" s="105">
        <v>164.34</v>
      </c>
      <c r="AO135" s="105">
        <v>59.16</v>
      </c>
      <c r="AP135" s="105">
        <v>46.16</v>
      </c>
      <c r="AQ135" s="105">
        <v>92.66</v>
      </c>
      <c r="AR135" s="105">
        <v>32.7727553</v>
      </c>
      <c r="AS135" s="105">
        <v>33.380000000000003</v>
      </c>
      <c r="AT135" s="105">
        <v>64.48</v>
      </c>
      <c r="AU135" s="105">
        <v>242.04</v>
      </c>
      <c r="AV135" s="105">
        <v>82.13</v>
      </c>
      <c r="AW135" s="105">
        <v>120.04</v>
      </c>
      <c r="AX135" s="105">
        <v>17.91</v>
      </c>
      <c r="AY135" s="105">
        <v>25.43288424</v>
      </c>
      <c r="AZ135" s="105">
        <v>56.537240879999999</v>
      </c>
      <c r="BA135" s="105">
        <v>26.80314705</v>
      </c>
      <c r="BB135" s="105">
        <v>83.41</v>
      </c>
      <c r="BC135" s="105">
        <v>121.03</v>
      </c>
      <c r="BD135" s="105">
        <v>98.13</v>
      </c>
    </row>
    <row r="136" spans="3:56" x14ac:dyDescent="0.25">
      <c r="C136" s="38">
        <v>43419</v>
      </c>
      <c r="D136" s="105">
        <v>141.84</v>
      </c>
      <c r="E136" s="105">
        <v>117.11</v>
      </c>
      <c r="F136" s="105">
        <v>74.33</v>
      </c>
      <c r="G136" s="105">
        <v>50.63</v>
      </c>
      <c r="H136" s="105">
        <v>129.41999999999999</v>
      </c>
      <c r="I136" s="105">
        <v>143.85</v>
      </c>
      <c r="J136" s="105">
        <v>47.852499999999999</v>
      </c>
      <c r="K136" s="105">
        <v>1619.44</v>
      </c>
      <c r="L136" s="105">
        <v>290.06</v>
      </c>
      <c r="M136" s="105">
        <v>107.28</v>
      </c>
      <c r="N136" s="105">
        <v>1071.05</v>
      </c>
      <c r="O136" s="105">
        <v>108.41</v>
      </c>
      <c r="P136" s="105">
        <v>197.44</v>
      </c>
      <c r="Q136" s="105">
        <v>222.77</v>
      </c>
      <c r="R136" s="105">
        <v>51.37</v>
      </c>
      <c r="S136" s="105">
        <v>30.5</v>
      </c>
      <c r="T136" s="105">
        <v>118.31</v>
      </c>
      <c r="U136" s="105">
        <v>53.73</v>
      </c>
      <c r="V136" s="105">
        <v>39.53</v>
      </c>
      <c r="W136" s="105">
        <v>67.78</v>
      </c>
      <c r="X136" s="105">
        <v>53.23</v>
      </c>
      <c r="Y136" s="105">
        <v>60.612078437000001</v>
      </c>
      <c r="Z136" s="105">
        <v>35.29</v>
      </c>
      <c r="AA136" s="105">
        <v>53.51</v>
      </c>
      <c r="AB136" s="105">
        <v>3.57</v>
      </c>
      <c r="AC136" s="105">
        <v>90.84</v>
      </c>
      <c r="AD136" s="105">
        <v>78.819999999999993</v>
      </c>
      <c r="AE136" s="105">
        <v>29.754999999999999</v>
      </c>
      <c r="AF136" s="105">
        <v>36.14</v>
      </c>
      <c r="AG136" s="105">
        <v>89.19</v>
      </c>
      <c r="AH136" s="105">
        <v>38.28</v>
      </c>
      <c r="AI136" s="105">
        <v>12.147500000000001</v>
      </c>
      <c r="AJ136" s="105">
        <v>25.63</v>
      </c>
      <c r="AK136" s="105">
        <v>18.170000000000002</v>
      </c>
      <c r="AL136" s="105">
        <v>47.19</v>
      </c>
      <c r="AM136" s="105">
        <v>121.44</v>
      </c>
      <c r="AN136" s="105">
        <v>168.72</v>
      </c>
      <c r="AO136" s="105">
        <v>59.08</v>
      </c>
      <c r="AP136" s="105">
        <v>52.47</v>
      </c>
      <c r="AQ136" s="105">
        <v>101.64</v>
      </c>
      <c r="AR136" s="105">
        <v>32.060516200000002</v>
      </c>
      <c r="AS136" s="105">
        <v>35.14</v>
      </c>
      <c r="AT136" s="105">
        <v>66.22</v>
      </c>
      <c r="AU136" s="105">
        <v>240.04</v>
      </c>
      <c r="AV136" s="105">
        <v>85.52</v>
      </c>
      <c r="AW136" s="105">
        <v>124.7</v>
      </c>
      <c r="AX136" s="105">
        <v>18.8</v>
      </c>
      <c r="AY136" s="105">
        <v>26.591997840000001</v>
      </c>
      <c r="AZ136" s="105">
        <v>55.933085599999998</v>
      </c>
      <c r="BA136" s="105">
        <v>28.76838687</v>
      </c>
      <c r="BB136" s="105">
        <v>83.32</v>
      </c>
      <c r="BC136" s="105">
        <v>121.43</v>
      </c>
      <c r="BD136" s="105">
        <v>99.98</v>
      </c>
    </row>
    <row r="137" spans="3:56" x14ac:dyDescent="0.25">
      <c r="C137" s="38">
        <v>43412</v>
      </c>
      <c r="D137" s="105">
        <v>145.22999999999999</v>
      </c>
      <c r="E137" s="105">
        <v>116</v>
      </c>
      <c r="F137" s="105">
        <v>77.78</v>
      </c>
      <c r="G137" s="105">
        <v>50.43</v>
      </c>
      <c r="H137" s="105">
        <v>131.38999999999999</v>
      </c>
      <c r="I137" s="105">
        <v>147.87</v>
      </c>
      <c r="J137" s="105">
        <v>52.122500000000002</v>
      </c>
      <c r="K137" s="105">
        <v>1754.91</v>
      </c>
      <c r="L137" s="105">
        <v>317.92</v>
      </c>
      <c r="M137" s="105">
        <v>111.75</v>
      </c>
      <c r="N137" s="105">
        <v>1094.6300000000001</v>
      </c>
      <c r="O137" s="105">
        <v>107.07</v>
      </c>
      <c r="P137" s="105">
        <v>204.72</v>
      </c>
      <c r="Q137" s="105">
        <v>245.67</v>
      </c>
      <c r="R137" s="105">
        <v>49.33</v>
      </c>
      <c r="S137" s="105">
        <v>31.46</v>
      </c>
      <c r="T137" s="105">
        <v>116.91</v>
      </c>
      <c r="U137" s="105">
        <v>53.71</v>
      </c>
      <c r="V137" s="105">
        <v>41.9</v>
      </c>
      <c r="W137" s="105">
        <v>73.23</v>
      </c>
      <c r="X137" s="105">
        <v>52.72</v>
      </c>
      <c r="Y137" s="105">
        <v>62.124859096999998</v>
      </c>
      <c r="Z137" s="105">
        <v>36.93</v>
      </c>
      <c r="AA137" s="105">
        <v>55.45</v>
      </c>
      <c r="AB137" s="105">
        <v>3.79</v>
      </c>
      <c r="AC137" s="105">
        <v>100.83</v>
      </c>
      <c r="AD137" s="105">
        <v>83.12</v>
      </c>
      <c r="AE137" s="105">
        <v>32.19</v>
      </c>
      <c r="AF137" s="105">
        <v>36.99</v>
      </c>
      <c r="AG137" s="105">
        <v>92.75</v>
      </c>
      <c r="AH137" s="105">
        <v>38.1</v>
      </c>
      <c r="AI137" s="105">
        <v>12.25</v>
      </c>
      <c r="AJ137" s="105">
        <v>25.02</v>
      </c>
      <c r="AK137" s="105">
        <v>18.23</v>
      </c>
      <c r="AL137" s="105">
        <v>69.41</v>
      </c>
      <c r="AM137" s="105">
        <v>123.38</v>
      </c>
      <c r="AN137" s="105">
        <v>171.29</v>
      </c>
      <c r="AO137" s="105">
        <v>58.27</v>
      </c>
      <c r="AP137" s="105">
        <v>55.54</v>
      </c>
      <c r="AQ137" s="105">
        <v>101.73</v>
      </c>
      <c r="AR137" s="105">
        <v>31.631221400000001</v>
      </c>
      <c r="AS137" s="105">
        <v>37.15</v>
      </c>
      <c r="AT137" s="105">
        <v>66.56</v>
      </c>
      <c r="AU137" s="105">
        <v>244.48</v>
      </c>
      <c r="AV137" s="105">
        <v>87.85</v>
      </c>
      <c r="AW137" s="105">
        <v>127.33</v>
      </c>
      <c r="AX137" s="105">
        <v>19.899999999999999</v>
      </c>
      <c r="AY137" s="105">
        <v>26.794842719999998</v>
      </c>
      <c r="AZ137" s="105">
        <v>56.449540919999997</v>
      </c>
      <c r="BA137" s="105">
        <v>26.52100866</v>
      </c>
      <c r="BB137" s="105">
        <v>81</v>
      </c>
      <c r="BC137" s="105">
        <v>120.14</v>
      </c>
      <c r="BD137" s="105">
        <v>103.3</v>
      </c>
    </row>
    <row r="138" spans="3:56" x14ac:dyDescent="0.25">
      <c r="C138" s="38">
        <v>43405</v>
      </c>
      <c r="D138" s="105">
        <v>140.83000000000001</v>
      </c>
      <c r="E138" s="105">
        <v>116.1</v>
      </c>
      <c r="F138" s="105">
        <v>76.790000000000006</v>
      </c>
      <c r="G138" s="105">
        <v>48.59</v>
      </c>
      <c r="H138" s="105">
        <v>124.7</v>
      </c>
      <c r="I138" s="105">
        <v>151.75</v>
      </c>
      <c r="J138" s="105">
        <v>55.555</v>
      </c>
      <c r="K138" s="105">
        <v>1665.53</v>
      </c>
      <c r="L138" s="105">
        <v>317.38</v>
      </c>
      <c r="M138" s="105">
        <v>105.92</v>
      </c>
      <c r="N138" s="105">
        <v>1085.98</v>
      </c>
      <c r="O138" s="105">
        <v>107.34</v>
      </c>
      <c r="P138" s="105">
        <v>200.88</v>
      </c>
      <c r="Q138" s="105">
        <v>230.95</v>
      </c>
      <c r="R138" s="105">
        <v>48.47</v>
      </c>
      <c r="S138" s="105">
        <v>30.68</v>
      </c>
      <c r="T138" s="105">
        <v>121.09</v>
      </c>
      <c r="U138" s="105">
        <v>57.06</v>
      </c>
      <c r="V138" s="105">
        <v>44.04</v>
      </c>
      <c r="W138" s="105">
        <v>73.08</v>
      </c>
      <c r="X138" s="105">
        <v>50.95</v>
      </c>
      <c r="Y138" s="105">
        <v>58.411670205</v>
      </c>
      <c r="Z138" s="105">
        <v>36.9</v>
      </c>
      <c r="AA138" s="105">
        <v>53.8</v>
      </c>
      <c r="AB138" s="105">
        <v>3.66</v>
      </c>
      <c r="AC138" s="105">
        <v>129.65</v>
      </c>
      <c r="AD138" s="105">
        <v>86.99</v>
      </c>
      <c r="AE138" s="105">
        <v>32.58</v>
      </c>
      <c r="AF138" s="105">
        <v>32.119999999999997</v>
      </c>
      <c r="AG138" s="105">
        <v>92.19</v>
      </c>
      <c r="AH138" s="105">
        <v>35.85</v>
      </c>
      <c r="AI138" s="105">
        <v>11.692500000000001</v>
      </c>
      <c r="AJ138" s="105">
        <v>23.02</v>
      </c>
      <c r="AK138" s="105">
        <v>17.23</v>
      </c>
      <c r="AL138" s="105">
        <v>68.19</v>
      </c>
      <c r="AM138" s="105">
        <v>116.83</v>
      </c>
      <c r="AN138" s="105">
        <v>166.57</v>
      </c>
      <c r="AO138" s="105">
        <v>56.05</v>
      </c>
      <c r="AP138" s="105">
        <v>55.07</v>
      </c>
      <c r="AQ138" s="105">
        <v>103.02</v>
      </c>
      <c r="AR138" s="105">
        <v>31.279980200000001</v>
      </c>
      <c r="AS138" s="105">
        <v>32.43</v>
      </c>
      <c r="AT138" s="105">
        <v>71.790000000000006</v>
      </c>
      <c r="AU138" s="105">
        <v>234.16</v>
      </c>
      <c r="AV138" s="105">
        <v>84.9</v>
      </c>
      <c r="AW138" s="105">
        <v>125.49</v>
      </c>
      <c r="AX138" s="105">
        <v>19.41</v>
      </c>
      <c r="AY138" s="105">
        <v>27.606222240000001</v>
      </c>
      <c r="AZ138" s="105">
        <v>55.92334116</v>
      </c>
      <c r="BA138" s="105">
        <v>24.575226659999998</v>
      </c>
      <c r="BB138" s="105">
        <v>78.64</v>
      </c>
      <c r="BC138" s="105">
        <v>120.62</v>
      </c>
      <c r="BD138" s="105">
        <v>97.1</v>
      </c>
    </row>
    <row r="139" spans="3:56" x14ac:dyDescent="0.25">
      <c r="C139" s="38">
        <v>43398</v>
      </c>
      <c r="D139" s="105">
        <v>140.52000000000001</v>
      </c>
      <c r="E139" s="105">
        <v>114.16</v>
      </c>
      <c r="F139" s="105">
        <v>73.099999999999994</v>
      </c>
      <c r="G139" s="105">
        <v>47.96</v>
      </c>
      <c r="H139" s="105">
        <v>115.63</v>
      </c>
      <c r="I139" s="105">
        <v>150.94999999999999</v>
      </c>
      <c r="J139" s="105">
        <v>54.95</v>
      </c>
      <c r="K139" s="105">
        <v>1782.17</v>
      </c>
      <c r="L139" s="105">
        <v>312.87</v>
      </c>
      <c r="M139" s="105">
        <v>108.3</v>
      </c>
      <c r="N139" s="105">
        <v>1103.5899999999999</v>
      </c>
      <c r="O139" s="105">
        <v>102.84</v>
      </c>
      <c r="P139" s="105">
        <v>213.15</v>
      </c>
      <c r="Q139" s="105">
        <v>232.07</v>
      </c>
      <c r="R139" s="105">
        <v>49.43</v>
      </c>
      <c r="S139" s="105">
        <v>30.53</v>
      </c>
      <c r="T139" s="105">
        <v>111.54</v>
      </c>
      <c r="U139" s="105">
        <v>54.26</v>
      </c>
      <c r="V139" s="105">
        <v>40.19</v>
      </c>
      <c r="W139" s="105">
        <v>69.17</v>
      </c>
      <c r="X139" s="105">
        <v>49.91</v>
      </c>
      <c r="Y139" s="105">
        <v>60.676257010999997</v>
      </c>
      <c r="Z139" s="105">
        <v>36.96</v>
      </c>
      <c r="AA139" s="105">
        <v>52.88</v>
      </c>
      <c r="AB139" s="105">
        <v>3.9</v>
      </c>
      <c r="AC139" s="105">
        <v>105.7</v>
      </c>
      <c r="AD139" s="105">
        <v>90.22</v>
      </c>
      <c r="AE139" s="105">
        <v>30.63</v>
      </c>
      <c r="AF139" s="105">
        <v>30</v>
      </c>
      <c r="AG139" s="105">
        <v>89.51</v>
      </c>
      <c r="AH139" s="105">
        <v>32.85</v>
      </c>
      <c r="AI139" s="105">
        <v>11.78</v>
      </c>
      <c r="AJ139" s="105">
        <v>22.76</v>
      </c>
      <c r="AK139" s="105">
        <v>16.45</v>
      </c>
      <c r="AL139" s="105">
        <v>69.459999999999994</v>
      </c>
      <c r="AM139" s="105">
        <v>126.45</v>
      </c>
      <c r="AN139" s="105">
        <v>165.27</v>
      </c>
      <c r="AO139" s="105">
        <v>56.43</v>
      </c>
      <c r="AP139" s="105">
        <v>53.25</v>
      </c>
      <c r="AQ139" s="105">
        <v>93.64</v>
      </c>
      <c r="AR139" s="105">
        <v>28.879832</v>
      </c>
      <c r="AS139" s="105">
        <v>31.01</v>
      </c>
      <c r="AT139" s="105">
        <v>71.709999999999994</v>
      </c>
      <c r="AU139" s="105">
        <v>231.45</v>
      </c>
      <c r="AV139" s="105">
        <v>83.02</v>
      </c>
      <c r="AW139" s="105">
        <v>127.38</v>
      </c>
      <c r="AX139" s="105">
        <v>17.37</v>
      </c>
      <c r="AY139" s="105">
        <v>25.983463199999999</v>
      </c>
      <c r="AZ139" s="105">
        <v>49.306866399999997</v>
      </c>
      <c r="BA139" s="105">
        <v>24.439021919999998</v>
      </c>
      <c r="BB139" s="105">
        <v>82.11</v>
      </c>
      <c r="BC139" s="105">
        <v>111.16</v>
      </c>
      <c r="BD139" s="105">
        <v>96.23</v>
      </c>
    </row>
    <row r="140" spans="3:56" x14ac:dyDescent="0.25">
      <c r="C140" s="38">
        <v>43391</v>
      </c>
      <c r="D140" s="105">
        <v>139.29</v>
      </c>
      <c r="E140" s="105">
        <v>116.18</v>
      </c>
      <c r="F140" s="105">
        <v>75.599999999999994</v>
      </c>
      <c r="G140" s="105">
        <v>47.38</v>
      </c>
      <c r="H140" s="105">
        <v>135.80000000000001</v>
      </c>
      <c r="I140" s="105">
        <v>154.91999999999999</v>
      </c>
      <c r="J140" s="105">
        <v>54.005000000000003</v>
      </c>
      <c r="K140" s="105">
        <v>1770.72</v>
      </c>
      <c r="L140" s="105">
        <v>346.71</v>
      </c>
      <c r="M140" s="105">
        <v>108.5</v>
      </c>
      <c r="N140" s="105">
        <v>1097.9100000000001</v>
      </c>
      <c r="O140" s="105">
        <v>104.58</v>
      </c>
      <c r="P140" s="105">
        <v>225.09</v>
      </c>
      <c r="Q140" s="105">
        <v>323.06</v>
      </c>
      <c r="R140" s="105">
        <v>48.34</v>
      </c>
      <c r="S140" s="105">
        <v>30.81</v>
      </c>
      <c r="T140" s="105">
        <v>115.29</v>
      </c>
      <c r="U140" s="105">
        <v>56.04</v>
      </c>
      <c r="V140" s="105">
        <v>42.42</v>
      </c>
      <c r="W140" s="105">
        <v>72.650000000000006</v>
      </c>
      <c r="X140" s="105">
        <v>57.96</v>
      </c>
      <c r="Y140" s="105">
        <v>65.425471446000003</v>
      </c>
      <c r="Z140" s="105">
        <v>38.11</v>
      </c>
      <c r="AA140" s="105">
        <v>54.6</v>
      </c>
      <c r="AB140" s="105">
        <v>4.03</v>
      </c>
      <c r="AC140" s="105">
        <v>115.57</v>
      </c>
      <c r="AD140" s="105">
        <v>95.84</v>
      </c>
      <c r="AE140" s="105">
        <v>30.81</v>
      </c>
      <c r="AF140" s="105">
        <v>32.85</v>
      </c>
      <c r="AG140" s="105">
        <v>89.55</v>
      </c>
      <c r="AH140" s="105">
        <v>34.479999999999997</v>
      </c>
      <c r="AI140" s="105">
        <v>12.13</v>
      </c>
      <c r="AJ140" s="105">
        <v>22.45</v>
      </c>
      <c r="AK140" s="105">
        <v>16.34</v>
      </c>
      <c r="AL140" s="105">
        <v>69.540000000000006</v>
      </c>
      <c r="AM140" s="105">
        <v>130.55000000000001</v>
      </c>
      <c r="AN140" s="105">
        <v>173.1</v>
      </c>
      <c r="AO140" s="105">
        <v>54.65</v>
      </c>
      <c r="AP140" s="105">
        <v>54.82</v>
      </c>
      <c r="AQ140" s="105">
        <v>101.27</v>
      </c>
      <c r="AR140" s="105">
        <v>31.582437899999999</v>
      </c>
      <c r="AS140" s="105">
        <v>32.42</v>
      </c>
      <c r="AT140" s="105">
        <v>70.55</v>
      </c>
      <c r="AU140" s="105">
        <v>239.8</v>
      </c>
      <c r="AV140" s="105">
        <v>84.8</v>
      </c>
      <c r="AW140" s="105">
        <v>133.63999999999999</v>
      </c>
      <c r="AX140" s="105">
        <v>17.690000000000001</v>
      </c>
      <c r="AY140" s="105">
        <v>26.572679279999999</v>
      </c>
      <c r="AZ140" s="105">
        <v>53.59442</v>
      </c>
      <c r="BA140" s="105">
        <v>24.682244669999999</v>
      </c>
      <c r="BB140" s="105">
        <v>81.790000000000006</v>
      </c>
      <c r="BC140" s="105">
        <v>119.11</v>
      </c>
      <c r="BD140" s="105">
        <v>106.46</v>
      </c>
    </row>
    <row r="141" spans="3:56" x14ac:dyDescent="0.25">
      <c r="C141" s="38">
        <v>43384</v>
      </c>
      <c r="D141" s="105">
        <v>133.72999999999999</v>
      </c>
      <c r="E141" s="105">
        <v>111.15</v>
      </c>
      <c r="F141" s="105">
        <v>74.510000000000005</v>
      </c>
      <c r="G141" s="105">
        <v>46.78</v>
      </c>
      <c r="H141" s="105">
        <v>140.97</v>
      </c>
      <c r="I141" s="105">
        <v>153.35</v>
      </c>
      <c r="J141" s="105">
        <v>53.612499999999997</v>
      </c>
      <c r="K141" s="105">
        <v>1719.36</v>
      </c>
      <c r="L141" s="105">
        <v>321.10000000000002</v>
      </c>
      <c r="M141" s="105">
        <v>105.91</v>
      </c>
      <c r="N141" s="105">
        <v>1090.74</v>
      </c>
      <c r="O141" s="105">
        <v>102.09</v>
      </c>
      <c r="P141" s="105">
        <v>217.77</v>
      </c>
      <c r="Q141" s="105">
        <v>312.86</v>
      </c>
      <c r="R141" s="105">
        <v>47.62</v>
      </c>
      <c r="S141" s="105">
        <v>29.97</v>
      </c>
      <c r="T141" s="105">
        <v>114.63</v>
      </c>
      <c r="U141" s="105">
        <v>55.49</v>
      </c>
      <c r="V141" s="105">
        <v>43.31</v>
      </c>
      <c r="W141" s="105">
        <v>70.75</v>
      </c>
      <c r="X141" s="105">
        <v>57.03</v>
      </c>
      <c r="Y141" s="105">
        <v>61.80396623</v>
      </c>
      <c r="Z141" s="105">
        <v>35.46</v>
      </c>
      <c r="AA141" s="105">
        <v>52.85</v>
      </c>
      <c r="AB141" s="105">
        <v>4.18</v>
      </c>
      <c r="AC141" s="105">
        <v>109.35</v>
      </c>
      <c r="AD141" s="105">
        <v>99.24</v>
      </c>
      <c r="AE141" s="105">
        <v>32.454999999999998</v>
      </c>
      <c r="AF141" s="105">
        <v>32.69</v>
      </c>
      <c r="AG141" s="105">
        <v>85.03</v>
      </c>
      <c r="AH141" s="105">
        <v>33.31</v>
      </c>
      <c r="AI141" s="105">
        <v>12.0075</v>
      </c>
      <c r="AJ141" s="105">
        <v>22.89</v>
      </c>
      <c r="AK141" s="105">
        <v>16.21</v>
      </c>
      <c r="AL141" s="105">
        <v>68.41</v>
      </c>
      <c r="AM141" s="105">
        <v>139.02000000000001</v>
      </c>
      <c r="AN141" s="105">
        <v>168.72</v>
      </c>
      <c r="AO141" s="105">
        <v>53.33</v>
      </c>
      <c r="AP141" s="105">
        <v>53.88</v>
      </c>
      <c r="AQ141" s="105">
        <v>99.09</v>
      </c>
      <c r="AR141" s="105">
        <v>31.923922399999999</v>
      </c>
      <c r="AS141" s="105">
        <v>32.6</v>
      </c>
      <c r="AT141" s="105">
        <v>68.489999999999995</v>
      </c>
      <c r="AU141" s="105">
        <v>238.49</v>
      </c>
      <c r="AV141" s="105">
        <v>79.510000000000005</v>
      </c>
      <c r="AW141" s="105">
        <v>126.12</v>
      </c>
      <c r="AX141" s="105">
        <v>16.18</v>
      </c>
      <c r="AY141" s="105">
        <v>26.823820560000001</v>
      </c>
      <c r="AZ141" s="105">
        <v>54.783241680000003</v>
      </c>
      <c r="BA141" s="105">
        <v>23.777456040000001</v>
      </c>
      <c r="BB141" s="105">
        <v>81.23</v>
      </c>
      <c r="BC141" s="105">
        <v>117.84</v>
      </c>
      <c r="BD141" s="105">
        <v>103.15</v>
      </c>
    </row>
    <row r="142" spans="3:56" x14ac:dyDescent="0.25">
      <c r="C142" s="38">
        <v>43377</v>
      </c>
      <c r="D142" s="105">
        <v>146.76</v>
      </c>
      <c r="E142" s="105">
        <v>116.13</v>
      </c>
      <c r="F142" s="105">
        <v>80.180000000000007</v>
      </c>
      <c r="G142" s="105">
        <v>49.47</v>
      </c>
      <c r="H142" s="105">
        <v>156.75</v>
      </c>
      <c r="I142" s="105">
        <v>158.85</v>
      </c>
      <c r="J142" s="105">
        <v>56.997500000000002</v>
      </c>
      <c r="K142" s="105">
        <v>1909.42</v>
      </c>
      <c r="L142" s="105">
        <v>363.65</v>
      </c>
      <c r="M142" s="105">
        <v>112.79</v>
      </c>
      <c r="N142" s="105">
        <v>1177.07</v>
      </c>
      <c r="O142" s="105">
        <v>102.73</v>
      </c>
      <c r="P142" s="105">
        <v>222.1</v>
      </c>
      <c r="Q142" s="105">
        <v>357.89</v>
      </c>
      <c r="R142" s="105">
        <v>47.45</v>
      </c>
      <c r="S142" s="105">
        <v>30</v>
      </c>
      <c r="T142" s="105">
        <v>122.2</v>
      </c>
      <c r="U142" s="105">
        <v>59.35</v>
      </c>
      <c r="V142" s="105">
        <v>44.69</v>
      </c>
      <c r="W142" s="105">
        <v>73.150000000000006</v>
      </c>
      <c r="X142" s="105">
        <v>61.58</v>
      </c>
      <c r="Y142" s="105">
        <v>61.703114186000001</v>
      </c>
      <c r="Z142" s="105">
        <v>33.9</v>
      </c>
      <c r="AA142" s="105">
        <v>59.6</v>
      </c>
      <c r="AB142" s="105">
        <v>4.1399999999999997</v>
      </c>
      <c r="AC142" s="105">
        <v>122.16</v>
      </c>
      <c r="AD142" s="105">
        <v>112.04</v>
      </c>
      <c r="AE142" s="105">
        <v>36.174999999999997</v>
      </c>
      <c r="AF142" s="105">
        <v>33.78</v>
      </c>
      <c r="AG142" s="105">
        <v>89.29</v>
      </c>
      <c r="AH142" s="105">
        <v>33.450000000000003</v>
      </c>
      <c r="AI142" s="105">
        <v>12.827500000000001</v>
      </c>
      <c r="AJ142" s="105">
        <v>22.75</v>
      </c>
      <c r="AK142" s="105">
        <v>18.48</v>
      </c>
      <c r="AL142" s="105">
        <v>68.69</v>
      </c>
      <c r="AM142" s="105">
        <v>151.31</v>
      </c>
      <c r="AN142" s="105">
        <v>173.57</v>
      </c>
      <c r="AO142" s="105">
        <v>55.02</v>
      </c>
      <c r="AP142" s="105">
        <v>55.14</v>
      </c>
      <c r="AQ142" s="105">
        <v>111.88</v>
      </c>
      <c r="AR142" s="105">
        <v>29.6310979</v>
      </c>
      <c r="AS142" s="105">
        <v>36.03</v>
      </c>
      <c r="AT142" s="105">
        <v>72.14</v>
      </c>
      <c r="AU142" s="105">
        <v>253.38</v>
      </c>
      <c r="AV142" s="105">
        <v>81.11</v>
      </c>
      <c r="AW142" s="105">
        <v>140.69999999999999</v>
      </c>
      <c r="AX142" s="105">
        <v>17.350000000000001</v>
      </c>
      <c r="AY142" s="105">
        <v>29.248299840000001</v>
      </c>
      <c r="AZ142" s="105">
        <v>60.415528000000002</v>
      </c>
      <c r="BA142" s="105">
        <v>25.50920202</v>
      </c>
      <c r="BB142" s="105">
        <v>81.27</v>
      </c>
      <c r="BC142" s="105">
        <v>121.79</v>
      </c>
      <c r="BD142" s="105">
        <v>107.71</v>
      </c>
    </row>
    <row r="143" spans="3:56" x14ac:dyDescent="0.25">
      <c r="C143" s="38">
        <v>43370</v>
      </c>
      <c r="D143" s="105">
        <v>150.02000000000001</v>
      </c>
      <c r="E143" s="105">
        <v>116.04</v>
      </c>
      <c r="F143" s="105">
        <v>84.54</v>
      </c>
      <c r="G143" s="105">
        <v>51.69</v>
      </c>
      <c r="H143" s="105">
        <v>152.47</v>
      </c>
      <c r="I143" s="105">
        <v>168.84</v>
      </c>
      <c r="J143" s="105">
        <v>56.237499999999997</v>
      </c>
      <c r="K143" s="105">
        <v>2012.98</v>
      </c>
      <c r="L143" s="105">
        <v>380.71</v>
      </c>
      <c r="M143" s="105">
        <v>114.41</v>
      </c>
      <c r="N143" s="105">
        <v>1207.3599999999999</v>
      </c>
      <c r="O143" s="105">
        <v>101.74</v>
      </c>
      <c r="P143" s="105">
        <v>214.94</v>
      </c>
      <c r="Q143" s="105">
        <v>389.97</v>
      </c>
      <c r="R143" s="105">
        <v>46.58</v>
      </c>
      <c r="S143" s="105">
        <v>28.74</v>
      </c>
      <c r="T143" s="105">
        <v>133.41999999999999</v>
      </c>
      <c r="U143" s="105">
        <v>59.76</v>
      </c>
      <c r="V143" s="105">
        <v>47.08</v>
      </c>
      <c r="W143" s="105">
        <v>78.260000000000005</v>
      </c>
      <c r="X143" s="105">
        <v>62.71</v>
      </c>
      <c r="Y143" s="105">
        <v>62.170700934999999</v>
      </c>
      <c r="Z143" s="105">
        <v>36.450000000000003</v>
      </c>
      <c r="AA143" s="105">
        <v>63.4</v>
      </c>
      <c r="AB143" s="105">
        <v>3.96</v>
      </c>
      <c r="AC143" s="105">
        <v>117.1</v>
      </c>
      <c r="AD143" s="105">
        <v>114.54</v>
      </c>
      <c r="AE143" s="105">
        <v>39.47</v>
      </c>
      <c r="AF143" s="105">
        <v>32.270000000000003</v>
      </c>
      <c r="AG143" s="105">
        <v>94.35</v>
      </c>
      <c r="AH143" s="105">
        <v>35.729999999999997</v>
      </c>
      <c r="AI143" s="105">
        <v>13.335000000000001</v>
      </c>
      <c r="AJ143" s="105">
        <v>21</v>
      </c>
      <c r="AK143" s="105">
        <v>19.38</v>
      </c>
      <c r="AL143" s="105">
        <v>66.66</v>
      </c>
      <c r="AM143" s="105">
        <v>151.5</v>
      </c>
      <c r="AN143" s="105">
        <v>175.04</v>
      </c>
      <c r="AO143" s="105">
        <v>53.59</v>
      </c>
      <c r="AP143" s="105">
        <v>55.905000000000001</v>
      </c>
      <c r="AQ143" s="105">
        <v>118.5</v>
      </c>
      <c r="AR143" s="105">
        <v>29.250586599999998</v>
      </c>
      <c r="AS143" s="105">
        <v>37.07</v>
      </c>
      <c r="AT143" s="105">
        <v>72.83</v>
      </c>
      <c r="AU143" s="105">
        <v>259.99</v>
      </c>
      <c r="AV143" s="105">
        <v>82.08</v>
      </c>
      <c r="AW143" s="105">
        <v>154.97999999999999</v>
      </c>
      <c r="AX143" s="105">
        <v>16.82</v>
      </c>
      <c r="AY143" s="105">
        <v>30.523324800000001</v>
      </c>
      <c r="AZ143" s="105">
        <v>59.236450759999997</v>
      </c>
      <c r="BA143" s="105">
        <v>24.906009600000001</v>
      </c>
      <c r="BB143" s="105">
        <v>81.319999999999993</v>
      </c>
      <c r="BC143" s="105">
        <v>128.44999999999999</v>
      </c>
      <c r="BD143" s="105">
        <v>106.29</v>
      </c>
    </row>
    <row r="144" spans="3:56" x14ac:dyDescent="0.25">
      <c r="C144" s="38">
        <v>43363</v>
      </c>
      <c r="D144" s="105">
        <v>149.24</v>
      </c>
      <c r="E144" s="105">
        <v>111.62</v>
      </c>
      <c r="F144" s="105">
        <v>85.37</v>
      </c>
      <c r="G144" s="105">
        <v>50.43</v>
      </c>
      <c r="H144" s="105">
        <v>156</v>
      </c>
      <c r="I144" s="105">
        <v>166.02</v>
      </c>
      <c r="J144" s="105">
        <v>55.0075</v>
      </c>
      <c r="K144" s="105">
        <v>1944.3</v>
      </c>
      <c r="L144" s="105">
        <v>365.36</v>
      </c>
      <c r="M144" s="105">
        <v>113.57</v>
      </c>
      <c r="N144" s="105">
        <v>1191.57</v>
      </c>
      <c r="O144" s="105">
        <v>103.45</v>
      </c>
      <c r="P144" s="105">
        <v>218.57</v>
      </c>
      <c r="Q144" s="105">
        <v>379.84</v>
      </c>
      <c r="R144" s="105">
        <v>47.35</v>
      </c>
      <c r="S144" s="105">
        <v>29.55</v>
      </c>
      <c r="T144" s="105">
        <v>132.18</v>
      </c>
      <c r="U144" s="105">
        <v>60.97</v>
      </c>
      <c r="V144" s="105">
        <v>50.72</v>
      </c>
      <c r="W144" s="105">
        <v>79.56</v>
      </c>
      <c r="X144" s="105">
        <v>62.5</v>
      </c>
      <c r="Y144" s="105">
        <v>61.235527437000002</v>
      </c>
      <c r="Z144" s="105">
        <v>34.85</v>
      </c>
      <c r="AA144" s="105">
        <v>64.599999999999994</v>
      </c>
      <c r="AB144" s="105">
        <v>3.96</v>
      </c>
      <c r="AC144" s="105">
        <v>121.35</v>
      </c>
      <c r="AD144" s="105">
        <v>113.58</v>
      </c>
      <c r="AE144" s="105">
        <v>40.195</v>
      </c>
      <c r="AF144" s="105">
        <v>32.31</v>
      </c>
      <c r="AG144" s="105">
        <v>93.1</v>
      </c>
      <c r="AH144" s="105">
        <v>37.14</v>
      </c>
      <c r="AI144" s="105">
        <v>13.567500000000001</v>
      </c>
      <c r="AJ144" s="105">
        <v>22.35</v>
      </c>
      <c r="AK144" s="105">
        <v>19.91</v>
      </c>
      <c r="AL144" s="105">
        <v>67.819999999999993</v>
      </c>
      <c r="AM144" s="105">
        <v>151.15</v>
      </c>
      <c r="AN144" s="105">
        <v>173.49</v>
      </c>
      <c r="AO144" s="105">
        <v>53.95</v>
      </c>
      <c r="AP144" s="105">
        <v>54.774999999999999</v>
      </c>
      <c r="AQ144" s="105">
        <v>115.66</v>
      </c>
      <c r="AR144" s="105">
        <v>30.733605000000001</v>
      </c>
      <c r="AS144" s="105">
        <v>38.729999999999997</v>
      </c>
      <c r="AT144" s="105">
        <v>73.290000000000006</v>
      </c>
      <c r="AU144" s="105">
        <v>261.89</v>
      </c>
      <c r="AV144" s="105">
        <v>86.22</v>
      </c>
      <c r="AW144" s="105">
        <v>153.47999999999999</v>
      </c>
      <c r="AX144" s="105">
        <v>16.59</v>
      </c>
      <c r="AY144" s="105">
        <v>31.7307348</v>
      </c>
      <c r="AZ144" s="105">
        <v>59.56776172</v>
      </c>
      <c r="BA144" s="105">
        <v>25.295165999999998</v>
      </c>
      <c r="BB144" s="105">
        <v>81.150000000000006</v>
      </c>
      <c r="BC144" s="105">
        <v>127.05</v>
      </c>
      <c r="BD144" s="105">
        <v>105.61</v>
      </c>
    </row>
    <row r="145" spans="3:56" x14ac:dyDescent="0.25">
      <c r="C145" s="38">
        <v>43356</v>
      </c>
      <c r="D145" s="105">
        <v>147.63</v>
      </c>
      <c r="E145" s="105">
        <v>110.67</v>
      </c>
      <c r="F145" s="105">
        <v>83.47</v>
      </c>
      <c r="G145" s="105">
        <v>48.96</v>
      </c>
      <c r="H145" s="105">
        <v>145.54</v>
      </c>
      <c r="I145" s="105">
        <v>161.36000000000001</v>
      </c>
      <c r="J145" s="105">
        <v>56.602499999999999</v>
      </c>
      <c r="K145" s="105">
        <v>1989.87</v>
      </c>
      <c r="L145" s="105">
        <v>368.15</v>
      </c>
      <c r="M145" s="105">
        <v>112.91</v>
      </c>
      <c r="N145" s="105">
        <v>1182.1400000000001</v>
      </c>
      <c r="O145" s="105">
        <v>106.6</v>
      </c>
      <c r="P145" s="105">
        <v>214.83</v>
      </c>
      <c r="Q145" s="105">
        <v>379.64</v>
      </c>
      <c r="R145" s="105">
        <v>48.45</v>
      </c>
      <c r="S145" s="105">
        <v>30.27</v>
      </c>
      <c r="T145" s="105">
        <v>129.54</v>
      </c>
      <c r="U145" s="105">
        <v>61.25</v>
      </c>
      <c r="V145" s="105">
        <v>52.35</v>
      </c>
      <c r="W145" s="105">
        <v>78.56</v>
      </c>
      <c r="X145" s="105">
        <v>62.36</v>
      </c>
      <c r="Y145" s="105">
        <v>60.456216187000003</v>
      </c>
      <c r="Z145" s="105">
        <v>37.299999999999997</v>
      </c>
      <c r="AA145" s="105">
        <v>64.400000000000006</v>
      </c>
      <c r="AB145" s="105">
        <v>3.98</v>
      </c>
      <c r="AC145" s="105">
        <v>120.8</v>
      </c>
      <c r="AD145" s="105">
        <v>111.69</v>
      </c>
      <c r="AE145" s="105">
        <v>43.7</v>
      </c>
      <c r="AF145" s="105">
        <v>30.68</v>
      </c>
      <c r="AG145" s="105">
        <v>90.55</v>
      </c>
      <c r="AH145" s="105">
        <v>37.18</v>
      </c>
      <c r="AI145" s="105">
        <v>13.7675</v>
      </c>
      <c r="AJ145" s="105">
        <v>21.4</v>
      </c>
      <c r="AK145" s="105">
        <v>19.22</v>
      </c>
      <c r="AL145" s="105">
        <v>68.41</v>
      </c>
      <c r="AM145" s="105">
        <v>148.94999999999999</v>
      </c>
      <c r="AN145" s="105">
        <v>173.07</v>
      </c>
      <c r="AO145" s="105">
        <v>54.94</v>
      </c>
      <c r="AP145" s="105">
        <v>54.49</v>
      </c>
      <c r="AQ145" s="105">
        <v>125.25</v>
      </c>
      <c r="AR145" s="105">
        <v>29.4847474</v>
      </c>
      <c r="AS145" s="105">
        <v>38.04</v>
      </c>
      <c r="AT145" s="105">
        <v>73.599999999999994</v>
      </c>
      <c r="AU145" s="105">
        <v>261</v>
      </c>
      <c r="AV145" s="105">
        <v>84.41</v>
      </c>
      <c r="AW145" s="105">
        <v>162.09</v>
      </c>
      <c r="AX145" s="105">
        <v>16.22</v>
      </c>
      <c r="AY145" s="105">
        <v>30.426732000000001</v>
      </c>
      <c r="AZ145" s="105">
        <v>57.28756276</v>
      </c>
      <c r="BA145" s="105">
        <v>23.689895849999999</v>
      </c>
      <c r="BB145" s="105">
        <v>81.45</v>
      </c>
      <c r="BC145" s="105">
        <v>123.45</v>
      </c>
      <c r="BD145" s="105">
        <v>102.56</v>
      </c>
    </row>
    <row r="146" spans="3:56" x14ac:dyDescent="0.25">
      <c r="C146" s="38">
        <v>43349</v>
      </c>
      <c r="D146" s="105">
        <v>144.5</v>
      </c>
      <c r="E146" s="105">
        <v>110.26</v>
      </c>
      <c r="F146" s="105">
        <v>80.400000000000006</v>
      </c>
      <c r="G146" s="105">
        <v>47.71</v>
      </c>
      <c r="H146" s="105">
        <v>141.57</v>
      </c>
      <c r="I146" s="105">
        <v>162.53</v>
      </c>
      <c r="J146" s="105">
        <v>55.774999999999999</v>
      </c>
      <c r="K146" s="105">
        <v>1958.31</v>
      </c>
      <c r="L146" s="105">
        <v>346.46</v>
      </c>
      <c r="M146" s="105">
        <v>108.74</v>
      </c>
      <c r="N146" s="105">
        <v>1183.99</v>
      </c>
      <c r="O146" s="105">
        <v>104.24</v>
      </c>
      <c r="P146" s="105">
        <v>208.62</v>
      </c>
      <c r="Q146" s="105">
        <v>370.82</v>
      </c>
      <c r="R146" s="105">
        <v>49.29</v>
      </c>
      <c r="S146" s="105">
        <v>30.92</v>
      </c>
      <c r="T146" s="105">
        <v>124.98</v>
      </c>
      <c r="U146" s="105">
        <v>61.08</v>
      </c>
      <c r="V146" s="105">
        <v>52.34</v>
      </c>
      <c r="W146" s="105">
        <v>79.23</v>
      </c>
      <c r="X146" s="105">
        <v>61.03</v>
      </c>
      <c r="Y146" s="105">
        <v>63.142547905000001</v>
      </c>
      <c r="Z146" s="105">
        <v>38.049999999999997</v>
      </c>
      <c r="AA146" s="105">
        <v>63.25</v>
      </c>
      <c r="AB146" s="105">
        <v>3.97</v>
      </c>
      <c r="AC146" s="105">
        <v>122.65</v>
      </c>
      <c r="AD146" s="105">
        <v>106.56</v>
      </c>
      <c r="AE146" s="105">
        <v>42.615000000000002</v>
      </c>
      <c r="AF146" s="105">
        <v>30.28</v>
      </c>
      <c r="AG146" s="105">
        <v>87.95</v>
      </c>
      <c r="AH146" s="105">
        <v>38.340000000000003</v>
      </c>
      <c r="AI146" s="105">
        <v>13.487500000000001</v>
      </c>
      <c r="AJ146" s="105">
        <v>21.45</v>
      </c>
      <c r="AK146" s="105">
        <v>18.96</v>
      </c>
      <c r="AL146" s="105">
        <v>67.47</v>
      </c>
      <c r="AM146" s="105">
        <v>146.38999999999999</v>
      </c>
      <c r="AN146" s="105">
        <v>171.25</v>
      </c>
      <c r="AO146" s="105">
        <v>54.29</v>
      </c>
      <c r="AP146" s="105">
        <v>55.3</v>
      </c>
      <c r="AQ146" s="105">
        <v>123.43</v>
      </c>
      <c r="AR146" s="105">
        <v>29.504260800000001</v>
      </c>
      <c r="AS146" s="105">
        <v>38.93</v>
      </c>
      <c r="AT146" s="105">
        <v>74.97</v>
      </c>
      <c r="AU146" s="105">
        <v>255.66</v>
      </c>
      <c r="AV146" s="105">
        <v>82.12</v>
      </c>
      <c r="AW146" s="105">
        <v>152.04</v>
      </c>
      <c r="AX146" s="105">
        <v>15.22</v>
      </c>
      <c r="AY146" s="105">
        <v>31.0062888</v>
      </c>
      <c r="AZ146" s="105">
        <v>59.022073079999998</v>
      </c>
      <c r="BA146" s="105">
        <v>25.149232349999998</v>
      </c>
      <c r="BB146" s="105">
        <v>81.040000000000006</v>
      </c>
      <c r="BC146" s="105">
        <v>133.1</v>
      </c>
      <c r="BD146" s="105">
        <v>103.35</v>
      </c>
    </row>
    <row r="147" spans="3:56" x14ac:dyDescent="0.25">
      <c r="C147" s="38">
        <v>43342</v>
      </c>
      <c r="D147" s="105">
        <v>146.74</v>
      </c>
      <c r="E147" s="105">
        <v>111.92</v>
      </c>
      <c r="F147" s="105">
        <v>81.400000000000006</v>
      </c>
      <c r="G147" s="105">
        <v>48.38</v>
      </c>
      <c r="H147" s="105">
        <v>139.06</v>
      </c>
      <c r="I147" s="105">
        <v>177.64</v>
      </c>
      <c r="J147" s="105">
        <v>56.2575</v>
      </c>
      <c r="K147" s="105">
        <v>2002.38</v>
      </c>
      <c r="L147" s="105">
        <v>370.98</v>
      </c>
      <c r="M147" s="105">
        <v>111.95</v>
      </c>
      <c r="N147" s="105">
        <v>1254.44</v>
      </c>
      <c r="O147" s="105">
        <v>99.92</v>
      </c>
      <c r="P147" s="105">
        <v>208.76</v>
      </c>
      <c r="Q147" s="105">
        <v>387.05</v>
      </c>
      <c r="R147" s="105">
        <v>48.34</v>
      </c>
      <c r="S147" s="105">
        <v>29.74</v>
      </c>
      <c r="T147" s="105">
        <v>126.21</v>
      </c>
      <c r="U147" s="105">
        <v>65.709999999999994</v>
      </c>
      <c r="V147" s="105">
        <v>51.84</v>
      </c>
      <c r="W147" s="105">
        <v>78.010000000000005</v>
      </c>
      <c r="X147" s="105">
        <v>60.82</v>
      </c>
      <c r="Y147" s="105">
        <v>61.033823349000002</v>
      </c>
      <c r="Z147" s="105">
        <v>36</v>
      </c>
      <c r="AA147" s="105">
        <v>63.05</v>
      </c>
      <c r="AB147" s="105">
        <v>4.17</v>
      </c>
      <c r="AC147" s="105">
        <v>121.55</v>
      </c>
      <c r="AD147" s="105">
        <v>106.59</v>
      </c>
      <c r="AE147" s="105">
        <v>42.42</v>
      </c>
      <c r="AF147" s="105">
        <v>31.33</v>
      </c>
      <c r="AG147" s="105">
        <v>85.45</v>
      </c>
      <c r="AH147" s="105">
        <v>36.19</v>
      </c>
      <c r="AI147" s="105">
        <v>14.0375</v>
      </c>
      <c r="AJ147" s="105">
        <v>22.05</v>
      </c>
      <c r="AK147" s="105">
        <v>19.16</v>
      </c>
      <c r="AL147" s="105">
        <v>66.430000000000007</v>
      </c>
      <c r="AM147" s="105">
        <v>145.93</v>
      </c>
      <c r="AN147" s="105">
        <v>169.02</v>
      </c>
      <c r="AO147" s="105">
        <v>54.75</v>
      </c>
      <c r="AP147" s="105">
        <v>54.26</v>
      </c>
      <c r="AQ147" s="105">
        <v>125.76</v>
      </c>
      <c r="AR147" s="105">
        <v>30.294553499999999</v>
      </c>
      <c r="AS147" s="105">
        <v>39.33</v>
      </c>
      <c r="AT147" s="105">
        <v>73.97</v>
      </c>
      <c r="AU147" s="105">
        <v>260.32</v>
      </c>
      <c r="AV147" s="105">
        <v>79.78</v>
      </c>
      <c r="AW147" s="105">
        <v>152.79</v>
      </c>
      <c r="AX147" s="105">
        <v>16.37</v>
      </c>
      <c r="AY147" s="105">
        <v>31.972216800000002</v>
      </c>
      <c r="AZ147" s="105">
        <v>58.408173359999999</v>
      </c>
      <c r="BA147" s="105">
        <v>25.587033300000002</v>
      </c>
      <c r="BB147" s="105">
        <v>78.930000000000007</v>
      </c>
      <c r="BC147" s="105">
        <v>135.15</v>
      </c>
      <c r="BD147" s="105">
        <v>101.99</v>
      </c>
    </row>
    <row r="148" spans="3:56" x14ac:dyDescent="0.25">
      <c r="C148" s="38">
        <v>43335</v>
      </c>
      <c r="D148" s="105">
        <v>142.1</v>
      </c>
      <c r="E148" s="105">
        <v>112</v>
      </c>
      <c r="F148" s="105">
        <v>82.91</v>
      </c>
      <c r="G148" s="105">
        <v>48.96</v>
      </c>
      <c r="H148" s="105">
        <v>136.79</v>
      </c>
      <c r="I148" s="105">
        <v>172.9</v>
      </c>
      <c r="J148" s="105">
        <v>53.872500000000002</v>
      </c>
      <c r="K148" s="105">
        <v>1902.9</v>
      </c>
      <c r="L148" s="105">
        <v>339.17</v>
      </c>
      <c r="M148" s="105">
        <v>107.56</v>
      </c>
      <c r="N148" s="105">
        <v>1221.1600000000001</v>
      </c>
      <c r="O148" s="105">
        <v>98.99</v>
      </c>
      <c r="P148" s="105">
        <v>204.88</v>
      </c>
      <c r="Q148" s="105">
        <v>363.59</v>
      </c>
      <c r="R148" s="105">
        <v>47.69</v>
      </c>
      <c r="S148" s="105">
        <v>29.45</v>
      </c>
      <c r="T148" s="105">
        <v>122.18</v>
      </c>
      <c r="U148" s="105">
        <v>65.510000000000005</v>
      </c>
      <c r="V148" s="105">
        <v>51.71</v>
      </c>
      <c r="W148" s="105">
        <v>82.6</v>
      </c>
      <c r="X148" s="105">
        <v>61.01</v>
      </c>
      <c r="Y148" s="105">
        <v>59.447695748000001</v>
      </c>
      <c r="Z148" s="105">
        <v>35.1</v>
      </c>
      <c r="AA148" s="105">
        <v>61.25</v>
      </c>
      <c r="AB148" s="105">
        <v>3.93</v>
      </c>
      <c r="AC148" s="105">
        <v>121.6</v>
      </c>
      <c r="AD148" s="105">
        <v>104.65</v>
      </c>
      <c r="AE148" s="105">
        <v>41.594999999999999</v>
      </c>
      <c r="AF148" s="105">
        <v>29.43</v>
      </c>
      <c r="AG148" s="105">
        <v>79.7</v>
      </c>
      <c r="AH148" s="105">
        <v>38.56</v>
      </c>
      <c r="AI148" s="105">
        <v>14.262499999999999</v>
      </c>
      <c r="AJ148" s="105">
        <v>22.2</v>
      </c>
      <c r="AK148" s="105">
        <v>18.899999999999999</v>
      </c>
      <c r="AL148" s="105">
        <v>67.56</v>
      </c>
      <c r="AM148" s="105">
        <v>145.37</v>
      </c>
      <c r="AN148" s="105">
        <v>169.4</v>
      </c>
      <c r="AO148" s="105">
        <v>54.28</v>
      </c>
      <c r="AP148" s="105">
        <v>53.725000000000001</v>
      </c>
      <c r="AQ148" s="105">
        <v>107.73</v>
      </c>
      <c r="AR148" s="105">
        <v>30.889712200000002</v>
      </c>
      <c r="AS148" s="105">
        <v>37.86</v>
      </c>
      <c r="AT148" s="105">
        <v>75.209999999999994</v>
      </c>
      <c r="AU148" s="105">
        <v>253.84</v>
      </c>
      <c r="AV148" s="105">
        <v>94.17</v>
      </c>
      <c r="AW148" s="105">
        <v>146.25</v>
      </c>
      <c r="AX148" s="105">
        <v>15.76</v>
      </c>
      <c r="AY148" s="105">
        <v>30.475028399999999</v>
      </c>
      <c r="AZ148" s="105">
        <v>58.719995439999998</v>
      </c>
      <c r="BA148" s="105">
        <v>24.711431399999999</v>
      </c>
      <c r="BB148" s="105">
        <v>79.2</v>
      </c>
      <c r="BC148" s="105">
        <v>136.19999999999999</v>
      </c>
      <c r="BD148" s="105">
        <v>104.52</v>
      </c>
    </row>
    <row r="149" spans="3:56" x14ac:dyDescent="0.25">
      <c r="C149" s="38">
        <v>43328</v>
      </c>
      <c r="D149" s="105">
        <v>140.65</v>
      </c>
      <c r="E149" s="105">
        <v>112.48</v>
      </c>
      <c r="F149" s="105">
        <v>80.05</v>
      </c>
      <c r="G149" s="105">
        <v>48.1</v>
      </c>
      <c r="H149" s="105">
        <v>136.26</v>
      </c>
      <c r="I149" s="105">
        <v>174.7</v>
      </c>
      <c r="J149" s="105">
        <v>53.33</v>
      </c>
      <c r="K149" s="105">
        <v>1886.52</v>
      </c>
      <c r="L149" s="105">
        <v>322.44</v>
      </c>
      <c r="M149" s="105">
        <v>107.64</v>
      </c>
      <c r="N149" s="105">
        <v>1224.06</v>
      </c>
      <c r="O149" s="105">
        <v>100.5</v>
      </c>
      <c r="P149" s="105">
        <v>202.48</v>
      </c>
      <c r="Q149" s="105">
        <v>351.2</v>
      </c>
      <c r="R149" s="105">
        <v>48.17</v>
      </c>
      <c r="S149" s="105">
        <v>29.56</v>
      </c>
      <c r="T149" s="105">
        <v>122.15</v>
      </c>
      <c r="U149" s="105">
        <v>65.11</v>
      </c>
      <c r="V149" s="105">
        <v>50.48</v>
      </c>
      <c r="W149" s="105">
        <v>76.91</v>
      </c>
      <c r="X149" s="105">
        <v>59.52</v>
      </c>
      <c r="Y149" s="105">
        <v>58.430006939999998</v>
      </c>
      <c r="Z149" s="105">
        <v>34.35</v>
      </c>
      <c r="AA149" s="105">
        <v>59.55</v>
      </c>
      <c r="AB149" s="105">
        <v>3.7</v>
      </c>
      <c r="AC149" s="105">
        <v>116.35</v>
      </c>
      <c r="AD149" s="105">
        <v>102.41</v>
      </c>
      <c r="AE149" s="105">
        <v>39.634999999999998</v>
      </c>
      <c r="AF149" s="105">
        <v>29.63</v>
      </c>
      <c r="AG149" s="105">
        <v>73.5</v>
      </c>
      <c r="AH149" s="105">
        <v>36.39</v>
      </c>
      <c r="AI149" s="105">
        <v>13.625</v>
      </c>
      <c r="AJ149" s="105">
        <v>21.45</v>
      </c>
      <c r="AK149" s="105">
        <v>18.66</v>
      </c>
      <c r="AL149" s="105">
        <v>69.319999999999993</v>
      </c>
      <c r="AM149" s="105">
        <v>145.34</v>
      </c>
      <c r="AN149" s="105">
        <v>168.69</v>
      </c>
      <c r="AO149" s="105">
        <v>54.27</v>
      </c>
      <c r="AP149" s="105">
        <v>49.765000000000001</v>
      </c>
      <c r="AQ149" s="105">
        <v>104.07</v>
      </c>
      <c r="AR149" s="105">
        <v>30.831171999999999</v>
      </c>
      <c r="AS149" s="105">
        <v>37.85</v>
      </c>
      <c r="AT149" s="105">
        <v>73.88</v>
      </c>
      <c r="AU149" s="105">
        <v>252.63</v>
      </c>
      <c r="AV149" s="105">
        <v>95.05</v>
      </c>
      <c r="AW149" s="105">
        <v>138.26</v>
      </c>
      <c r="AX149" s="105">
        <v>14.46</v>
      </c>
      <c r="AY149" s="105">
        <v>30.233546400000002</v>
      </c>
      <c r="AZ149" s="105">
        <v>56.790596319999999</v>
      </c>
      <c r="BA149" s="105">
        <v>25.1005878</v>
      </c>
      <c r="BB149" s="105">
        <v>79.260000000000005</v>
      </c>
      <c r="BC149" s="105">
        <v>135.69999999999999</v>
      </c>
      <c r="BD149" s="105">
        <v>106.05</v>
      </c>
    </row>
    <row r="150" spans="3:56" x14ac:dyDescent="0.25">
      <c r="C150" s="38">
        <v>43321</v>
      </c>
      <c r="D150" s="105">
        <v>140.01</v>
      </c>
      <c r="E150" s="105">
        <v>114.16</v>
      </c>
      <c r="F150" s="105">
        <v>81.260000000000005</v>
      </c>
      <c r="G150" s="105">
        <v>48.54</v>
      </c>
      <c r="H150" s="105">
        <v>138.52000000000001</v>
      </c>
      <c r="I150" s="105">
        <v>183.09</v>
      </c>
      <c r="J150" s="105">
        <v>52.22</v>
      </c>
      <c r="K150" s="105">
        <v>1898.52</v>
      </c>
      <c r="L150" s="105">
        <v>349.36</v>
      </c>
      <c r="M150" s="105">
        <v>109.67</v>
      </c>
      <c r="N150" s="105">
        <v>1264.46</v>
      </c>
      <c r="O150" s="105">
        <v>97.34</v>
      </c>
      <c r="P150" s="105">
        <v>214.78</v>
      </c>
      <c r="Q150" s="105">
        <v>366.87</v>
      </c>
      <c r="R150" s="105">
        <v>47.64</v>
      </c>
      <c r="S150" s="105">
        <v>28.93</v>
      </c>
      <c r="T150" s="105">
        <v>120.79</v>
      </c>
      <c r="U150" s="105">
        <v>68.52</v>
      </c>
      <c r="V150" s="105">
        <v>53.45</v>
      </c>
      <c r="W150" s="105">
        <v>78.680000000000007</v>
      </c>
      <c r="X150" s="105">
        <v>58.99</v>
      </c>
      <c r="Y150" s="105">
        <v>56.128746663999998</v>
      </c>
      <c r="Z150" s="105">
        <v>33.299999999999997</v>
      </c>
      <c r="AA150" s="105">
        <v>59.2</v>
      </c>
      <c r="AB150" s="105">
        <v>3.86</v>
      </c>
      <c r="AC150" s="105">
        <v>101.15</v>
      </c>
      <c r="AD150" s="105">
        <v>105.22</v>
      </c>
      <c r="AE150" s="105">
        <v>39.365000000000002</v>
      </c>
      <c r="AF150" s="105">
        <v>32.06</v>
      </c>
      <c r="AG150" s="105">
        <v>71.8</v>
      </c>
      <c r="AH150" s="105">
        <v>34.65</v>
      </c>
      <c r="AI150" s="105">
        <v>13.942500000000001</v>
      </c>
      <c r="AJ150" s="105">
        <v>20.85</v>
      </c>
      <c r="AK150" s="105">
        <v>18.5</v>
      </c>
      <c r="AL150" s="105">
        <v>67.42</v>
      </c>
      <c r="AM150" s="105">
        <v>144.77000000000001</v>
      </c>
      <c r="AN150" s="105">
        <v>167.01</v>
      </c>
      <c r="AO150" s="105">
        <v>53.01</v>
      </c>
      <c r="AP150" s="105">
        <v>49.905000000000001</v>
      </c>
      <c r="AQ150" s="105">
        <v>105.36</v>
      </c>
      <c r="AR150" s="105">
        <v>34.841175700000001</v>
      </c>
      <c r="AS150" s="105">
        <v>36.61</v>
      </c>
      <c r="AT150" s="105">
        <v>70.03</v>
      </c>
      <c r="AU150" s="105">
        <v>251.5</v>
      </c>
      <c r="AV150" s="105">
        <v>92.7</v>
      </c>
      <c r="AW150" s="105">
        <v>133.85</v>
      </c>
      <c r="AX150" s="105">
        <v>15.23</v>
      </c>
      <c r="AY150" s="105">
        <v>29.315914800000002</v>
      </c>
      <c r="AZ150" s="105">
        <v>59.635972799999998</v>
      </c>
      <c r="BA150" s="105">
        <v>26.851791599999999</v>
      </c>
      <c r="BB150" s="105">
        <v>77.14</v>
      </c>
      <c r="BC150" s="105">
        <v>130.35</v>
      </c>
      <c r="BD150" s="105">
        <v>105.95</v>
      </c>
    </row>
    <row r="151" spans="3:56" x14ac:dyDescent="0.25">
      <c r="C151" s="38">
        <v>43314</v>
      </c>
      <c r="D151" s="105">
        <v>138.91999999999999</v>
      </c>
      <c r="E151" s="105">
        <v>112.75</v>
      </c>
      <c r="F151" s="105">
        <v>78.650000000000006</v>
      </c>
      <c r="G151" s="105">
        <v>47.9</v>
      </c>
      <c r="H151" s="105">
        <v>138.01</v>
      </c>
      <c r="I151" s="105">
        <v>176.37</v>
      </c>
      <c r="J151" s="105">
        <v>51.847499999999997</v>
      </c>
      <c r="K151" s="105">
        <v>1834.33</v>
      </c>
      <c r="L151" s="105">
        <v>344.5</v>
      </c>
      <c r="M151" s="105">
        <v>107.57</v>
      </c>
      <c r="N151" s="105">
        <v>1241.1300000000001</v>
      </c>
      <c r="O151" s="105">
        <v>97.54</v>
      </c>
      <c r="P151" s="105">
        <v>207.94</v>
      </c>
      <c r="Q151" s="105">
        <v>367.92</v>
      </c>
      <c r="R151" s="105">
        <v>46.6</v>
      </c>
      <c r="S151" s="105">
        <v>28.62</v>
      </c>
      <c r="T151" s="105">
        <v>129.13</v>
      </c>
      <c r="U151" s="105">
        <v>68.44</v>
      </c>
      <c r="V151" s="105">
        <v>50.81</v>
      </c>
      <c r="W151" s="105">
        <v>75.92</v>
      </c>
      <c r="X151" s="105">
        <v>56.69</v>
      </c>
      <c r="Y151" s="105">
        <v>46.126057572999997</v>
      </c>
      <c r="Z151" s="105">
        <v>29.35</v>
      </c>
      <c r="AA151" s="105">
        <v>57.15</v>
      </c>
      <c r="AB151" s="105">
        <v>4.0599999999999996</v>
      </c>
      <c r="AC151" s="105">
        <v>100.75</v>
      </c>
      <c r="AD151" s="105">
        <v>100.42</v>
      </c>
      <c r="AE151" s="105">
        <v>39.71</v>
      </c>
      <c r="AF151" s="105">
        <v>30.09</v>
      </c>
      <c r="AG151" s="105">
        <v>69.45</v>
      </c>
      <c r="AH151" s="105">
        <v>33.57</v>
      </c>
      <c r="AI151" s="105">
        <v>12.1625</v>
      </c>
      <c r="AJ151" s="105">
        <v>20.65</v>
      </c>
      <c r="AK151" s="105">
        <v>17.809999999999999</v>
      </c>
      <c r="AL151" s="105">
        <v>66.209999999999994</v>
      </c>
      <c r="AM151" s="105">
        <v>142.96</v>
      </c>
      <c r="AN151" s="105">
        <v>166.45</v>
      </c>
      <c r="AO151" s="105">
        <v>51.98</v>
      </c>
      <c r="AP151" s="105">
        <v>48.73</v>
      </c>
      <c r="AQ151" s="105">
        <v>102.93</v>
      </c>
      <c r="AR151" s="105">
        <v>35.348524099999999</v>
      </c>
      <c r="AS151" s="105">
        <v>36.520000000000003</v>
      </c>
      <c r="AT151" s="105">
        <v>68.040000000000006</v>
      </c>
      <c r="AU151" s="105">
        <v>245.1</v>
      </c>
      <c r="AV151" s="105">
        <v>90.66</v>
      </c>
      <c r="AW151" s="105">
        <v>135.03</v>
      </c>
      <c r="AX151" s="105">
        <v>15.39</v>
      </c>
      <c r="AY151" s="105">
        <v>27.4323552</v>
      </c>
      <c r="AZ151" s="105">
        <v>59.86983936</v>
      </c>
      <c r="BA151" s="105">
        <v>31.716246600000002</v>
      </c>
      <c r="BB151" s="105">
        <v>76.349999999999994</v>
      </c>
      <c r="BC151" s="105">
        <v>121.4</v>
      </c>
      <c r="BD151" s="105">
        <v>109.01</v>
      </c>
    </row>
    <row r="152" spans="3:56" x14ac:dyDescent="0.25">
      <c r="C152" s="38">
        <v>43307</v>
      </c>
      <c r="D152" s="105">
        <v>142.5</v>
      </c>
      <c r="E152" s="105">
        <v>113.51</v>
      </c>
      <c r="F152" s="105">
        <v>78.150000000000006</v>
      </c>
      <c r="G152" s="105">
        <v>48.87</v>
      </c>
      <c r="H152" s="105">
        <v>142.58000000000001</v>
      </c>
      <c r="I152" s="105">
        <v>176.26</v>
      </c>
      <c r="J152" s="105">
        <v>48.552500000000002</v>
      </c>
      <c r="K152" s="105">
        <v>1808</v>
      </c>
      <c r="L152" s="105">
        <v>363.09</v>
      </c>
      <c r="M152" s="105">
        <v>109.62</v>
      </c>
      <c r="N152" s="105">
        <v>1285.5</v>
      </c>
      <c r="O152" s="105">
        <v>99.66</v>
      </c>
      <c r="P152" s="105">
        <v>214.63</v>
      </c>
      <c r="Q152" s="105">
        <v>363.02</v>
      </c>
      <c r="R152" s="105">
        <v>46.88</v>
      </c>
      <c r="S152" s="105">
        <v>28.96</v>
      </c>
      <c r="T152" s="105">
        <v>130.97</v>
      </c>
      <c r="U152" s="105">
        <v>71.3</v>
      </c>
      <c r="V152" s="105">
        <v>52.53</v>
      </c>
      <c r="W152" s="105">
        <v>76.010000000000005</v>
      </c>
      <c r="X152" s="105">
        <v>56.7</v>
      </c>
      <c r="Y152" s="105">
        <v>46.997052498999999</v>
      </c>
      <c r="Z152" s="105">
        <v>30.35</v>
      </c>
      <c r="AA152" s="105">
        <v>58.35</v>
      </c>
      <c r="AB152" s="105">
        <v>4.21</v>
      </c>
      <c r="AC152" s="105">
        <v>101</v>
      </c>
      <c r="AD152" s="105">
        <v>99.22</v>
      </c>
      <c r="AE152" s="105">
        <v>33.229999999999997</v>
      </c>
      <c r="AF152" s="105">
        <v>29.87</v>
      </c>
      <c r="AG152" s="105">
        <v>73.150000000000006</v>
      </c>
      <c r="AH152" s="105">
        <v>34.1</v>
      </c>
      <c r="AI152" s="105">
        <v>12.137499999999999</v>
      </c>
      <c r="AJ152" s="105">
        <v>25.65</v>
      </c>
      <c r="AK152" s="105">
        <v>17.98</v>
      </c>
      <c r="AL152" s="105">
        <v>68.040000000000006</v>
      </c>
      <c r="AM152" s="105">
        <v>146.71</v>
      </c>
      <c r="AN152" s="105">
        <v>171.39</v>
      </c>
      <c r="AO152" s="105">
        <v>51.18</v>
      </c>
      <c r="AP152" s="105">
        <v>48.76</v>
      </c>
      <c r="AQ152" s="105">
        <v>104.04</v>
      </c>
      <c r="AR152" s="105">
        <v>36.890082700000001</v>
      </c>
      <c r="AS152" s="105">
        <v>36.1</v>
      </c>
      <c r="AT152" s="105">
        <v>71.739999999999995</v>
      </c>
      <c r="AU152" s="105">
        <v>251.37</v>
      </c>
      <c r="AV152" s="105">
        <v>89.22</v>
      </c>
      <c r="AW152" s="105">
        <v>112.68</v>
      </c>
      <c r="AX152" s="105">
        <v>16.690000000000001</v>
      </c>
      <c r="AY152" s="105">
        <v>26.949391200000001</v>
      </c>
      <c r="AZ152" s="105">
        <v>59.402106240000002</v>
      </c>
      <c r="BA152" s="105">
        <v>33.029649450000001</v>
      </c>
      <c r="BB152" s="105">
        <v>76</v>
      </c>
      <c r="BC152" s="105">
        <v>118.05</v>
      </c>
      <c r="BD152" s="105">
        <v>110.15</v>
      </c>
    </row>
    <row r="153" spans="3:56" x14ac:dyDescent="0.25">
      <c r="C153" s="38">
        <v>43300</v>
      </c>
      <c r="D153" s="105">
        <v>140.13</v>
      </c>
      <c r="E153" s="105">
        <v>112.13</v>
      </c>
      <c r="F153" s="105">
        <v>76.95</v>
      </c>
      <c r="G153" s="105">
        <v>48.44</v>
      </c>
      <c r="H153" s="105">
        <v>139.41999999999999</v>
      </c>
      <c r="I153" s="105">
        <v>208.09</v>
      </c>
      <c r="J153" s="105">
        <v>47.97</v>
      </c>
      <c r="K153" s="105">
        <v>1812.97</v>
      </c>
      <c r="L153" s="105">
        <v>364.23</v>
      </c>
      <c r="M153" s="105">
        <v>104.4</v>
      </c>
      <c r="N153" s="105">
        <v>1199.0999999999999</v>
      </c>
      <c r="O153" s="105">
        <v>92.23</v>
      </c>
      <c r="P153" s="105">
        <v>215.82</v>
      </c>
      <c r="Q153" s="105">
        <v>370.32</v>
      </c>
      <c r="R153" s="105">
        <v>45.91</v>
      </c>
      <c r="S153" s="105">
        <v>28.31</v>
      </c>
      <c r="T153" s="105">
        <v>133.19999999999999</v>
      </c>
      <c r="U153" s="105">
        <v>74.05</v>
      </c>
      <c r="V153" s="105">
        <v>55.14</v>
      </c>
      <c r="W153" s="105">
        <v>77.98</v>
      </c>
      <c r="X153" s="105">
        <v>53.78</v>
      </c>
      <c r="Y153" s="105">
        <v>48.390644379000001</v>
      </c>
      <c r="Z153" s="105">
        <v>29.35</v>
      </c>
      <c r="AA153" s="105">
        <v>58.4</v>
      </c>
      <c r="AB153" s="105">
        <v>4.28</v>
      </c>
      <c r="AC153" s="105">
        <v>97.9</v>
      </c>
      <c r="AD153" s="105">
        <v>100.62</v>
      </c>
      <c r="AE153" s="105">
        <v>34.204999999999998</v>
      </c>
      <c r="AF153" s="105">
        <v>28.2</v>
      </c>
      <c r="AG153" s="105">
        <v>74.95</v>
      </c>
      <c r="AH153" s="105">
        <v>35.5</v>
      </c>
      <c r="AI153" s="105">
        <v>13.56</v>
      </c>
      <c r="AJ153" s="105">
        <v>26.35</v>
      </c>
      <c r="AK153" s="105">
        <v>19.829999999999998</v>
      </c>
      <c r="AL153" s="105">
        <v>65.83</v>
      </c>
      <c r="AM153" s="105">
        <v>149.24</v>
      </c>
      <c r="AN153" s="105">
        <v>172.86</v>
      </c>
      <c r="AO153" s="105">
        <v>50.75</v>
      </c>
      <c r="AP153" s="105">
        <v>48.844999999999999</v>
      </c>
      <c r="AQ153" s="105">
        <v>106.25</v>
      </c>
      <c r="AR153" s="105">
        <v>36.109546700000003</v>
      </c>
      <c r="AS153" s="105">
        <v>35.64</v>
      </c>
      <c r="AT153" s="105">
        <v>70.88</v>
      </c>
      <c r="AU153" s="105">
        <v>246.98</v>
      </c>
      <c r="AV153" s="105">
        <v>87.49</v>
      </c>
      <c r="AW153" s="105">
        <v>111.56</v>
      </c>
      <c r="AX153" s="105">
        <v>17.03</v>
      </c>
      <c r="AY153" s="105">
        <v>27.963615600000001</v>
      </c>
      <c r="AZ153" s="105">
        <v>58.885650920000003</v>
      </c>
      <c r="BA153" s="105">
        <v>33.029649450000001</v>
      </c>
      <c r="BB153" s="105">
        <v>76.599999999999994</v>
      </c>
      <c r="BC153" s="105">
        <v>143.80000000000001</v>
      </c>
      <c r="BD153" s="105">
        <v>107.14</v>
      </c>
    </row>
    <row r="154" spans="3:56" x14ac:dyDescent="0.25">
      <c r="C154" s="38">
        <v>43293</v>
      </c>
      <c r="D154" s="105">
        <v>139.9</v>
      </c>
      <c r="E154" s="105">
        <v>108.25</v>
      </c>
      <c r="F154" s="105">
        <v>77.37</v>
      </c>
      <c r="G154" s="105">
        <v>48.15</v>
      </c>
      <c r="H154" s="105">
        <v>139.41999999999999</v>
      </c>
      <c r="I154" s="105">
        <v>206.92</v>
      </c>
      <c r="J154" s="105">
        <v>47.7575</v>
      </c>
      <c r="K154" s="105">
        <v>1796.62</v>
      </c>
      <c r="L154" s="105">
        <v>413.5</v>
      </c>
      <c r="M154" s="105">
        <v>104.19</v>
      </c>
      <c r="N154" s="105">
        <v>1201.26</v>
      </c>
      <c r="O154" s="105">
        <v>93.66</v>
      </c>
      <c r="P154" s="105">
        <v>217.52</v>
      </c>
      <c r="Q154" s="105">
        <v>362.82</v>
      </c>
      <c r="R154" s="105">
        <v>46.34</v>
      </c>
      <c r="S154" s="105">
        <v>28.65</v>
      </c>
      <c r="T154" s="105">
        <v>130.77000000000001</v>
      </c>
      <c r="U154" s="105">
        <v>73.180000000000007</v>
      </c>
      <c r="V154" s="105">
        <v>53.78</v>
      </c>
      <c r="W154" s="105">
        <v>74.69</v>
      </c>
      <c r="X154" s="105">
        <v>52.77</v>
      </c>
      <c r="Y154" s="105">
        <v>48.308129071000003</v>
      </c>
      <c r="Z154" s="105">
        <v>28.35</v>
      </c>
      <c r="AA154" s="105">
        <v>58.9</v>
      </c>
      <c r="AB154" s="105">
        <v>4.4000000000000004</v>
      </c>
      <c r="AC154" s="105">
        <v>93.65</v>
      </c>
      <c r="AD154" s="105">
        <v>101.65</v>
      </c>
      <c r="AE154" s="105">
        <v>32.770000000000003</v>
      </c>
      <c r="AF154" s="105">
        <v>28.25</v>
      </c>
      <c r="AG154" s="105">
        <v>74.45</v>
      </c>
      <c r="AH154" s="105">
        <v>34.53</v>
      </c>
      <c r="AI154" s="105">
        <v>12.385</v>
      </c>
      <c r="AJ154" s="105">
        <v>26.1</v>
      </c>
      <c r="AK154" s="105">
        <v>19.149999999999999</v>
      </c>
      <c r="AL154" s="105">
        <v>65.67</v>
      </c>
      <c r="AM154" s="105">
        <v>146.44999999999999</v>
      </c>
      <c r="AN154" s="105">
        <v>174.33</v>
      </c>
      <c r="AO154" s="105">
        <v>51.24</v>
      </c>
      <c r="AP154" s="105">
        <v>47.125</v>
      </c>
      <c r="AQ154" s="105">
        <v>105.94</v>
      </c>
      <c r="AR154" s="105">
        <v>36.226627100000002</v>
      </c>
      <c r="AS154" s="105">
        <v>36.22</v>
      </c>
      <c r="AT154" s="105">
        <v>69.84</v>
      </c>
      <c r="AU154" s="105">
        <v>246.74</v>
      </c>
      <c r="AV154" s="105">
        <v>85.74</v>
      </c>
      <c r="AW154" s="105">
        <v>110.51</v>
      </c>
      <c r="AX154" s="105">
        <v>17.350000000000001</v>
      </c>
      <c r="AY154" s="105">
        <v>27.722133599999999</v>
      </c>
      <c r="AZ154" s="105">
        <v>58.515362199999998</v>
      </c>
      <c r="BA154" s="105">
        <v>34.440341400000001</v>
      </c>
      <c r="BB154" s="105">
        <v>75.63</v>
      </c>
      <c r="BC154" s="105">
        <v>139.05000000000001</v>
      </c>
      <c r="BD154" s="105">
        <v>107.47</v>
      </c>
    </row>
    <row r="155" spans="3:56" x14ac:dyDescent="0.25">
      <c r="C155" s="38">
        <v>43286</v>
      </c>
      <c r="D155" s="105">
        <v>133.29</v>
      </c>
      <c r="E155" s="105">
        <v>105.34</v>
      </c>
      <c r="F155" s="105">
        <v>76.55</v>
      </c>
      <c r="G155" s="105">
        <v>45.41</v>
      </c>
      <c r="H155" s="105">
        <v>135.81</v>
      </c>
      <c r="I155" s="105">
        <v>198.45</v>
      </c>
      <c r="J155" s="105">
        <v>46.35</v>
      </c>
      <c r="K155" s="105">
        <v>1699.73</v>
      </c>
      <c r="L155" s="105">
        <v>398.39</v>
      </c>
      <c r="M155" s="105">
        <v>99.76</v>
      </c>
      <c r="N155" s="105">
        <v>1141.29</v>
      </c>
      <c r="O155" s="105">
        <v>95.16</v>
      </c>
      <c r="P155" s="105">
        <v>215.74</v>
      </c>
      <c r="Q155" s="105">
        <v>341.38</v>
      </c>
      <c r="R155" s="105">
        <v>46.59</v>
      </c>
      <c r="S155" s="105">
        <v>29.46</v>
      </c>
      <c r="T155" s="105">
        <v>126.49</v>
      </c>
      <c r="U155" s="105">
        <v>72.22</v>
      </c>
      <c r="V155" s="105">
        <v>53.12</v>
      </c>
      <c r="W155" s="105">
        <v>73.739999999999995</v>
      </c>
      <c r="X155" s="105">
        <v>51.86</v>
      </c>
      <c r="Y155" s="105">
        <v>48.986588275999999</v>
      </c>
      <c r="Z155" s="105">
        <v>29.5</v>
      </c>
      <c r="AA155" s="105">
        <v>56</v>
      </c>
      <c r="AB155" s="105">
        <v>4.13</v>
      </c>
      <c r="AC155" s="105">
        <v>87.7</v>
      </c>
      <c r="AD155" s="105">
        <v>100.28</v>
      </c>
      <c r="AE155" s="105">
        <v>32.935000000000002</v>
      </c>
      <c r="AF155" s="105">
        <v>27.8</v>
      </c>
      <c r="AG155" s="105">
        <v>72.849999999999994</v>
      </c>
      <c r="AH155" s="105">
        <v>34.83</v>
      </c>
      <c r="AI155" s="105">
        <v>12.654999999999999</v>
      </c>
      <c r="AJ155" s="105">
        <v>26.25</v>
      </c>
      <c r="AK155" s="105">
        <v>19.28</v>
      </c>
      <c r="AL155" s="105">
        <v>65.28</v>
      </c>
      <c r="AM155" s="105">
        <v>141.43</v>
      </c>
      <c r="AN155" s="105">
        <v>171.33</v>
      </c>
      <c r="AO155" s="105">
        <v>51.28</v>
      </c>
      <c r="AP155" s="105">
        <v>47.534999999999997</v>
      </c>
      <c r="AQ155" s="105">
        <v>98.98</v>
      </c>
      <c r="AR155" s="105">
        <v>37.494998099999997</v>
      </c>
      <c r="AS155" s="105">
        <v>36.28</v>
      </c>
      <c r="AT155" s="105">
        <v>69.36</v>
      </c>
      <c r="AU155" s="105">
        <v>242.18</v>
      </c>
      <c r="AV155" s="105">
        <v>83.99</v>
      </c>
      <c r="AW155" s="105">
        <v>101.37</v>
      </c>
      <c r="AX155" s="105">
        <v>15.7</v>
      </c>
      <c r="AY155" s="105">
        <v>28.3499868</v>
      </c>
      <c r="AZ155" s="105">
        <v>59.070795279999999</v>
      </c>
      <c r="BA155" s="105">
        <v>34.829497799999999</v>
      </c>
      <c r="BB155" s="105">
        <v>77.349999999999994</v>
      </c>
      <c r="BC155" s="105">
        <v>142.15</v>
      </c>
      <c r="BD155" s="105">
        <v>105.04</v>
      </c>
    </row>
    <row r="156" spans="3:56" x14ac:dyDescent="0.25">
      <c r="C156" s="38">
        <v>43279</v>
      </c>
      <c r="D156" s="105">
        <v>132.74</v>
      </c>
      <c r="E156" s="105">
        <v>104.77</v>
      </c>
      <c r="F156" s="105">
        <v>71.7</v>
      </c>
      <c r="G156" s="105">
        <v>43.84</v>
      </c>
      <c r="H156" s="105">
        <v>136.03</v>
      </c>
      <c r="I156" s="105">
        <v>196.23</v>
      </c>
      <c r="J156" s="105">
        <v>46.375</v>
      </c>
      <c r="K156" s="105">
        <v>1701.45</v>
      </c>
      <c r="L156" s="105">
        <v>395.42</v>
      </c>
      <c r="M156" s="105">
        <v>98.63</v>
      </c>
      <c r="N156" s="105">
        <v>1126.78</v>
      </c>
      <c r="O156" s="105">
        <v>94.18</v>
      </c>
      <c r="P156" s="105">
        <v>232.33</v>
      </c>
      <c r="Q156" s="105">
        <v>343.8</v>
      </c>
      <c r="R156" s="105">
        <v>45.66</v>
      </c>
      <c r="S156" s="105">
        <v>28.62</v>
      </c>
      <c r="T156" s="105">
        <v>125.26</v>
      </c>
      <c r="U156" s="105">
        <v>75.62</v>
      </c>
      <c r="V156" s="105">
        <v>52.04</v>
      </c>
      <c r="W156" s="105">
        <v>74.989999999999995</v>
      </c>
      <c r="X156" s="105">
        <v>50.7</v>
      </c>
      <c r="Y156" s="105">
        <v>48.216445393999997</v>
      </c>
      <c r="Z156" s="105">
        <v>26.6</v>
      </c>
      <c r="AA156" s="105">
        <v>54.8</v>
      </c>
      <c r="AB156" s="105">
        <v>4.04</v>
      </c>
      <c r="AC156" s="105">
        <v>83</v>
      </c>
      <c r="AD156" s="105">
        <v>99.75</v>
      </c>
      <c r="AE156" s="105">
        <v>31.465</v>
      </c>
      <c r="AF156" s="105">
        <v>28.31</v>
      </c>
      <c r="AG156" s="105">
        <v>72.95</v>
      </c>
      <c r="AH156" s="105">
        <v>36.78</v>
      </c>
      <c r="AI156" s="105">
        <v>12.2475</v>
      </c>
      <c r="AJ156" s="105">
        <v>26.55</v>
      </c>
      <c r="AK156" s="105">
        <v>18.86</v>
      </c>
      <c r="AL156" s="105">
        <v>63.48</v>
      </c>
      <c r="AM156" s="105">
        <v>140.04</v>
      </c>
      <c r="AN156" s="105">
        <v>168.97</v>
      </c>
      <c r="AO156" s="105">
        <v>50.86</v>
      </c>
      <c r="AP156" s="105">
        <v>47.664999999999999</v>
      </c>
      <c r="AQ156" s="105">
        <v>98.19</v>
      </c>
      <c r="AR156" s="105">
        <v>36.099789999999999</v>
      </c>
      <c r="AS156" s="105">
        <v>36.33</v>
      </c>
      <c r="AT156" s="105">
        <v>68.349999999999994</v>
      </c>
      <c r="AU156" s="105">
        <v>239.7</v>
      </c>
      <c r="AV156" s="105">
        <v>85.01</v>
      </c>
      <c r="AW156" s="105">
        <v>100.03</v>
      </c>
      <c r="AX156" s="105">
        <v>15.5</v>
      </c>
      <c r="AY156" s="105">
        <v>27.384058799999998</v>
      </c>
      <c r="AZ156" s="105">
        <v>58.944117560000002</v>
      </c>
      <c r="BA156" s="105">
        <v>34.051184999999997</v>
      </c>
      <c r="BB156" s="105">
        <v>74.790000000000006</v>
      </c>
      <c r="BC156" s="105">
        <v>138.85</v>
      </c>
      <c r="BD156" s="105">
        <v>104.93</v>
      </c>
    </row>
    <row r="157" spans="3:56" x14ac:dyDescent="0.25">
      <c r="C157" s="38">
        <v>43272</v>
      </c>
      <c r="D157" s="105">
        <v>134.53</v>
      </c>
      <c r="E157" s="105">
        <v>105.89</v>
      </c>
      <c r="F157" s="105">
        <v>73.94</v>
      </c>
      <c r="G157" s="105">
        <v>43.1</v>
      </c>
      <c r="H157" s="105">
        <v>139.53</v>
      </c>
      <c r="I157" s="105">
        <v>201.5</v>
      </c>
      <c r="J157" s="105">
        <v>46.365000000000002</v>
      </c>
      <c r="K157" s="105">
        <v>1730.22</v>
      </c>
      <c r="L157" s="105">
        <v>415.44</v>
      </c>
      <c r="M157" s="105">
        <v>101.14</v>
      </c>
      <c r="N157" s="105">
        <v>1169.44</v>
      </c>
      <c r="O157" s="105">
        <v>91.91</v>
      </c>
      <c r="P157" s="105">
        <v>231.36</v>
      </c>
      <c r="Q157" s="105">
        <v>359.6</v>
      </c>
      <c r="R157" s="105">
        <v>43.85</v>
      </c>
      <c r="S157" s="105">
        <v>27.84</v>
      </c>
      <c r="T157" s="105">
        <v>133.72999999999999</v>
      </c>
      <c r="U157" s="105">
        <v>79.400000000000006</v>
      </c>
      <c r="V157" s="105">
        <v>51.68</v>
      </c>
      <c r="W157" s="105">
        <v>77.23</v>
      </c>
      <c r="X157" s="105">
        <v>53.15</v>
      </c>
      <c r="Y157" s="105">
        <v>46.822853514000002</v>
      </c>
      <c r="Z157" s="105">
        <v>24.6</v>
      </c>
      <c r="AA157" s="105">
        <v>58.1</v>
      </c>
      <c r="AB157" s="105">
        <v>4.17</v>
      </c>
      <c r="AC157" s="105">
        <v>86.75</v>
      </c>
      <c r="AD157" s="105">
        <v>112.14</v>
      </c>
      <c r="AE157" s="105">
        <v>32.604999999999997</v>
      </c>
      <c r="AF157" s="105">
        <v>28.38</v>
      </c>
      <c r="AG157" s="105">
        <v>76.900000000000006</v>
      </c>
      <c r="AH157" s="105">
        <v>36.729999999999997</v>
      </c>
      <c r="AI157" s="105">
        <v>13.154999999999999</v>
      </c>
      <c r="AJ157" s="105">
        <v>29.75</v>
      </c>
      <c r="AK157" s="105">
        <v>19.27</v>
      </c>
      <c r="AL157" s="105">
        <v>60.67</v>
      </c>
      <c r="AM157" s="105">
        <v>141.25</v>
      </c>
      <c r="AN157" s="105">
        <v>169.81</v>
      </c>
      <c r="AO157" s="105">
        <v>48.63</v>
      </c>
      <c r="AP157" s="105">
        <v>48.145000000000003</v>
      </c>
      <c r="AQ157" s="105">
        <v>113.17</v>
      </c>
      <c r="AR157" s="105">
        <v>36.1193034</v>
      </c>
      <c r="AS157" s="105">
        <v>38.630000000000003</v>
      </c>
      <c r="AT157" s="105">
        <v>68.08</v>
      </c>
      <c r="AU157" s="105">
        <v>233.24</v>
      </c>
      <c r="AV157" s="105">
        <v>86.22</v>
      </c>
      <c r="AW157" s="105">
        <v>109.83</v>
      </c>
      <c r="AX157" s="105">
        <v>16.559999999999999</v>
      </c>
      <c r="AY157" s="105">
        <v>27.3357624</v>
      </c>
      <c r="AZ157" s="105">
        <v>58.944117560000002</v>
      </c>
      <c r="BA157" s="105">
        <v>36.094256100000003</v>
      </c>
      <c r="BB157" s="105">
        <v>74.39</v>
      </c>
      <c r="BC157" s="105">
        <v>146.15</v>
      </c>
      <c r="BD157" s="105">
        <v>102.2</v>
      </c>
    </row>
    <row r="158" spans="3:56" x14ac:dyDescent="0.25">
      <c r="C158" s="38">
        <v>43265</v>
      </c>
      <c r="D158" s="105">
        <v>135</v>
      </c>
      <c r="E158" s="105">
        <v>108.75</v>
      </c>
      <c r="F158" s="105">
        <v>74.7</v>
      </c>
      <c r="G158" s="105">
        <v>45.9</v>
      </c>
      <c r="H158" s="105">
        <v>153.13999999999999</v>
      </c>
      <c r="I158" s="105">
        <v>196.81</v>
      </c>
      <c r="J158" s="105">
        <v>47.7</v>
      </c>
      <c r="K158" s="105">
        <v>1723.86</v>
      </c>
      <c r="L158" s="105">
        <v>392.87</v>
      </c>
      <c r="M158" s="105">
        <v>101.42</v>
      </c>
      <c r="N158" s="105">
        <v>1160.1099999999999</v>
      </c>
      <c r="O158" s="105">
        <v>92.14</v>
      </c>
      <c r="P158" s="105">
        <v>232.18</v>
      </c>
      <c r="Q158" s="105">
        <v>366.27</v>
      </c>
      <c r="R158" s="105">
        <v>42.87</v>
      </c>
      <c r="S158" s="105">
        <v>27.07</v>
      </c>
      <c r="T158" s="105">
        <v>138.75</v>
      </c>
      <c r="U158" s="105">
        <v>80.599999999999994</v>
      </c>
      <c r="V158" s="105">
        <v>53.07</v>
      </c>
      <c r="W158" s="105">
        <v>73.319999999999993</v>
      </c>
      <c r="X158" s="105">
        <v>51.94</v>
      </c>
      <c r="Y158" s="105">
        <v>48.500664790999998</v>
      </c>
      <c r="Z158" s="105">
        <v>24.35</v>
      </c>
      <c r="AA158" s="105">
        <v>62.2</v>
      </c>
      <c r="AB158" s="105">
        <v>4.37</v>
      </c>
      <c r="AC158" s="105">
        <v>98.6</v>
      </c>
      <c r="AD158" s="105">
        <v>111.66</v>
      </c>
      <c r="AE158" s="105">
        <v>30.862500000000001</v>
      </c>
      <c r="AF158" s="105">
        <v>29.48</v>
      </c>
      <c r="AG158" s="105">
        <v>75.650000000000006</v>
      </c>
      <c r="AH158" s="105">
        <v>37.4</v>
      </c>
      <c r="AI158" s="105">
        <v>12.55</v>
      </c>
      <c r="AJ158" s="105">
        <v>30.3</v>
      </c>
      <c r="AK158" s="105">
        <v>19.04</v>
      </c>
      <c r="AL158" s="105">
        <v>60.2</v>
      </c>
      <c r="AM158" s="105">
        <v>145.19999999999999</v>
      </c>
      <c r="AN158" s="105">
        <v>168.75</v>
      </c>
      <c r="AO158" s="105">
        <v>47.82</v>
      </c>
      <c r="AP158" s="105">
        <v>47.28</v>
      </c>
      <c r="AQ158" s="105">
        <v>119.5</v>
      </c>
      <c r="AR158" s="105">
        <v>38.207237200000002</v>
      </c>
      <c r="AS158" s="105">
        <v>39.51</v>
      </c>
      <c r="AT158" s="105">
        <v>66.48</v>
      </c>
      <c r="AU158" s="105">
        <v>232.82</v>
      </c>
      <c r="AV158" s="105">
        <v>88.34</v>
      </c>
      <c r="AW158" s="105">
        <v>113.67</v>
      </c>
      <c r="AX158" s="105">
        <v>17.3</v>
      </c>
      <c r="AY158" s="105">
        <v>28.0602084</v>
      </c>
      <c r="AZ158" s="105">
        <v>60.113450360000002</v>
      </c>
      <c r="BA158" s="105">
        <v>35.559166050000002</v>
      </c>
      <c r="BB158" s="105">
        <v>70.37</v>
      </c>
      <c r="BC158" s="105">
        <v>149.55000000000001</v>
      </c>
      <c r="BD158" s="105">
        <v>95.76</v>
      </c>
    </row>
    <row r="159" spans="3:56" x14ac:dyDescent="0.25">
      <c r="C159" s="38">
        <v>43258</v>
      </c>
      <c r="D159" s="105">
        <v>133.84</v>
      </c>
      <c r="E159" s="105">
        <v>102.47</v>
      </c>
      <c r="F159" s="105">
        <v>74.760000000000005</v>
      </c>
      <c r="G159" s="105">
        <v>47.68</v>
      </c>
      <c r="H159" s="105">
        <v>156.29</v>
      </c>
      <c r="I159" s="105">
        <v>188.18</v>
      </c>
      <c r="J159" s="105">
        <v>48.365000000000002</v>
      </c>
      <c r="K159" s="105">
        <v>1689.3</v>
      </c>
      <c r="L159" s="105">
        <v>361.4</v>
      </c>
      <c r="M159" s="105">
        <v>100.88</v>
      </c>
      <c r="N159" s="105">
        <v>1134.42</v>
      </c>
      <c r="O159" s="105">
        <v>91.08</v>
      </c>
      <c r="P159" s="105">
        <v>223.53</v>
      </c>
      <c r="Q159" s="105">
        <v>339.32</v>
      </c>
      <c r="R159" s="105">
        <v>42.72</v>
      </c>
      <c r="S159" s="105">
        <v>25.61</v>
      </c>
      <c r="T159" s="105">
        <v>139.44</v>
      </c>
      <c r="U159" s="105">
        <v>77.680000000000007</v>
      </c>
      <c r="V159" s="105">
        <v>52.44</v>
      </c>
      <c r="W159" s="105">
        <v>71.66</v>
      </c>
      <c r="X159" s="105">
        <v>50.64</v>
      </c>
      <c r="Y159" s="105">
        <v>48.647358672999999</v>
      </c>
      <c r="Z159" s="105">
        <v>23.6</v>
      </c>
      <c r="AA159" s="105">
        <v>63.65</v>
      </c>
      <c r="AB159" s="105">
        <v>4.4400000000000004</v>
      </c>
      <c r="AC159" s="105">
        <v>98.25</v>
      </c>
      <c r="AD159" s="105">
        <v>109.67</v>
      </c>
      <c r="AE159" s="105">
        <v>31.802499999999998</v>
      </c>
      <c r="AF159" s="105">
        <v>29.3</v>
      </c>
      <c r="AG159" s="105">
        <v>73.75</v>
      </c>
      <c r="AH159" s="105">
        <v>37.39</v>
      </c>
      <c r="AI159" s="105">
        <v>12.49</v>
      </c>
      <c r="AJ159" s="105">
        <v>31</v>
      </c>
      <c r="AK159" s="105">
        <v>18.77</v>
      </c>
      <c r="AL159" s="105">
        <v>59.72</v>
      </c>
      <c r="AM159" s="105">
        <v>145.36000000000001</v>
      </c>
      <c r="AN159" s="105">
        <v>178.15</v>
      </c>
      <c r="AO159" s="105">
        <v>49.01</v>
      </c>
      <c r="AP159" s="105">
        <v>47.25</v>
      </c>
      <c r="AQ159" s="105">
        <v>114.65</v>
      </c>
      <c r="AR159" s="105">
        <v>37.641348600000001</v>
      </c>
      <c r="AS159" s="105">
        <v>41.01</v>
      </c>
      <c r="AT159" s="105">
        <v>65.760000000000005</v>
      </c>
      <c r="AU159" s="105">
        <v>229.79</v>
      </c>
      <c r="AV159" s="105">
        <v>81.96</v>
      </c>
      <c r="AW159" s="105">
        <v>103.04</v>
      </c>
      <c r="AX159" s="105">
        <v>17.03</v>
      </c>
      <c r="AY159" s="105">
        <v>28.253394</v>
      </c>
      <c r="AZ159" s="105">
        <v>62.286460480000002</v>
      </c>
      <c r="BA159" s="105">
        <v>35.267298750000002</v>
      </c>
      <c r="BB159" s="105">
        <v>71.17</v>
      </c>
      <c r="BC159" s="105">
        <v>150</v>
      </c>
      <c r="BD159" s="105">
        <v>97.5</v>
      </c>
    </row>
    <row r="160" spans="3:56" x14ac:dyDescent="0.25">
      <c r="C160" s="38">
        <v>43251</v>
      </c>
      <c r="D160" s="105">
        <v>130.72</v>
      </c>
      <c r="E160" s="105">
        <v>99.47</v>
      </c>
      <c r="F160" s="105">
        <v>71.8</v>
      </c>
      <c r="G160" s="105">
        <v>46.72</v>
      </c>
      <c r="H160" s="105">
        <v>151.91</v>
      </c>
      <c r="I160" s="105">
        <v>191.78</v>
      </c>
      <c r="J160" s="105">
        <v>46.717500000000001</v>
      </c>
      <c r="K160" s="105">
        <v>1629.62</v>
      </c>
      <c r="L160" s="105">
        <v>351.6</v>
      </c>
      <c r="M160" s="105">
        <v>98.84</v>
      </c>
      <c r="N160" s="105">
        <v>1100</v>
      </c>
      <c r="O160" s="105">
        <v>90.04</v>
      </c>
      <c r="P160" s="105">
        <v>223.08</v>
      </c>
      <c r="Q160" s="105">
        <v>331.95</v>
      </c>
      <c r="R160" s="105">
        <v>45.52</v>
      </c>
      <c r="S160" s="105">
        <v>27.32</v>
      </c>
      <c r="T160" s="105">
        <v>135.36000000000001</v>
      </c>
      <c r="U160" s="105">
        <v>80.61</v>
      </c>
      <c r="V160" s="105">
        <v>51.74</v>
      </c>
      <c r="W160" s="105">
        <v>68.25</v>
      </c>
      <c r="X160" s="105">
        <v>51.08</v>
      </c>
      <c r="Y160" s="105">
        <v>46.401108602999997</v>
      </c>
      <c r="Z160" s="105">
        <v>22.8</v>
      </c>
      <c r="AA160" s="105">
        <v>61.85</v>
      </c>
      <c r="AB160" s="105">
        <v>4.4000000000000004</v>
      </c>
      <c r="AC160" s="105">
        <v>99</v>
      </c>
      <c r="AD160" s="105">
        <v>105.25</v>
      </c>
      <c r="AE160" s="105">
        <v>29.4575</v>
      </c>
      <c r="AF160" s="105">
        <v>27.49</v>
      </c>
      <c r="AG160" s="105">
        <v>70.7</v>
      </c>
      <c r="AH160" s="105">
        <v>36.6</v>
      </c>
      <c r="AI160" s="105">
        <v>11.532500000000001</v>
      </c>
      <c r="AJ160" s="105">
        <v>31.05</v>
      </c>
      <c r="AK160" s="105">
        <v>18.89</v>
      </c>
      <c r="AL160" s="105">
        <v>62.16</v>
      </c>
      <c r="AM160" s="105">
        <v>141.31</v>
      </c>
      <c r="AN160" s="105">
        <v>174.02</v>
      </c>
      <c r="AO160" s="105">
        <v>47.67</v>
      </c>
      <c r="AP160" s="105">
        <v>45.16</v>
      </c>
      <c r="AQ160" s="105">
        <v>110.81</v>
      </c>
      <c r="AR160" s="105">
        <v>37.982833100000001</v>
      </c>
      <c r="AS160" s="105">
        <v>38.46</v>
      </c>
      <c r="AT160" s="105">
        <v>65.03</v>
      </c>
      <c r="AU160" s="105">
        <v>221.59</v>
      </c>
      <c r="AV160" s="105">
        <v>82.59</v>
      </c>
      <c r="AW160" s="105">
        <v>105.47</v>
      </c>
      <c r="AX160" s="105">
        <v>16.690000000000001</v>
      </c>
      <c r="AY160" s="105">
        <v>28.011911999999999</v>
      </c>
      <c r="AZ160" s="105">
        <v>61.974638400000003</v>
      </c>
      <c r="BA160" s="105">
        <v>34.343052299999997</v>
      </c>
      <c r="BB160" s="105">
        <v>75.05</v>
      </c>
      <c r="BC160" s="105">
        <v>151.35</v>
      </c>
      <c r="BD160" s="105">
        <v>93.35</v>
      </c>
    </row>
    <row r="161" spans="3:56" x14ac:dyDescent="0.25">
      <c r="C161" s="38">
        <v>43244</v>
      </c>
      <c r="D161" s="105">
        <v>131.88999999999999</v>
      </c>
      <c r="E161" s="105">
        <v>102.11</v>
      </c>
      <c r="F161" s="105">
        <v>72.180000000000007</v>
      </c>
      <c r="G161" s="105">
        <v>46.46</v>
      </c>
      <c r="H161" s="105">
        <v>157.69999999999999</v>
      </c>
      <c r="I161" s="105">
        <v>185.93</v>
      </c>
      <c r="J161" s="105">
        <v>47.037500000000001</v>
      </c>
      <c r="K161" s="105">
        <v>1603.07</v>
      </c>
      <c r="L161" s="105">
        <v>349.29</v>
      </c>
      <c r="M161" s="105">
        <v>98.31</v>
      </c>
      <c r="N161" s="105">
        <v>1085.45</v>
      </c>
      <c r="O161" s="105">
        <v>91.67</v>
      </c>
      <c r="P161" s="105">
        <v>216.96</v>
      </c>
      <c r="Q161" s="105">
        <v>317.04000000000002</v>
      </c>
      <c r="R161" s="105">
        <v>44.84</v>
      </c>
      <c r="S161" s="105">
        <v>27.5</v>
      </c>
      <c r="T161" s="105">
        <v>137.87</v>
      </c>
      <c r="U161" s="105">
        <v>79.31</v>
      </c>
      <c r="V161" s="105">
        <v>51.46</v>
      </c>
      <c r="W161" s="105">
        <v>70.900000000000006</v>
      </c>
      <c r="X161" s="105">
        <v>51.21</v>
      </c>
      <c r="Y161" s="105">
        <v>47.73052191</v>
      </c>
      <c r="Z161" s="105">
        <v>21.7</v>
      </c>
      <c r="AA161" s="105">
        <v>61.5</v>
      </c>
      <c r="AB161" s="105">
        <v>4.1399999999999997</v>
      </c>
      <c r="AC161" s="105">
        <v>97.9</v>
      </c>
      <c r="AD161" s="105">
        <v>109.45</v>
      </c>
      <c r="AE161" s="105">
        <v>28.934999999999999</v>
      </c>
      <c r="AF161" s="105">
        <v>27.86</v>
      </c>
      <c r="AG161" s="105">
        <v>70</v>
      </c>
      <c r="AH161" s="105">
        <v>30.9</v>
      </c>
      <c r="AI161" s="105">
        <v>12.1325</v>
      </c>
      <c r="AJ161" s="105">
        <v>29.7</v>
      </c>
      <c r="AK161" s="105">
        <v>19.04</v>
      </c>
      <c r="AL161" s="105">
        <v>62.62</v>
      </c>
      <c r="AM161" s="105">
        <v>144.07</v>
      </c>
      <c r="AN161" s="105">
        <v>175.04</v>
      </c>
      <c r="AO161" s="105">
        <v>48.64</v>
      </c>
      <c r="AP161" s="105">
        <v>44.37</v>
      </c>
      <c r="AQ161" s="105">
        <v>116.31</v>
      </c>
      <c r="AR161" s="105">
        <v>38.997529900000004</v>
      </c>
      <c r="AS161" s="105">
        <v>39.33</v>
      </c>
      <c r="AT161" s="105">
        <v>64.59</v>
      </c>
      <c r="AU161" s="105">
        <v>225.6</v>
      </c>
      <c r="AV161" s="105">
        <v>94.65</v>
      </c>
      <c r="AW161" s="105">
        <v>103.05</v>
      </c>
      <c r="AX161" s="105">
        <v>16.829999999999998</v>
      </c>
      <c r="AY161" s="105">
        <v>24.872646</v>
      </c>
      <c r="AZ161" s="105">
        <v>65.239025799999993</v>
      </c>
      <c r="BA161" s="105">
        <v>34.829497799999999</v>
      </c>
      <c r="BB161" s="105">
        <v>73.010000000000005</v>
      </c>
      <c r="BC161" s="105">
        <v>151.80000000000001</v>
      </c>
      <c r="BD161" s="105">
        <v>97.14</v>
      </c>
    </row>
    <row r="162" spans="3:56" x14ac:dyDescent="0.25">
      <c r="C162" s="38">
        <v>43237</v>
      </c>
      <c r="D162" s="105">
        <v>129.93</v>
      </c>
      <c r="E162" s="105">
        <v>104.34</v>
      </c>
      <c r="F162" s="105">
        <v>70.94</v>
      </c>
      <c r="G162" s="105">
        <v>46.54</v>
      </c>
      <c r="H162" s="105">
        <v>153.69</v>
      </c>
      <c r="I162" s="105">
        <v>183.76</v>
      </c>
      <c r="J162" s="105">
        <v>46.747500000000002</v>
      </c>
      <c r="K162" s="105">
        <v>1581.76</v>
      </c>
      <c r="L162" s="105">
        <v>325.22000000000003</v>
      </c>
      <c r="M162" s="105">
        <v>96.18</v>
      </c>
      <c r="N162" s="105">
        <v>1081.26</v>
      </c>
      <c r="O162" s="105">
        <v>92.6</v>
      </c>
      <c r="P162" s="105">
        <v>222.15</v>
      </c>
      <c r="Q162" s="105">
        <v>292.72000000000003</v>
      </c>
      <c r="R162" s="105">
        <v>43.83</v>
      </c>
      <c r="S162" s="105">
        <v>26.74</v>
      </c>
      <c r="T162" s="105">
        <v>138.29</v>
      </c>
      <c r="U162" s="105">
        <v>78.06</v>
      </c>
      <c r="V162" s="105">
        <v>51.3</v>
      </c>
      <c r="W162" s="105">
        <v>78.78</v>
      </c>
      <c r="X162" s="105">
        <v>52.47</v>
      </c>
      <c r="Y162" s="105">
        <v>47.473807616000002</v>
      </c>
      <c r="Z162" s="105">
        <v>21.75</v>
      </c>
      <c r="AA162" s="105">
        <v>61.25</v>
      </c>
      <c r="AB162" s="105">
        <v>4.08</v>
      </c>
      <c r="AC162" s="105">
        <v>99.9</v>
      </c>
      <c r="AD162" s="105">
        <v>106.36</v>
      </c>
      <c r="AE162" s="105">
        <v>28.572500000000002</v>
      </c>
      <c r="AF162" s="105">
        <v>28.02</v>
      </c>
      <c r="AG162" s="105">
        <v>69.650000000000006</v>
      </c>
      <c r="AH162" s="105">
        <v>32.07</v>
      </c>
      <c r="AI162" s="105">
        <v>12.6</v>
      </c>
      <c r="AJ162" s="105">
        <v>30.25</v>
      </c>
      <c r="AK162" s="105">
        <v>19.32</v>
      </c>
      <c r="AL162" s="105">
        <v>61.22</v>
      </c>
      <c r="AM162" s="105">
        <v>144.5</v>
      </c>
      <c r="AN162" s="105">
        <v>171.26</v>
      </c>
      <c r="AO162" s="105">
        <v>47.85</v>
      </c>
      <c r="AP162" s="105">
        <v>43.134999999999998</v>
      </c>
      <c r="AQ162" s="105">
        <v>114.86</v>
      </c>
      <c r="AR162" s="105">
        <v>38.402371199999997</v>
      </c>
      <c r="AS162" s="105">
        <v>40.08</v>
      </c>
      <c r="AT162" s="105">
        <v>63.86</v>
      </c>
      <c r="AU162" s="105">
        <v>224.22</v>
      </c>
      <c r="AV162" s="105">
        <v>94.29</v>
      </c>
      <c r="AW162" s="105">
        <v>101.69</v>
      </c>
      <c r="AX162" s="105">
        <v>17.600000000000001</v>
      </c>
      <c r="AY162" s="105">
        <v>25.017535200000001</v>
      </c>
      <c r="AZ162" s="105">
        <v>64.732314919999993</v>
      </c>
      <c r="BA162" s="105">
        <v>32.689137600000002</v>
      </c>
      <c r="BB162" s="105">
        <v>70.61</v>
      </c>
      <c r="BC162" s="105">
        <v>160.75</v>
      </c>
      <c r="BD162" s="105">
        <v>94.29</v>
      </c>
    </row>
    <row r="163" spans="3:56" x14ac:dyDescent="0.25">
      <c r="C163" s="38">
        <v>43230</v>
      </c>
      <c r="D163" s="105">
        <v>131</v>
      </c>
      <c r="E163" s="105">
        <v>101.68</v>
      </c>
      <c r="F163" s="105">
        <v>67.92</v>
      </c>
      <c r="G163" s="105">
        <v>46.93</v>
      </c>
      <c r="H163" s="105">
        <v>153.97</v>
      </c>
      <c r="I163" s="105">
        <v>185.53</v>
      </c>
      <c r="J163" s="105">
        <v>47.51</v>
      </c>
      <c r="K163" s="105">
        <v>1609.08</v>
      </c>
      <c r="L163" s="105">
        <v>329.6</v>
      </c>
      <c r="M163" s="105">
        <v>97.91</v>
      </c>
      <c r="N163" s="105">
        <v>1105.47</v>
      </c>
      <c r="O163" s="105">
        <v>92.89</v>
      </c>
      <c r="P163" s="105">
        <v>220.39</v>
      </c>
      <c r="Q163" s="105">
        <v>277.73</v>
      </c>
      <c r="R163" s="105">
        <v>45.25</v>
      </c>
      <c r="S163" s="105">
        <v>28.18</v>
      </c>
      <c r="T163" s="105">
        <v>138.57</v>
      </c>
      <c r="U163" s="105">
        <v>79</v>
      </c>
      <c r="V163" s="105">
        <v>54.19</v>
      </c>
      <c r="W163" s="105">
        <v>76.83</v>
      </c>
      <c r="X163" s="105">
        <v>51.94</v>
      </c>
      <c r="Y163" s="105">
        <v>48.853646945000001</v>
      </c>
      <c r="Z163" s="105">
        <v>20.95</v>
      </c>
      <c r="AA163" s="105">
        <v>63.2</v>
      </c>
      <c r="AB163" s="105">
        <v>3.93</v>
      </c>
      <c r="AC163" s="105">
        <v>98.3</v>
      </c>
      <c r="AD163" s="105">
        <v>108.5</v>
      </c>
      <c r="AE163" s="105">
        <v>28.547499999999999</v>
      </c>
      <c r="AF163" s="105">
        <v>26.38</v>
      </c>
      <c r="AG163" s="105">
        <v>65.05</v>
      </c>
      <c r="AH163" s="105">
        <v>31.34</v>
      </c>
      <c r="AI163" s="105">
        <v>11.56</v>
      </c>
      <c r="AJ163" s="105">
        <v>29.55</v>
      </c>
      <c r="AK163" s="105">
        <v>18.809999999999999</v>
      </c>
      <c r="AL163" s="105">
        <v>61.71</v>
      </c>
      <c r="AM163" s="105">
        <v>144.24</v>
      </c>
      <c r="AN163" s="105">
        <v>168.97</v>
      </c>
      <c r="AO163" s="105">
        <v>47.2</v>
      </c>
      <c r="AP163" s="105">
        <v>41.634999999999998</v>
      </c>
      <c r="AQ163" s="105">
        <v>116.84</v>
      </c>
      <c r="AR163" s="105">
        <v>39.436581400000001</v>
      </c>
      <c r="AS163" s="105">
        <v>37.9</v>
      </c>
      <c r="AT163" s="105">
        <v>62.74</v>
      </c>
      <c r="AU163" s="105">
        <v>225.49</v>
      </c>
      <c r="AV163" s="105">
        <v>92.62</v>
      </c>
      <c r="AW163" s="105">
        <v>109.52</v>
      </c>
      <c r="AX163" s="105">
        <v>18.170000000000002</v>
      </c>
      <c r="AY163" s="105">
        <v>25.355609999999999</v>
      </c>
      <c r="AZ163" s="105">
        <v>62.86138244</v>
      </c>
      <c r="BA163" s="105">
        <v>31.9108248</v>
      </c>
      <c r="BB163" s="105">
        <v>72.81</v>
      </c>
      <c r="BC163" s="105">
        <v>161.1</v>
      </c>
      <c r="BD163" s="105">
        <v>87.56</v>
      </c>
    </row>
    <row r="164" spans="3:56" x14ac:dyDescent="0.25">
      <c r="C164" s="38">
        <v>43223</v>
      </c>
      <c r="D164" s="105">
        <v>127.18</v>
      </c>
      <c r="E164" s="105">
        <v>98.76</v>
      </c>
      <c r="F164" s="105">
        <v>66.900000000000006</v>
      </c>
      <c r="G164" s="105">
        <v>45.06</v>
      </c>
      <c r="H164" s="105">
        <v>143.78</v>
      </c>
      <c r="I164" s="105">
        <v>174.02</v>
      </c>
      <c r="J164" s="105">
        <v>44.222499999999997</v>
      </c>
      <c r="K164" s="105">
        <v>1572.075</v>
      </c>
      <c r="L164" s="105">
        <v>311.69</v>
      </c>
      <c r="M164" s="105">
        <v>94.07</v>
      </c>
      <c r="N164" s="105">
        <v>1026.3</v>
      </c>
      <c r="O164" s="105">
        <v>89.7</v>
      </c>
      <c r="P164" s="105">
        <v>224.07</v>
      </c>
      <c r="Q164" s="105">
        <v>255.14</v>
      </c>
      <c r="R164" s="105">
        <v>46.48</v>
      </c>
      <c r="S164" s="105">
        <v>28.65</v>
      </c>
      <c r="T164" s="105">
        <v>134.63999999999999</v>
      </c>
      <c r="U164" s="105">
        <v>75.36</v>
      </c>
      <c r="V164" s="105">
        <v>53.63</v>
      </c>
      <c r="W164" s="105">
        <v>75.010000000000005</v>
      </c>
      <c r="X164" s="105">
        <v>52.24</v>
      </c>
      <c r="Y164" s="105">
        <v>45.163378971999997</v>
      </c>
      <c r="Z164" s="105">
        <v>19.7</v>
      </c>
      <c r="AA164" s="105">
        <v>63.05</v>
      </c>
      <c r="AB164" s="105">
        <v>3.64</v>
      </c>
      <c r="AC164" s="105">
        <v>90.9</v>
      </c>
      <c r="AD164" s="105">
        <v>99.93</v>
      </c>
      <c r="AE164" s="105">
        <v>26.274999999999999</v>
      </c>
      <c r="AF164" s="105">
        <v>27.01</v>
      </c>
      <c r="AG164" s="105">
        <v>63</v>
      </c>
      <c r="AH164" s="105">
        <v>31.41</v>
      </c>
      <c r="AI164" s="105">
        <v>11.425000000000001</v>
      </c>
      <c r="AJ164" s="105">
        <v>35.950000000000003</v>
      </c>
      <c r="AK164" s="105">
        <v>19.21</v>
      </c>
      <c r="AL164" s="105">
        <v>63.22</v>
      </c>
      <c r="AM164" s="105">
        <v>141.99</v>
      </c>
      <c r="AN164" s="105">
        <v>166.81</v>
      </c>
      <c r="AO164" s="105">
        <v>47.84</v>
      </c>
      <c r="AP164" s="105">
        <v>41.78</v>
      </c>
      <c r="AQ164" s="105">
        <v>105.83</v>
      </c>
      <c r="AR164" s="105">
        <v>38.841422700000003</v>
      </c>
      <c r="AS164" s="105">
        <v>36.049999999999997</v>
      </c>
      <c r="AT164" s="105">
        <v>62.18</v>
      </c>
      <c r="AU164" s="105">
        <v>227.13</v>
      </c>
      <c r="AV164" s="105">
        <v>95.56</v>
      </c>
      <c r="AW164" s="105">
        <v>105.12</v>
      </c>
      <c r="AX164" s="105">
        <v>16.75</v>
      </c>
      <c r="AY164" s="105">
        <v>23.810125200000002</v>
      </c>
      <c r="AZ164" s="105">
        <v>57.881973600000002</v>
      </c>
      <c r="BA164" s="105">
        <v>31.181156550000001</v>
      </c>
      <c r="BB164" s="105">
        <v>73.64</v>
      </c>
      <c r="BC164" s="105">
        <v>157.6</v>
      </c>
      <c r="BD164" s="105">
        <v>88.62</v>
      </c>
    </row>
    <row r="165" spans="3:56" x14ac:dyDescent="0.25">
      <c r="C165" s="38">
        <v>43216</v>
      </c>
      <c r="D165" s="105">
        <v>127.08</v>
      </c>
      <c r="E165" s="105">
        <v>99.84</v>
      </c>
      <c r="F165" s="105">
        <v>68.05</v>
      </c>
      <c r="G165" s="105">
        <v>45.96</v>
      </c>
      <c r="H165" s="105">
        <v>146.31</v>
      </c>
      <c r="I165" s="105">
        <v>174.16</v>
      </c>
      <c r="J165" s="105">
        <v>41.055</v>
      </c>
      <c r="K165" s="105">
        <v>1517.96</v>
      </c>
      <c r="L165" s="105">
        <v>313.98</v>
      </c>
      <c r="M165" s="105">
        <v>94.26</v>
      </c>
      <c r="N165" s="105">
        <v>1043.31</v>
      </c>
      <c r="O165" s="105">
        <v>93.29</v>
      </c>
      <c r="P165" s="105">
        <v>228.73</v>
      </c>
      <c r="Q165" s="105">
        <v>259.89</v>
      </c>
      <c r="R165" s="105">
        <v>46.48</v>
      </c>
      <c r="S165" s="105">
        <v>28.84</v>
      </c>
      <c r="T165" s="105">
        <v>137.76</v>
      </c>
      <c r="U165" s="105">
        <v>73.11</v>
      </c>
      <c r="V165" s="105">
        <v>54.29</v>
      </c>
      <c r="W165" s="105">
        <v>75.62</v>
      </c>
      <c r="X165" s="105">
        <v>53.3</v>
      </c>
      <c r="Y165" s="105">
        <v>45.291736118999999</v>
      </c>
      <c r="Z165" s="105">
        <v>19.600000000000001</v>
      </c>
      <c r="AA165" s="105">
        <v>61.45</v>
      </c>
      <c r="AB165" s="105">
        <v>3.44</v>
      </c>
      <c r="AC165" s="105">
        <v>90.55</v>
      </c>
      <c r="AD165" s="105">
        <v>96.57</v>
      </c>
      <c r="AE165" s="105">
        <v>26.504999999999999</v>
      </c>
      <c r="AF165" s="105">
        <v>27.17</v>
      </c>
      <c r="AG165" s="105">
        <v>62.2</v>
      </c>
      <c r="AH165" s="105">
        <v>33.01</v>
      </c>
      <c r="AI165" s="105">
        <v>10.9175</v>
      </c>
      <c r="AJ165" s="105">
        <v>35.6</v>
      </c>
      <c r="AK165" s="105">
        <v>19.170000000000002</v>
      </c>
      <c r="AL165" s="105">
        <v>65.22</v>
      </c>
      <c r="AM165" s="105">
        <v>146.72</v>
      </c>
      <c r="AN165" s="105">
        <v>168.11</v>
      </c>
      <c r="AO165" s="105">
        <v>49.76</v>
      </c>
      <c r="AP165" s="105">
        <v>42.55</v>
      </c>
      <c r="AQ165" s="105">
        <v>100.92</v>
      </c>
      <c r="AR165" s="105">
        <v>39.778065900000001</v>
      </c>
      <c r="AS165" s="105">
        <v>39.5</v>
      </c>
      <c r="AT165" s="105">
        <v>62.95</v>
      </c>
      <c r="AU165" s="105">
        <v>232.89</v>
      </c>
      <c r="AV165" s="105">
        <v>96.93</v>
      </c>
      <c r="AW165" s="105">
        <v>113.4</v>
      </c>
      <c r="AX165" s="105">
        <v>18.329999999999998</v>
      </c>
      <c r="AY165" s="105">
        <v>24.969238799999999</v>
      </c>
      <c r="AZ165" s="105">
        <v>61.068405480000003</v>
      </c>
      <c r="BA165" s="105">
        <v>31.716246600000002</v>
      </c>
      <c r="BB165" s="105">
        <v>69.42</v>
      </c>
      <c r="BC165" s="105">
        <v>157.25</v>
      </c>
      <c r="BD165" s="105">
        <v>93.41</v>
      </c>
    </row>
    <row r="166" spans="3:56" x14ac:dyDescent="0.25">
      <c r="C166" s="38">
        <v>43209</v>
      </c>
      <c r="D166" s="105">
        <v>123.96</v>
      </c>
      <c r="E166" s="105">
        <v>100.89</v>
      </c>
      <c r="F166" s="105">
        <v>65.73</v>
      </c>
      <c r="G166" s="105">
        <v>46.82</v>
      </c>
      <c r="H166" s="105">
        <v>155.69999999999999</v>
      </c>
      <c r="I166" s="105">
        <v>168.1</v>
      </c>
      <c r="J166" s="105">
        <v>43.2</v>
      </c>
      <c r="K166" s="105">
        <v>1556.91</v>
      </c>
      <c r="L166" s="105">
        <v>332.7</v>
      </c>
      <c r="M166" s="105">
        <v>96.11</v>
      </c>
      <c r="N166" s="105">
        <v>1089.45</v>
      </c>
      <c r="O166" s="105">
        <v>93.56</v>
      </c>
      <c r="P166" s="105">
        <v>229.62</v>
      </c>
      <c r="Q166" s="105">
        <v>252.78</v>
      </c>
      <c r="R166" s="105">
        <v>45.39</v>
      </c>
      <c r="S166" s="105">
        <v>28.28</v>
      </c>
      <c r="T166" s="105">
        <v>137.62</v>
      </c>
      <c r="U166" s="105">
        <v>73.84</v>
      </c>
      <c r="V166" s="105">
        <v>55.62</v>
      </c>
      <c r="W166" s="105">
        <v>73.34</v>
      </c>
      <c r="X166" s="105">
        <v>54.8</v>
      </c>
      <c r="Y166" s="105">
        <v>46.60281269</v>
      </c>
      <c r="Z166" s="105">
        <v>19.100000000000001</v>
      </c>
      <c r="AA166" s="105">
        <v>63.55</v>
      </c>
      <c r="AB166" s="105">
        <v>3.63</v>
      </c>
      <c r="AC166" s="105">
        <v>94.75</v>
      </c>
      <c r="AD166" s="105">
        <v>106.4</v>
      </c>
      <c r="AE166" s="105">
        <v>27.015000000000001</v>
      </c>
      <c r="AF166" s="105">
        <v>25.85</v>
      </c>
      <c r="AG166" s="105">
        <v>62.8</v>
      </c>
      <c r="AH166" s="105">
        <v>31.41</v>
      </c>
      <c r="AI166" s="105">
        <v>10.5825</v>
      </c>
      <c r="AJ166" s="105">
        <v>37.049999999999997</v>
      </c>
      <c r="AK166" s="105">
        <v>19.66</v>
      </c>
      <c r="AL166" s="105">
        <v>64.62</v>
      </c>
      <c r="AM166" s="105">
        <v>147.69999999999999</v>
      </c>
      <c r="AN166" s="105">
        <v>163.55000000000001</v>
      </c>
      <c r="AO166" s="105">
        <v>48.43</v>
      </c>
      <c r="AP166" s="105">
        <v>41.32</v>
      </c>
      <c r="AQ166" s="105">
        <v>105.91</v>
      </c>
      <c r="AR166" s="105">
        <v>40.9195998</v>
      </c>
      <c r="AS166" s="105">
        <v>40.81</v>
      </c>
      <c r="AT166" s="105">
        <v>61.58</v>
      </c>
      <c r="AU166" s="105">
        <v>235.24</v>
      </c>
      <c r="AV166" s="105">
        <v>98.9</v>
      </c>
      <c r="AW166" s="105">
        <v>116.76</v>
      </c>
      <c r="AX166" s="105">
        <v>18.84</v>
      </c>
      <c r="AY166" s="105">
        <v>24.727756800000002</v>
      </c>
      <c r="AZ166" s="105">
        <v>65.239025799999993</v>
      </c>
      <c r="BA166" s="105">
        <v>31.278445649999998</v>
      </c>
      <c r="BB166" s="105">
        <v>67.67</v>
      </c>
      <c r="BC166" s="105">
        <v>143.44999999999999</v>
      </c>
      <c r="BD166" s="105">
        <v>92.6</v>
      </c>
    </row>
    <row r="167" spans="3:56" x14ac:dyDescent="0.25">
      <c r="C167" s="38">
        <v>43202</v>
      </c>
      <c r="D167" s="105">
        <v>121.07</v>
      </c>
      <c r="E167" s="105">
        <v>100.39</v>
      </c>
      <c r="F167" s="105">
        <v>67.77</v>
      </c>
      <c r="G167" s="105">
        <v>45.88</v>
      </c>
      <c r="H167" s="105">
        <v>150.13999999999999</v>
      </c>
      <c r="I167" s="105">
        <v>163.87</v>
      </c>
      <c r="J167" s="105">
        <v>43.534999999999997</v>
      </c>
      <c r="K167" s="105">
        <v>1448.5</v>
      </c>
      <c r="L167" s="105">
        <v>309.25</v>
      </c>
      <c r="M167" s="105">
        <v>93.58</v>
      </c>
      <c r="N167" s="105">
        <v>1037.29</v>
      </c>
      <c r="O167" s="105">
        <v>95.57</v>
      </c>
      <c r="P167" s="105">
        <v>224.22</v>
      </c>
      <c r="Q167" s="105">
        <v>263.76</v>
      </c>
      <c r="R167" s="105">
        <v>44.02</v>
      </c>
      <c r="S167" s="105">
        <v>27.54</v>
      </c>
      <c r="T167" s="105">
        <v>133.01</v>
      </c>
      <c r="U167" s="105">
        <v>72.37</v>
      </c>
      <c r="V167" s="105">
        <v>56.75</v>
      </c>
      <c r="W167" s="105">
        <v>71.3</v>
      </c>
      <c r="X167" s="105">
        <v>54.94</v>
      </c>
      <c r="Y167" s="105">
        <v>44.246542208000001</v>
      </c>
      <c r="Z167" s="105">
        <v>18</v>
      </c>
      <c r="AA167" s="105">
        <v>61.9</v>
      </c>
      <c r="AB167" s="105">
        <v>3.55</v>
      </c>
      <c r="AC167" s="105">
        <v>102.75</v>
      </c>
      <c r="AD167" s="105">
        <v>100.75</v>
      </c>
      <c r="AE167" s="105">
        <v>27.637499999999999</v>
      </c>
      <c r="AF167" s="105">
        <v>24.82</v>
      </c>
      <c r="AG167" s="105">
        <v>61.6</v>
      </c>
      <c r="AH167" s="105">
        <v>34.78</v>
      </c>
      <c r="AI167" s="105">
        <v>11.032500000000001</v>
      </c>
      <c r="AJ167" s="105">
        <v>36</v>
      </c>
      <c r="AK167" s="105">
        <v>19.55</v>
      </c>
      <c r="AL167" s="105">
        <v>62.84</v>
      </c>
      <c r="AM167" s="105">
        <v>158.07</v>
      </c>
      <c r="AN167" s="105">
        <v>158.56</v>
      </c>
      <c r="AO167" s="105">
        <v>47.74</v>
      </c>
      <c r="AP167" s="105">
        <v>41.265000000000001</v>
      </c>
      <c r="AQ167" s="105">
        <v>106.39</v>
      </c>
      <c r="AR167" s="105">
        <v>39.417068</v>
      </c>
      <c r="AS167" s="105">
        <v>41.26</v>
      </c>
      <c r="AT167" s="105">
        <v>60.51</v>
      </c>
      <c r="AU167" s="105">
        <v>223.45</v>
      </c>
      <c r="AV167" s="105">
        <v>98.1</v>
      </c>
      <c r="AW167" s="105">
        <v>111.46</v>
      </c>
      <c r="AX167" s="105">
        <v>18.75</v>
      </c>
      <c r="AY167" s="105">
        <v>23.7618288</v>
      </c>
      <c r="AZ167" s="105">
        <v>63.309626680000001</v>
      </c>
      <c r="BA167" s="105">
        <v>30.256910099999999</v>
      </c>
      <c r="BB167" s="105">
        <v>66.16</v>
      </c>
      <c r="BC167" s="105">
        <v>165.25</v>
      </c>
      <c r="BD167" s="105">
        <v>91.8</v>
      </c>
    </row>
    <row r="168" spans="3:56" x14ac:dyDescent="0.25">
      <c r="C168" s="38">
        <v>43195</v>
      </c>
      <c r="D168" s="105">
        <v>121.19</v>
      </c>
      <c r="E168" s="105">
        <v>102.11</v>
      </c>
      <c r="F168" s="105">
        <v>69.59</v>
      </c>
      <c r="G168" s="105">
        <v>45.96</v>
      </c>
      <c r="H168" s="105">
        <v>148.13</v>
      </c>
      <c r="I168" s="105">
        <v>159.34</v>
      </c>
      <c r="J168" s="105">
        <v>43.2</v>
      </c>
      <c r="K168" s="105">
        <v>1451.75</v>
      </c>
      <c r="L168" s="105">
        <v>293.97000000000003</v>
      </c>
      <c r="M168" s="105">
        <v>92.38</v>
      </c>
      <c r="N168" s="105">
        <v>1032.6400000000001</v>
      </c>
      <c r="O168" s="105">
        <v>99.7</v>
      </c>
      <c r="P168" s="105">
        <v>229.93</v>
      </c>
      <c r="Q168" s="105">
        <v>255.35</v>
      </c>
      <c r="R168" s="105">
        <v>45.69</v>
      </c>
      <c r="S168" s="105">
        <v>28</v>
      </c>
      <c r="T168" s="105">
        <v>134.44</v>
      </c>
      <c r="U168" s="105">
        <v>71.11</v>
      </c>
      <c r="V168" s="105">
        <v>64</v>
      </c>
      <c r="W168" s="105">
        <v>72.12</v>
      </c>
      <c r="X168" s="105">
        <v>56.86</v>
      </c>
      <c r="Y168" s="105">
        <v>44.750802428</v>
      </c>
      <c r="Z168" s="105">
        <v>16.399999999999999</v>
      </c>
      <c r="AA168" s="105">
        <v>62.25</v>
      </c>
      <c r="AB168" s="105">
        <v>3.52</v>
      </c>
      <c r="AC168" s="105">
        <v>101.325</v>
      </c>
      <c r="AD168" s="105">
        <v>98.64</v>
      </c>
      <c r="AE168" s="105">
        <v>28.422499999999999</v>
      </c>
      <c r="AF168" s="105">
        <v>25.19</v>
      </c>
      <c r="AG168" s="105">
        <v>59.45</v>
      </c>
      <c r="AH168" s="105">
        <v>35.57</v>
      </c>
      <c r="AI168" s="105">
        <v>11.425000000000001</v>
      </c>
      <c r="AJ168" s="105">
        <v>36.15</v>
      </c>
      <c r="AK168" s="105">
        <v>20.64</v>
      </c>
      <c r="AL168" s="105">
        <v>63.66</v>
      </c>
      <c r="AM168" s="105">
        <v>154.03</v>
      </c>
      <c r="AN168" s="105">
        <v>160.07</v>
      </c>
      <c r="AO168" s="105">
        <v>48.24</v>
      </c>
      <c r="AP168" s="105">
        <v>42.48</v>
      </c>
      <c r="AQ168" s="105">
        <v>99.45</v>
      </c>
      <c r="AR168" s="105">
        <v>38.314560899999996</v>
      </c>
      <c r="AS168" s="105">
        <v>40.450000000000003</v>
      </c>
      <c r="AT168" s="105">
        <v>60.31</v>
      </c>
      <c r="AU168" s="105">
        <v>220.13</v>
      </c>
      <c r="AV168" s="105">
        <v>99</v>
      </c>
      <c r="AW168" s="105">
        <v>108.6</v>
      </c>
      <c r="AX168" s="105">
        <v>17.68</v>
      </c>
      <c r="AY168" s="105">
        <v>25.114128000000001</v>
      </c>
      <c r="AZ168" s="105">
        <v>64.547170559999998</v>
      </c>
      <c r="BA168" s="105">
        <v>30.0623319</v>
      </c>
      <c r="BB168" s="105">
        <v>67.599999999999994</v>
      </c>
      <c r="BC168" s="105">
        <v>176.25</v>
      </c>
      <c r="BD168" s="105">
        <v>91.8</v>
      </c>
    </row>
    <row r="169" spans="3:56" x14ac:dyDescent="0.25">
      <c r="C169" s="38">
        <v>43188</v>
      </c>
      <c r="D169" s="105">
        <v>119.62</v>
      </c>
      <c r="E169" s="105">
        <v>100.44</v>
      </c>
      <c r="F169" s="105">
        <v>66.44</v>
      </c>
      <c r="G169" s="105">
        <v>45.75</v>
      </c>
      <c r="H169" s="105">
        <v>147.38</v>
      </c>
      <c r="I169" s="105">
        <v>159.79</v>
      </c>
      <c r="J169" s="105">
        <v>41.945</v>
      </c>
      <c r="K169" s="105">
        <v>1447.34</v>
      </c>
      <c r="L169" s="105">
        <v>295.35000000000002</v>
      </c>
      <c r="M169" s="105">
        <v>91.27</v>
      </c>
      <c r="N169" s="105">
        <v>1037.1400000000001</v>
      </c>
      <c r="O169" s="105">
        <v>98.96</v>
      </c>
      <c r="P169" s="105">
        <v>227.92</v>
      </c>
      <c r="Q169" s="105">
        <v>251.13</v>
      </c>
      <c r="R169" s="105">
        <v>45.48</v>
      </c>
      <c r="S169" s="105">
        <v>28.29</v>
      </c>
      <c r="T169" s="105">
        <v>135.97999999999999</v>
      </c>
      <c r="U169" s="105">
        <v>71.900000000000006</v>
      </c>
      <c r="V169" s="105">
        <v>58.94</v>
      </c>
      <c r="W169" s="105">
        <v>69.989999999999995</v>
      </c>
      <c r="X169" s="105">
        <v>57.28</v>
      </c>
      <c r="Y169" s="105">
        <v>43.302200341999999</v>
      </c>
      <c r="Z169" s="105">
        <v>16.45</v>
      </c>
      <c r="AA169" s="105">
        <v>60.65</v>
      </c>
      <c r="AB169" s="105">
        <v>3.66</v>
      </c>
      <c r="AC169" s="105">
        <v>101</v>
      </c>
      <c r="AD169" s="105">
        <v>101.81</v>
      </c>
      <c r="AE169" s="105">
        <v>27.192499999999999</v>
      </c>
      <c r="AF169" s="105">
        <v>24.28</v>
      </c>
      <c r="AG169" s="105">
        <v>60.3</v>
      </c>
      <c r="AH169" s="105">
        <v>35.049999999999997</v>
      </c>
      <c r="AI169" s="105">
        <v>11.3225</v>
      </c>
      <c r="AJ169" s="105">
        <v>33</v>
      </c>
      <c r="AK169" s="105">
        <v>20.32</v>
      </c>
      <c r="AL169" s="105">
        <v>63.66</v>
      </c>
      <c r="AM169" s="105">
        <v>153.43</v>
      </c>
      <c r="AN169" s="105">
        <v>160.91999999999999</v>
      </c>
      <c r="AO169" s="105">
        <v>47.82</v>
      </c>
      <c r="AP169" s="105">
        <v>40.78</v>
      </c>
      <c r="AQ169" s="105">
        <v>98.39</v>
      </c>
      <c r="AR169" s="105">
        <v>38.119426900000001</v>
      </c>
      <c r="AS169" s="105">
        <v>41.17</v>
      </c>
      <c r="AT169" s="105">
        <v>59.96</v>
      </c>
      <c r="AU169" s="105">
        <v>216.7</v>
      </c>
      <c r="AV169" s="105">
        <v>94.9</v>
      </c>
      <c r="AW169" s="105">
        <v>107.39</v>
      </c>
      <c r="AX169" s="105">
        <v>16.93</v>
      </c>
      <c r="AY169" s="105">
        <v>25.017535200000001</v>
      </c>
      <c r="AZ169" s="105">
        <v>63.192693400000003</v>
      </c>
      <c r="BA169" s="105">
        <v>29.867753700000002</v>
      </c>
      <c r="BB169" s="105">
        <v>66.02</v>
      </c>
      <c r="BC169" s="105">
        <v>172.55</v>
      </c>
      <c r="BD169" s="105">
        <v>91.41</v>
      </c>
    </row>
    <row r="170" spans="3:56" x14ac:dyDescent="0.25">
      <c r="C170" s="38">
        <v>43181</v>
      </c>
      <c r="D170" s="105">
        <v>119.99</v>
      </c>
      <c r="E170" s="105">
        <v>100.6</v>
      </c>
      <c r="F170" s="105">
        <v>64.42</v>
      </c>
      <c r="G170" s="105">
        <v>45.89</v>
      </c>
      <c r="H170" s="105">
        <v>146.9</v>
      </c>
      <c r="I170" s="105">
        <v>164.89</v>
      </c>
      <c r="J170" s="105">
        <v>42.212499999999999</v>
      </c>
      <c r="K170" s="105">
        <v>1544.92</v>
      </c>
      <c r="L170" s="105">
        <v>306.7</v>
      </c>
      <c r="M170" s="105">
        <v>89.79</v>
      </c>
      <c r="N170" s="105">
        <v>1053.1500000000001</v>
      </c>
      <c r="O170" s="105">
        <v>97.05</v>
      </c>
      <c r="P170" s="105">
        <v>224.23</v>
      </c>
      <c r="Q170" s="105">
        <v>260.13</v>
      </c>
      <c r="R170" s="105">
        <v>44.57</v>
      </c>
      <c r="S170" s="105">
        <v>27.32</v>
      </c>
      <c r="T170" s="105">
        <v>137.25</v>
      </c>
      <c r="U170" s="105">
        <v>71.34</v>
      </c>
      <c r="V170" s="105">
        <v>58.68</v>
      </c>
      <c r="W170" s="105">
        <v>67.25</v>
      </c>
      <c r="X170" s="105">
        <v>57</v>
      </c>
      <c r="Y170" s="105">
        <v>43.925649341000003</v>
      </c>
      <c r="Z170" s="105">
        <v>16.399999999999999</v>
      </c>
      <c r="AA170" s="105">
        <v>60.25</v>
      </c>
      <c r="AB170" s="105">
        <v>3.81</v>
      </c>
      <c r="AC170" s="105">
        <v>110.2</v>
      </c>
      <c r="AD170" s="105">
        <v>102.18</v>
      </c>
      <c r="AE170" s="105">
        <v>27.852499999999999</v>
      </c>
      <c r="AF170" s="105">
        <v>24.68</v>
      </c>
      <c r="AG170" s="105">
        <v>58.2</v>
      </c>
      <c r="AH170" s="105">
        <v>32.75</v>
      </c>
      <c r="AI170" s="105">
        <v>11.265000000000001</v>
      </c>
      <c r="AJ170" s="105">
        <v>32.4</v>
      </c>
      <c r="AK170" s="105">
        <v>21.27</v>
      </c>
      <c r="AL170" s="105">
        <v>62.92</v>
      </c>
      <c r="AM170" s="105">
        <v>152.09</v>
      </c>
      <c r="AN170" s="105">
        <v>160.81</v>
      </c>
      <c r="AO170" s="105">
        <v>46.88</v>
      </c>
      <c r="AP170" s="105">
        <v>40.5</v>
      </c>
      <c r="AQ170" s="105">
        <v>105.88</v>
      </c>
      <c r="AR170" s="105">
        <v>36.694948699999998</v>
      </c>
      <c r="AS170" s="105">
        <v>39.869999999999997</v>
      </c>
      <c r="AT170" s="105">
        <v>59.77</v>
      </c>
      <c r="AU170" s="105">
        <v>213.25</v>
      </c>
      <c r="AV170" s="105">
        <v>93.54</v>
      </c>
      <c r="AW170" s="105">
        <v>110.73</v>
      </c>
      <c r="AX170" s="105">
        <v>17.059999999999999</v>
      </c>
      <c r="AY170" s="105">
        <v>25.017535200000001</v>
      </c>
      <c r="AZ170" s="105">
        <v>61.273038720000002</v>
      </c>
      <c r="BA170" s="105">
        <v>31.132511999999998</v>
      </c>
      <c r="BB170" s="105">
        <v>65.290000000000006</v>
      </c>
      <c r="BC170" s="105">
        <v>167.6</v>
      </c>
      <c r="BD170" s="105">
        <v>89.48</v>
      </c>
    </row>
    <row r="171" spans="3:56" x14ac:dyDescent="0.25">
      <c r="C171" s="38">
        <v>43174</v>
      </c>
      <c r="D171" s="105">
        <v>123.41</v>
      </c>
      <c r="E171" s="105">
        <v>103.24</v>
      </c>
      <c r="F171" s="105">
        <v>66.39</v>
      </c>
      <c r="G171" s="105">
        <v>52.37</v>
      </c>
      <c r="H171" s="105">
        <v>154.57</v>
      </c>
      <c r="I171" s="105">
        <v>183.86</v>
      </c>
      <c r="J171" s="105">
        <v>44.662500000000001</v>
      </c>
      <c r="K171" s="105">
        <v>1582.32</v>
      </c>
      <c r="L171" s="105">
        <v>321.08999999999997</v>
      </c>
      <c r="M171" s="105">
        <v>94.18</v>
      </c>
      <c r="N171" s="105">
        <v>1150.6099999999999</v>
      </c>
      <c r="O171" s="105">
        <v>100.94</v>
      </c>
      <c r="P171" s="105">
        <v>226.89</v>
      </c>
      <c r="Q171" s="105">
        <v>272.87</v>
      </c>
      <c r="R171" s="105">
        <v>43.65</v>
      </c>
      <c r="S171" s="105">
        <v>27.84</v>
      </c>
      <c r="T171" s="105">
        <v>141.72999999999999</v>
      </c>
      <c r="U171" s="105">
        <v>74.77</v>
      </c>
      <c r="V171" s="105">
        <v>58.89</v>
      </c>
      <c r="W171" s="105">
        <v>68.989999999999995</v>
      </c>
      <c r="X171" s="105">
        <v>59.94</v>
      </c>
      <c r="Y171" s="105">
        <v>44.310720781999997</v>
      </c>
      <c r="Z171" s="105">
        <v>18.05</v>
      </c>
      <c r="AA171" s="105">
        <v>61.85</v>
      </c>
      <c r="AB171" s="105">
        <v>3.86</v>
      </c>
      <c r="AC171" s="105">
        <v>123.55</v>
      </c>
      <c r="AD171" s="105">
        <v>103.75</v>
      </c>
      <c r="AE171" s="105">
        <v>26.52</v>
      </c>
      <c r="AF171" s="105">
        <v>26.39</v>
      </c>
      <c r="AG171" s="105">
        <v>59.8</v>
      </c>
      <c r="AH171" s="105">
        <v>34.82</v>
      </c>
      <c r="AI171" s="105">
        <v>11.522500000000001</v>
      </c>
      <c r="AJ171" s="105">
        <v>33</v>
      </c>
      <c r="AK171" s="105">
        <v>22.26</v>
      </c>
      <c r="AL171" s="105">
        <v>64</v>
      </c>
      <c r="AM171" s="105">
        <v>159.61000000000001</v>
      </c>
      <c r="AN171" s="105">
        <v>166.45</v>
      </c>
      <c r="AO171" s="105">
        <v>48.29</v>
      </c>
      <c r="AP171" s="105">
        <v>40.67</v>
      </c>
      <c r="AQ171" s="105">
        <v>108.04</v>
      </c>
      <c r="AR171" s="105">
        <v>36.402247699999997</v>
      </c>
      <c r="AS171" s="105">
        <v>41.67</v>
      </c>
      <c r="AT171" s="105">
        <v>59.38</v>
      </c>
      <c r="AU171" s="105">
        <v>224.15</v>
      </c>
      <c r="AV171" s="105">
        <v>94.16</v>
      </c>
      <c r="AW171" s="105">
        <v>109.82</v>
      </c>
      <c r="AX171" s="105">
        <v>18.12</v>
      </c>
      <c r="AY171" s="105">
        <v>25.065831599999999</v>
      </c>
      <c r="AZ171" s="105">
        <v>65.726247799999996</v>
      </c>
      <c r="BA171" s="105">
        <v>32.299981199999998</v>
      </c>
      <c r="BB171" s="105">
        <v>65.19</v>
      </c>
      <c r="BC171" s="105">
        <v>172.75</v>
      </c>
      <c r="BD171" s="105">
        <v>88.88</v>
      </c>
    </row>
    <row r="172" spans="3:56" x14ac:dyDescent="0.25">
      <c r="C172" s="38">
        <v>43167</v>
      </c>
      <c r="D172" s="105">
        <v>122.22</v>
      </c>
      <c r="E172" s="105">
        <v>104.03</v>
      </c>
      <c r="F172" s="105">
        <v>65.11</v>
      </c>
      <c r="G172" s="105">
        <v>52.13</v>
      </c>
      <c r="H172" s="105">
        <v>153.59</v>
      </c>
      <c r="I172" s="105">
        <v>182.34</v>
      </c>
      <c r="J172" s="105">
        <v>44.234999999999999</v>
      </c>
      <c r="K172" s="105">
        <v>1551.86</v>
      </c>
      <c r="L172" s="105">
        <v>317</v>
      </c>
      <c r="M172" s="105">
        <v>94.43</v>
      </c>
      <c r="N172" s="105">
        <v>1129.3800000000001</v>
      </c>
      <c r="O172" s="105">
        <v>99.65</v>
      </c>
      <c r="P172" s="105">
        <v>227.7</v>
      </c>
      <c r="Q172" s="105">
        <v>268.18</v>
      </c>
      <c r="R172" s="105">
        <v>43.13</v>
      </c>
      <c r="S172" s="105">
        <v>27.77</v>
      </c>
      <c r="T172" s="105">
        <v>139.35</v>
      </c>
      <c r="U172" s="105">
        <v>76.62</v>
      </c>
      <c r="V172" s="105">
        <v>58.66</v>
      </c>
      <c r="W172" s="105">
        <v>73.25</v>
      </c>
      <c r="X172" s="105">
        <v>58.37</v>
      </c>
      <c r="Y172" s="105">
        <v>42.091975814000001</v>
      </c>
      <c r="Z172" s="105">
        <v>18.55</v>
      </c>
      <c r="AA172" s="105">
        <v>62.7</v>
      </c>
      <c r="AB172" s="105">
        <v>3.71</v>
      </c>
      <c r="AC172" s="105">
        <v>124.85</v>
      </c>
      <c r="AD172" s="105">
        <v>101.23</v>
      </c>
      <c r="AE172" s="105">
        <v>26.535</v>
      </c>
      <c r="AF172" s="105">
        <v>27.29</v>
      </c>
      <c r="AG172" s="105">
        <v>58.7</v>
      </c>
      <c r="AH172" s="105">
        <v>31.53</v>
      </c>
      <c r="AI172" s="105">
        <v>12.8475</v>
      </c>
      <c r="AJ172" s="105">
        <v>32.9</v>
      </c>
      <c r="AK172" s="105">
        <v>21.71</v>
      </c>
      <c r="AL172" s="105">
        <v>59.56</v>
      </c>
      <c r="AM172" s="105">
        <v>156.21</v>
      </c>
      <c r="AN172" s="105">
        <v>163.35</v>
      </c>
      <c r="AO172" s="105">
        <v>49.01</v>
      </c>
      <c r="AP172" s="105">
        <v>41.33</v>
      </c>
      <c r="AQ172" s="105">
        <v>106.46</v>
      </c>
      <c r="AR172" s="105">
        <v>36.743732199999997</v>
      </c>
      <c r="AS172" s="105">
        <v>42.01</v>
      </c>
      <c r="AT172" s="105">
        <v>60.48</v>
      </c>
      <c r="AU172" s="105">
        <v>223.44</v>
      </c>
      <c r="AV172" s="105">
        <v>91.32</v>
      </c>
      <c r="AW172" s="105">
        <v>109.34</v>
      </c>
      <c r="AX172" s="105">
        <v>17.760000000000002</v>
      </c>
      <c r="AY172" s="105">
        <v>25.452202799999998</v>
      </c>
      <c r="AZ172" s="105">
        <v>64.33279288</v>
      </c>
      <c r="BA172" s="105">
        <v>35.8996779</v>
      </c>
      <c r="BB172" s="105">
        <v>64.180000000000007</v>
      </c>
      <c r="BC172" s="105">
        <v>174</v>
      </c>
      <c r="BD172" s="105">
        <v>88.36</v>
      </c>
    </row>
    <row r="173" spans="3:56" x14ac:dyDescent="0.25">
      <c r="C173" s="38">
        <v>43160</v>
      </c>
      <c r="D173" s="105">
        <v>120.4</v>
      </c>
      <c r="E173" s="105">
        <v>102.57</v>
      </c>
      <c r="F173" s="105">
        <v>66.319999999999993</v>
      </c>
      <c r="G173" s="105">
        <v>49.71</v>
      </c>
      <c r="H173" s="105">
        <v>150.22999999999999</v>
      </c>
      <c r="I173" s="105">
        <v>175.94</v>
      </c>
      <c r="J173" s="105">
        <v>43.75</v>
      </c>
      <c r="K173" s="105">
        <v>1493.45</v>
      </c>
      <c r="L173" s="105">
        <v>290.39</v>
      </c>
      <c r="M173" s="105">
        <v>92.85</v>
      </c>
      <c r="N173" s="105">
        <v>1071.4100000000001</v>
      </c>
      <c r="O173" s="105">
        <v>97.8</v>
      </c>
      <c r="P173" s="105">
        <v>215.95</v>
      </c>
      <c r="Q173" s="105">
        <v>245.55</v>
      </c>
      <c r="R173" s="105">
        <v>43.17</v>
      </c>
      <c r="S173" s="105">
        <v>28.24</v>
      </c>
      <c r="T173" s="105">
        <v>137.54</v>
      </c>
      <c r="U173" s="105">
        <v>70.849999999999994</v>
      </c>
      <c r="V173" s="105">
        <v>57.36</v>
      </c>
      <c r="W173" s="105">
        <v>75.3</v>
      </c>
      <c r="X173" s="105">
        <v>58.01</v>
      </c>
      <c r="Y173" s="105">
        <v>40.460006374999999</v>
      </c>
      <c r="Z173" s="105">
        <v>20.3</v>
      </c>
      <c r="AA173" s="105">
        <v>55.9</v>
      </c>
      <c r="AB173" s="105">
        <v>3.44</v>
      </c>
      <c r="AC173" s="105">
        <v>125.55</v>
      </c>
      <c r="AD173" s="105">
        <v>98.98</v>
      </c>
      <c r="AE173" s="105">
        <v>25.9575</v>
      </c>
      <c r="AF173" s="105">
        <v>26.36</v>
      </c>
      <c r="AG173" s="105">
        <v>59.4</v>
      </c>
      <c r="AH173" s="105">
        <v>32.18</v>
      </c>
      <c r="AI173" s="105">
        <v>12.185</v>
      </c>
      <c r="AJ173" s="105">
        <v>29.4</v>
      </c>
      <c r="AK173" s="105">
        <v>21.08</v>
      </c>
      <c r="AL173" s="105">
        <v>60.78</v>
      </c>
      <c r="AM173" s="105">
        <v>153.81</v>
      </c>
      <c r="AN173" s="105">
        <v>159.29</v>
      </c>
      <c r="AO173" s="105">
        <v>47.96</v>
      </c>
      <c r="AP173" s="105">
        <v>41.42</v>
      </c>
      <c r="AQ173" s="105">
        <v>93.64</v>
      </c>
      <c r="AR173" s="105">
        <v>37.182783700000002</v>
      </c>
      <c r="AS173" s="105">
        <v>40.69</v>
      </c>
      <c r="AT173" s="105">
        <v>59.46</v>
      </c>
      <c r="AU173" s="105">
        <v>218.12</v>
      </c>
      <c r="AV173" s="105">
        <v>104.09</v>
      </c>
      <c r="AW173" s="105">
        <v>98.76</v>
      </c>
      <c r="AX173" s="105">
        <v>16.600000000000001</v>
      </c>
      <c r="AY173" s="105">
        <v>24.872646</v>
      </c>
      <c r="AZ173" s="105">
        <v>64.323048439999994</v>
      </c>
      <c r="BA173" s="105">
        <v>34.78085325</v>
      </c>
      <c r="BB173" s="105">
        <v>63.42</v>
      </c>
      <c r="BC173" s="105">
        <v>163.69999999999999</v>
      </c>
      <c r="BD173" s="105">
        <v>85.69</v>
      </c>
    </row>
    <row r="174" spans="3:56" x14ac:dyDescent="0.25">
      <c r="C174" s="38">
        <v>43153</v>
      </c>
      <c r="D174" s="105">
        <v>120.38</v>
      </c>
      <c r="E174" s="105">
        <v>105.24</v>
      </c>
      <c r="F174" s="105">
        <v>67.13</v>
      </c>
      <c r="G174" s="105">
        <v>49.59</v>
      </c>
      <c r="H174" s="105">
        <v>158.86000000000001</v>
      </c>
      <c r="I174" s="105">
        <v>178.99</v>
      </c>
      <c r="J174" s="105">
        <v>43.125</v>
      </c>
      <c r="K174" s="105">
        <v>1485.34</v>
      </c>
      <c r="L174" s="105">
        <v>278.14</v>
      </c>
      <c r="M174" s="105">
        <v>91.73</v>
      </c>
      <c r="N174" s="105">
        <v>1109.9000000000001</v>
      </c>
      <c r="O174" s="105">
        <v>97.07</v>
      </c>
      <c r="P174" s="105">
        <v>213.11</v>
      </c>
      <c r="Q174" s="105">
        <v>259.68</v>
      </c>
      <c r="R174" s="105">
        <v>43.61</v>
      </c>
      <c r="S174" s="105">
        <v>29.52</v>
      </c>
      <c r="T174" s="105">
        <v>140.6</v>
      </c>
      <c r="U174" s="105">
        <v>72.95</v>
      </c>
      <c r="V174" s="105">
        <v>58.43</v>
      </c>
      <c r="W174" s="105">
        <v>71.290000000000006</v>
      </c>
      <c r="X174" s="105">
        <v>57.32</v>
      </c>
      <c r="Y174" s="105">
        <v>42.889623798000002</v>
      </c>
      <c r="Z174" s="105">
        <v>18.5</v>
      </c>
      <c r="AA174" s="105">
        <v>51.7</v>
      </c>
      <c r="AB174" s="105">
        <v>3.52</v>
      </c>
      <c r="AC174" s="105">
        <v>154.9</v>
      </c>
      <c r="AD174" s="105">
        <v>93.56</v>
      </c>
      <c r="AE174" s="105">
        <v>26.567499999999999</v>
      </c>
      <c r="AF174" s="105">
        <v>27.45</v>
      </c>
      <c r="AG174" s="105">
        <v>57.85</v>
      </c>
      <c r="AH174" s="105">
        <v>32.869999999999997</v>
      </c>
      <c r="AI174" s="105">
        <v>12.532500000000001</v>
      </c>
      <c r="AJ174" s="105">
        <v>28.625</v>
      </c>
      <c r="AK174" s="105">
        <v>20.85</v>
      </c>
      <c r="AL174" s="105">
        <v>59.74</v>
      </c>
      <c r="AM174" s="105">
        <v>153.18</v>
      </c>
      <c r="AN174" s="105">
        <v>158.96</v>
      </c>
      <c r="AO174" s="105">
        <v>47.87</v>
      </c>
      <c r="AP174" s="105">
        <v>38.200000000000003</v>
      </c>
      <c r="AQ174" s="105">
        <v>93.21</v>
      </c>
      <c r="AR174" s="105">
        <v>36.714462099999999</v>
      </c>
      <c r="AS174" s="105">
        <v>41.28</v>
      </c>
      <c r="AT174" s="105">
        <v>58.86</v>
      </c>
      <c r="AU174" s="105">
        <v>218.32</v>
      </c>
      <c r="AV174" s="105">
        <v>107</v>
      </c>
      <c r="AW174" s="105">
        <v>96.11</v>
      </c>
      <c r="AX174" s="105">
        <v>16.34</v>
      </c>
      <c r="AY174" s="105">
        <v>25.983463199999999</v>
      </c>
      <c r="AZ174" s="105">
        <v>65.833436640000002</v>
      </c>
      <c r="BA174" s="105">
        <v>35.607810600000001</v>
      </c>
      <c r="BB174" s="105">
        <v>65.540000000000006</v>
      </c>
      <c r="BC174" s="105">
        <v>166.85</v>
      </c>
      <c r="BD174" s="105">
        <v>87.84</v>
      </c>
    </row>
    <row r="175" spans="3:56" x14ac:dyDescent="0.25">
      <c r="C175" s="38">
        <v>43146</v>
      </c>
      <c r="D175" s="105">
        <v>122.28</v>
      </c>
      <c r="E175" s="105">
        <v>105.18</v>
      </c>
      <c r="F175" s="105">
        <v>68.290000000000006</v>
      </c>
      <c r="G175" s="105">
        <v>50.64</v>
      </c>
      <c r="H175" s="105">
        <v>159.97999999999999</v>
      </c>
      <c r="I175" s="105">
        <v>179.96</v>
      </c>
      <c r="J175" s="105">
        <v>43.247500000000002</v>
      </c>
      <c r="K175" s="105">
        <v>1461.76</v>
      </c>
      <c r="L175" s="105">
        <v>280.27</v>
      </c>
      <c r="M175" s="105">
        <v>92.66</v>
      </c>
      <c r="N175" s="105">
        <v>1091.3599999999999</v>
      </c>
      <c r="O175" s="105">
        <v>100.79</v>
      </c>
      <c r="P175" s="105">
        <v>216.81</v>
      </c>
      <c r="Q175" s="105">
        <v>252.77</v>
      </c>
      <c r="R175" s="105">
        <v>44.19</v>
      </c>
      <c r="S175" s="105">
        <v>31.1</v>
      </c>
      <c r="T175" s="105">
        <v>141.29</v>
      </c>
      <c r="U175" s="105">
        <v>74.84</v>
      </c>
      <c r="V175" s="105">
        <v>60.4</v>
      </c>
      <c r="W175" s="105">
        <v>73.319999999999993</v>
      </c>
      <c r="X175" s="105">
        <v>58.18</v>
      </c>
      <c r="Y175" s="105">
        <v>42.577899299000002</v>
      </c>
      <c r="Z175" s="105">
        <v>19.399999999999999</v>
      </c>
      <c r="AA175" s="105">
        <v>51.4</v>
      </c>
      <c r="AB175" s="105">
        <v>3.57</v>
      </c>
      <c r="AC175" s="105">
        <v>162</v>
      </c>
      <c r="AD175" s="105">
        <v>92</v>
      </c>
      <c r="AE175" s="105">
        <v>28.32</v>
      </c>
      <c r="AF175" s="105">
        <v>25.86</v>
      </c>
      <c r="AG175" s="105">
        <v>56.9</v>
      </c>
      <c r="AH175" s="105">
        <v>33.57</v>
      </c>
      <c r="AI175" s="105">
        <v>14.04</v>
      </c>
      <c r="AJ175" s="105">
        <v>27.85</v>
      </c>
      <c r="AK175" s="105">
        <v>20.3</v>
      </c>
      <c r="AL175" s="105">
        <v>60.09</v>
      </c>
      <c r="AM175" s="105">
        <v>156.01</v>
      </c>
      <c r="AN175" s="105">
        <v>158.54</v>
      </c>
      <c r="AO175" s="105">
        <v>49.74</v>
      </c>
      <c r="AP175" s="105">
        <v>38.99</v>
      </c>
      <c r="AQ175" s="105">
        <v>96.35</v>
      </c>
      <c r="AR175" s="105">
        <v>38.451154699999996</v>
      </c>
      <c r="AS175" s="105">
        <v>41.65</v>
      </c>
      <c r="AT175" s="105">
        <v>59.37</v>
      </c>
      <c r="AU175" s="105">
        <v>222.51</v>
      </c>
      <c r="AV175" s="105">
        <v>108.57</v>
      </c>
      <c r="AW175" s="105">
        <v>95.01</v>
      </c>
      <c r="AX175" s="105">
        <v>16.61</v>
      </c>
      <c r="AY175" s="105">
        <v>26.321538</v>
      </c>
      <c r="AZ175" s="105">
        <v>67.207402680000001</v>
      </c>
      <c r="BA175" s="105">
        <v>35.170009649999997</v>
      </c>
      <c r="BB175" s="105">
        <v>67.61</v>
      </c>
      <c r="BC175" s="105">
        <v>167.5</v>
      </c>
      <c r="BD175" s="105">
        <v>90.07</v>
      </c>
    </row>
    <row r="176" spans="3:56" x14ac:dyDescent="0.25">
      <c r="C176" s="38">
        <v>43139</v>
      </c>
      <c r="D176" s="105">
        <v>113.86</v>
      </c>
      <c r="E176" s="105">
        <v>101.35</v>
      </c>
      <c r="F176" s="105">
        <v>62.49</v>
      </c>
      <c r="G176" s="105">
        <v>46.84</v>
      </c>
      <c r="H176" s="105">
        <v>145.99</v>
      </c>
      <c r="I176" s="105">
        <v>171.58</v>
      </c>
      <c r="J176" s="105">
        <v>38.787500000000001</v>
      </c>
      <c r="K176" s="105">
        <v>1350.5</v>
      </c>
      <c r="L176" s="105">
        <v>250.1</v>
      </c>
      <c r="M176" s="105">
        <v>85.01</v>
      </c>
      <c r="N176" s="105">
        <v>1007.71</v>
      </c>
      <c r="O176" s="105">
        <v>97.65</v>
      </c>
      <c r="P176" s="105">
        <v>208.73</v>
      </c>
      <c r="Q176" s="105">
        <v>220.71</v>
      </c>
      <c r="R176" s="105">
        <v>42.44</v>
      </c>
      <c r="S176" s="105">
        <v>29.52</v>
      </c>
      <c r="T176" s="105">
        <v>133.88</v>
      </c>
      <c r="U176" s="105">
        <v>70.989999999999995</v>
      </c>
      <c r="V176" s="105">
        <v>59.11</v>
      </c>
      <c r="W176" s="105">
        <v>68.790000000000006</v>
      </c>
      <c r="X176" s="105">
        <v>55.63</v>
      </c>
      <c r="Y176" s="105">
        <v>40.313312492999998</v>
      </c>
      <c r="Z176" s="105">
        <v>18.05</v>
      </c>
      <c r="AA176" s="105">
        <v>46.5</v>
      </c>
      <c r="AB176" s="105">
        <v>3.49</v>
      </c>
      <c r="AC176" s="105">
        <v>139.80000000000001</v>
      </c>
      <c r="AD176" s="105">
        <v>85.04</v>
      </c>
      <c r="AE176" s="105">
        <v>27.142499999999998</v>
      </c>
      <c r="AF176" s="105">
        <v>24.13</v>
      </c>
      <c r="AG176" s="105">
        <v>53.65</v>
      </c>
      <c r="AH176" s="105">
        <v>31.5</v>
      </c>
      <c r="AI176" s="105">
        <v>13.7125</v>
      </c>
      <c r="AJ176" s="105">
        <v>26.5</v>
      </c>
      <c r="AK176" s="105">
        <v>19.829999999999998</v>
      </c>
      <c r="AL176" s="105">
        <v>58.07</v>
      </c>
      <c r="AM176" s="105">
        <v>147.59</v>
      </c>
      <c r="AN176" s="105">
        <v>148.01</v>
      </c>
      <c r="AO176" s="105">
        <v>49.04</v>
      </c>
      <c r="AP176" s="105">
        <v>37.18</v>
      </c>
      <c r="AQ176" s="105">
        <v>85.94</v>
      </c>
      <c r="AR176" s="105">
        <v>35.719278699999997</v>
      </c>
      <c r="AS176" s="105">
        <v>39.25</v>
      </c>
      <c r="AT176" s="105">
        <v>57</v>
      </c>
      <c r="AU176" s="105">
        <v>211.44</v>
      </c>
      <c r="AV176" s="105">
        <v>101.58</v>
      </c>
      <c r="AW176" s="105">
        <v>82.9</v>
      </c>
      <c r="AX176" s="105">
        <v>14.12</v>
      </c>
      <c r="AY176" s="105">
        <v>23.230568399999999</v>
      </c>
      <c r="AZ176" s="105">
        <v>65.969858799999997</v>
      </c>
      <c r="BA176" s="105">
        <v>34.391696850000002</v>
      </c>
      <c r="BB176" s="105">
        <v>65.900000000000006</v>
      </c>
      <c r="BC176" s="105">
        <v>157.4</v>
      </c>
      <c r="BD176" s="105">
        <v>85.16</v>
      </c>
    </row>
    <row r="177" spans="3:56" x14ac:dyDescent="0.25">
      <c r="C177" s="38">
        <v>43132</v>
      </c>
      <c r="D177" s="105">
        <v>125.72</v>
      </c>
      <c r="E177" s="105">
        <v>110.49</v>
      </c>
      <c r="F177" s="105">
        <v>67.650000000000006</v>
      </c>
      <c r="G177" s="105">
        <v>51.63</v>
      </c>
      <c r="H177" s="105">
        <v>162.24</v>
      </c>
      <c r="I177" s="105">
        <v>193.09</v>
      </c>
      <c r="J177" s="105">
        <v>41.945</v>
      </c>
      <c r="K177" s="105">
        <v>1390</v>
      </c>
      <c r="L177" s="105">
        <v>265.07</v>
      </c>
      <c r="M177" s="105">
        <v>94.26</v>
      </c>
      <c r="N177" s="105">
        <v>1181.5899999999999</v>
      </c>
      <c r="O177" s="105">
        <v>103.77</v>
      </c>
      <c r="P177" s="105">
        <v>220.69</v>
      </c>
      <c r="Q177" s="105">
        <v>255.57</v>
      </c>
      <c r="R177" s="105">
        <v>44.81</v>
      </c>
      <c r="S177" s="105">
        <v>31.23</v>
      </c>
      <c r="T177" s="105">
        <v>147.52000000000001</v>
      </c>
      <c r="U177" s="105">
        <v>78.209999999999994</v>
      </c>
      <c r="V177" s="105">
        <v>62.84</v>
      </c>
      <c r="W177" s="105">
        <v>73.099999999999994</v>
      </c>
      <c r="X177" s="105">
        <v>60.31</v>
      </c>
      <c r="Y177" s="105">
        <v>41.229558060999999</v>
      </c>
      <c r="Z177" s="105">
        <v>18.149999999999999</v>
      </c>
      <c r="AA177" s="105">
        <v>51.55</v>
      </c>
      <c r="AB177" s="105">
        <v>3.69</v>
      </c>
      <c r="AC177" s="105">
        <v>155</v>
      </c>
      <c r="AD177" s="105">
        <v>96.41</v>
      </c>
      <c r="AE177" s="105">
        <v>27.995000000000001</v>
      </c>
      <c r="AF177" s="105">
        <v>26.87</v>
      </c>
      <c r="AG177" s="105">
        <v>55.25</v>
      </c>
      <c r="AH177" s="105">
        <v>31.38</v>
      </c>
      <c r="AI177" s="105">
        <v>14.8475</v>
      </c>
      <c r="AJ177" s="105">
        <v>19.75</v>
      </c>
      <c r="AK177" s="105">
        <v>20.94</v>
      </c>
      <c r="AL177" s="105">
        <v>61.74</v>
      </c>
      <c r="AM177" s="105">
        <v>162.4</v>
      </c>
      <c r="AN177" s="105">
        <v>164.78</v>
      </c>
      <c r="AO177" s="105">
        <v>54.3</v>
      </c>
      <c r="AP177" s="105">
        <v>40.049999999999997</v>
      </c>
      <c r="AQ177" s="105">
        <v>92.35</v>
      </c>
      <c r="AR177" s="105">
        <v>39.378041199999998</v>
      </c>
      <c r="AS177" s="105">
        <v>43.05</v>
      </c>
      <c r="AT177" s="105">
        <v>61.99</v>
      </c>
      <c r="AU177" s="105">
        <v>241.52</v>
      </c>
      <c r="AV177" s="105">
        <v>113.87</v>
      </c>
      <c r="AW177" s="105">
        <v>90.17</v>
      </c>
      <c r="AX177" s="105">
        <v>15.06</v>
      </c>
      <c r="AY177" s="105">
        <v>23.278864800000001</v>
      </c>
      <c r="AZ177" s="105">
        <v>71.455978520000002</v>
      </c>
      <c r="BA177" s="105">
        <v>38.76970635</v>
      </c>
      <c r="BB177" s="105">
        <v>69.459999999999994</v>
      </c>
      <c r="BC177" s="105">
        <v>166.8</v>
      </c>
      <c r="BD177" s="105">
        <v>93.06</v>
      </c>
    </row>
    <row r="178" spans="3:56" x14ac:dyDescent="0.25">
      <c r="C178" s="38">
        <v>43125</v>
      </c>
      <c r="D178" s="105">
        <v>125.22</v>
      </c>
      <c r="E178" s="105">
        <v>110.55</v>
      </c>
      <c r="F178" s="105">
        <v>67.709999999999994</v>
      </c>
      <c r="G178" s="105">
        <v>51.6</v>
      </c>
      <c r="H178" s="105">
        <v>169.37</v>
      </c>
      <c r="I178" s="105">
        <v>187.48</v>
      </c>
      <c r="J178" s="105">
        <v>42.777500000000003</v>
      </c>
      <c r="K178" s="105">
        <v>1377.95</v>
      </c>
      <c r="L178" s="105">
        <v>269.7</v>
      </c>
      <c r="M178" s="105">
        <v>92.33</v>
      </c>
      <c r="N178" s="105">
        <v>1182.1400000000001</v>
      </c>
      <c r="O178" s="105">
        <v>111.23</v>
      </c>
      <c r="P178" s="105">
        <v>221.31</v>
      </c>
      <c r="Q178" s="105">
        <v>273.56</v>
      </c>
      <c r="R178" s="105">
        <v>46</v>
      </c>
      <c r="S178" s="105">
        <v>32.270000000000003</v>
      </c>
      <c r="T178" s="105">
        <v>145.5</v>
      </c>
      <c r="U178" s="105">
        <v>75.36</v>
      </c>
      <c r="V178" s="105">
        <v>68.47</v>
      </c>
      <c r="W178" s="105">
        <v>76.27</v>
      </c>
      <c r="X178" s="105">
        <v>60.19</v>
      </c>
      <c r="Y178" s="105">
        <v>40.124736085999999</v>
      </c>
      <c r="Z178" s="105">
        <v>18.8</v>
      </c>
      <c r="AA178" s="105">
        <v>51.15</v>
      </c>
      <c r="AB178" s="105">
        <v>3.69</v>
      </c>
      <c r="AC178" s="105">
        <v>168.25</v>
      </c>
      <c r="AD178" s="105">
        <v>96.35</v>
      </c>
      <c r="AE178" s="105">
        <v>29.305</v>
      </c>
      <c r="AF178" s="105">
        <v>26.69</v>
      </c>
      <c r="AG178" s="105">
        <v>57</v>
      </c>
      <c r="AH178" s="105">
        <v>32.880000000000003</v>
      </c>
      <c r="AI178" s="105">
        <v>15.6675</v>
      </c>
      <c r="AJ178" s="105">
        <v>19.25</v>
      </c>
      <c r="AK178" s="105">
        <v>20.69</v>
      </c>
      <c r="AL178" s="105">
        <v>62.41</v>
      </c>
      <c r="AM178" s="105">
        <v>165.47</v>
      </c>
      <c r="AN178" s="105">
        <v>165.55</v>
      </c>
      <c r="AO178" s="105">
        <v>54.29</v>
      </c>
      <c r="AP178" s="105">
        <v>39.630000000000003</v>
      </c>
      <c r="AQ178" s="105">
        <v>91.85</v>
      </c>
      <c r="AR178" s="105">
        <v>39.778065900000001</v>
      </c>
      <c r="AS178" s="105">
        <v>45.99</v>
      </c>
      <c r="AT178" s="105">
        <v>63.99</v>
      </c>
      <c r="AU178" s="105">
        <v>242.35</v>
      </c>
      <c r="AV178" s="105">
        <v>115.07</v>
      </c>
      <c r="AW178" s="105">
        <v>89.89</v>
      </c>
      <c r="AX178" s="105">
        <v>15.42</v>
      </c>
      <c r="AY178" s="105">
        <v>24.099903600000001</v>
      </c>
      <c r="AZ178" s="105">
        <v>70.832334360000004</v>
      </c>
      <c r="BA178" s="105">
        <v>39.742597349999997</v>
      </c>
      <c r="BB178" s="105">
        <v>70.959999999999994</v>
      </c>
      <c r="BC178" s="105">
        <v>156.19999999999999</v>
      </c>
      <c r="BD178" s="105">
        <v>95.03</v>
      </c>
    </row>
    <row r="179" spans="3:56" x14ac:dyDescent="0.25">
      <c r="C179" s="38">
        <v>43118</v>
      </c>
      <c r="D179" s="105">
        <v>123.11</v>
      </c>
      <c r="E179" s="105">
        <v>110.42</v>
      </c>
      <c r="F179" s="105">
        <v>64.11</v>
      </c>
      <c r="G179" s="105">
        <v>50.23</v>
      </c>
      <c r="H179" s="105">
        <v>168.83</v>
      </c>
      <c r="I179" s="105">
        <v>179.8</v>
      </c>
      <c r="J179" s="105">
        <v>44.814999999999998</v>
      </c>
      <c r="K179" s="105">
        <v>1293.32</v>
      </c>
      <c r="L179" s="105">
        <v>220.33</v>
      </c>
      <c r="M179" s="105">
        <v>90.1</v>
      </c>
      <c r="N179" s="105">
        <v>1135.97</v>
      </c>
      <c r="O179" s="105">
        <v>107.79</v>
      </c>
      <c r="P179" s="105">
        <v>217.29</v>
      </c>
      <c r="Q179" s="105">
        <v>270.7</v>
      </c>
      <c r="R179" s="105">
        <v>45.38</v>
      </c>
      <c r="S179" s="105">
        <v>31.61</v>
      </c>
      <c r="T179" s="105">
        <v>141.13</v>
      </c>
      <c r="U179" s="105">
        <v>73.73</v>
      </c>
      <c r="V179" s="105">
        <v>70.540000000000006</v>
      </c>
      <c r="W179" s="105">
        <v>74.69</v>
      </c>
      <c r="X179" s="105">
        <v>65.06</v>
      </c>
      <c r="Y179" s="105">
        <v>37.769495440999997</v>
      </c>
      <c r="Z179" s="105">
        <v>18.399999999999999</v>
      </c>
      <c r="AA179" s="105">
        <v>50.45</v>
      </c>
      <c r="AB179" s="105">
        <v>3.75</v>
      </c>
      <c r="AC179" s="105">
        <v>205.6</v>
      </c>
      <c r="AD179" s="105">
        <v>93.4</v>
      </c>
      <c r="AE179" s="105">
        <v>27.524999999999999</v>
      </c>
      <c r="AF179" s="105">
        <v>26.22</v>
      </c>
      <c r="AG179" s="105">
        <v>55.05</v>
      </c>
      <c r="AH179" s="105">
        <v>33.04</v>
      </c>
      <c r="AI179" s="105">
        <v>15.1625</v>
      </c>
      <c r="AJ179" s="105">
        <v>18.7</v>
      </c>
      <c r="AK179" s="105">
        <v>22.48</v>
      </c>
      <c r="AL179" s="105">
        <v>61.92</v>
      </c>
      <c r="AM179" s="105">
        <v>169.12</v>
      </c>
      <c r="AN179" s="105">
        <v>160.28</v>
      </c>
      <c r="AO179" s="105">
        <v>51.55</v>
      </c>
      <c r="AP179" s="105">
        <v>38.625</v>
      </c>
      <c r="AQ179" s="105">
        <v>91.43</v>
      </c>
      <c r="AR179" s="105">
        <v>38.285290799999999</v>
      </c>
      <c r="AS179" s="105">
        <v>46.51</v>
      </c>
      <c r="AT179" s="105">
        <v>62.22</v>
      </c>
      <c r="AU179" s="105">
        <v>232.12</v>
      </c>
      <c r="AV179" s="105">
        <v>112.9</v>
      </c>
      <c r="AW179" s="105">
        <v>89.12</v>
      </c>
      <c r="AX179" s="105">
        <v>15.1</v>
      </c>
      <c r="AY179" s="105">
        <v>22.989086400000001</v>
      </c>
      <c r="AZ179" s="105">
        <v>71.709333959999995</v>
      </c>
      <c r="BA179" s="105">
        <v>39.158862749999997</v>
      </c>
      <c r="BB179" s="105">
        <v>69.19</v>
      </c>
      <c r="BC179" s="105">
        <v>166.95</v>
      </c>
      <c r="BD179" s="105">
        <v>94.27</v>
      </c>
    </row>
    <row r="180" spans="3:56" x14ac:dyDescent="0.25">
      <c r="C180" s="38">
        <v>43111</v>
      </c>
      <c r="D180" s="105">
        <v>119.84</v>
      </c>
      <c r="E180" s="105">
        <v>110.99</v>
      </c>
      <c r="F180" s="105">
        <v>64.290000000000006</v>
      </c>
      <c r="G180" s="105">
        <v>48.95</v>
      </c>
      <c r="H180" s="105">
        <v>169.2</v>
      </c>
      <c r="I180" s="105">
        <v>187.77</v>
      </c>
      <c r="J180" s="105">
        <v>43.82</v>
      </c>
      <c r="K180" s="105">
        <v>1276.68</v>
      </c>
      <c r="L180" s="105">
        <v>217.24</v>
      </c>
      <c r="M180" s="105">
        <v>88.08</v>
      </c>
      <c r="N180" s="105">
        <v>1112.05</v>
      </c>
      <c r="O180" s="105">
        <v>110.09</v>
      </c>
      <c r="P180" s="105">
        <v>219.05</v>
      </c>
      <c r="Q180" s="105">
        <v>252.91</v>
      </c>
      <c r="R180" s="105">
        <v>45.52</v>
      </c>
      <c r="S180" s="105">
        <v>30.88</v>
      </c>
      <c r="T180" s="105">
        <v>139.43</v>
      </c>
      <c r="U180" s="105">
        <v>70.63</v>
      </c>
      <c r="V180" s="105">
        <v>69.569999999999993</v>
      </c>
      <c r="W180" s="105">
        <v>71.709999999999994</v>
      </c>
      <c r="X180" s="105">
        <v>64.84</v>
      </c>
      <c r="Y180" s="105">
        <v>37.897963111999999</v>
      </c>
      <c r="Z180" s="105">
        <v>18.7</v>
      </c>
      <c r="AA180" s="105">
        <v>50.35</v>
      </c>
      <c r="AB180" s="105">
        <v>3.97</v>
      </c>
      <c r="AC180" s="105">
        <v>197.8</v>
      </c>
      <c r="AD180" s="105">
        <v>94.82</v>
      </c>
      <c r="AE180" s="105">
        <v>29.197500000000002</v>
      </c>
      <c r="AF180" s="105">
        <v>27.07</v>
      </c>
      <c r="AG180" s="105">
        <v>54</v>
      </c>
      <c r="AH180" s="105">
        <v>32.57</v>
      </c>
      <c r="AI180" s="105">
        <v>15.8325</v>
      </c>
      <c r="AJ180" s="105">
        <v>18.8</v>
      </c>
      <c r="AK180" s="105">
        <v>22.34</v>
      </c>
      <c r="AL180" s="105">
        <v>62.32</v>
      </c>
      <c r="AM180" s="105">
        <v>164.2</v>
      </c>
      <c r="AN180" s="105">
        <v>158.6</v>
      </c>
      <c r="AO180" s="105">
        <v>52.11</v>
      </c>
      <c r="AP180" s="105">
        <v>38.44</v>
      </c>
      <c r="AQ180" s="105">
        <v>89.45</v>
      </c>
      <c r="AR180" s="105">
        <v>37.8950228</v>
      </c>
      <c r="AS180" s="105">
        <v>46.71</v>
      </c>
      <c r="AT180" s="105">
        <v>61.22</v>
      </c>
      <c r="AU180" s="105">
        <v>225.82</v>
      </c>
      <c r="AV180" s="105">
        <v>111.35</v>
      </c>
      <c r="AW180" s="105">
        <v>84.5</v>
      </c>
      <c r="AX180" s="105">
        <v>15.14</v>
      </c>
      <c r="AY180" s="105">
        <v>23.713532399999998</v>
      </c>
      <c r="AZ180" s="105">
        <v>71.251345279999995</v>
      </c>
      <c r="BA180" s="105">
        <v>38.915640000000003</v>
      </c>
      <c r="BB180" s="105">
        <v>69.28</v>
      </c>
      <c r="BC180" s="105">
        <v>163.15</v>
      </c>
      <c r="BD180" s="105">
        <v>95.79</v>
      </c>
    </row>
    <row r="181" spans="3:56" x14ac:dyDescent="0.25">
      <c r="C181" s="38">
        <v>43104</v>
      </c>
      <c r="D181" s="105">
        <v>116.08</v>
      </c>
      <c r="E181" s="105">
        <v>112.23</v>
      </c>
      <c r="F181" s="105">
        <v>63.44</v>
      </c>
      <c r="G181" s="105">
        <v>48.18</v>
      </c>
      <c r="H181" s="105">
        <v>159.44</v>
      </c>
      <c r="I181" s="105">
        <v>184.33</v>
      </c>
      <c r="J181" s="105">
        <v>43.2575</v>
      </c>
      <c r="K181" s="105">
        <v>1209.5899999999999</v>
      </c>
      <c r="L181" s="105">
        <v>205.63</v>
      </c>
      <c r="M181" s="105">
        <v>87.11</v>
      </c>
      <c r="N181" s="105">
        <v>1095.76</v>
      </c>
      <c r="O181" s="105">
        <v>112.42</v>
      </c>
      <c r="P181" s="105">
        <v>225.79</v>
      </c>
      <c r="Q181" s="105">
        <v>233.3</v>
      </c>
      <c r="R181" s="105">
        <v>47.12</v>
      </c>
      <c r="S181" s="105">
        <v>30.75</v>
      </c>
      <c r="T181" s="105">
        <v>135.69999999999999</v>
      </c>
      <c r="U181" s="105">
        <v>68.150000000000006</v>
      </c>
      <c r="V181" s="105">
        <v>66.95</v>
      </c>
      <c r="W181" s="105">
        <v>67.28</v>
      </c>
      <c r="X181" s="105">
        <v>64.7</v>
      </c>
      <c r="Y181" s="105">
        <v>34.900384109000001</v>
      </c>
      <c r="Z181" s="105">
        <v>18.7</v>
      </c>
      <c r="AA181" s="105">
        <v>48.25</v>
      </c>
      <c r="AB181" s="105">
        <v>3.89</v>
      </c>
      <c r="AC181" s="105">
        <v>176.5</v>
      </c>
      <c r="AD181" s="105">
        <v>91.35</v>
      </c>
      <c r="AE181" s="105">
        <v>27.33</v>
      </c>
      <c r="AF181" s="105">
        <v>26.82</v>
      </c>
      <c r="AG181" s="105">
        <v>52.1</v>
      </c>
      <c r="AH181" s="105">
        <v>30.72</v>
      </c>
      <c r="AI181" s="105">
        <v>15.74</v>
      </c>
      <c r="AJ181" s="105">
        <v>18.55</v>
      </c>
      <c r="AK181" s="105">
        <v>21.69</v>
      </c>
      <c r="AL181" s="105">
        <v>62.29</v>
      </c>
      <c r="AM181" s="105">
        <v>161.69999999999999</v>
      </c>
      <c r="AN181" s="105">
        <v>158.74</v>
      </c>
      <c r="AO181" s="105">
        <v>52.6</v>
      </c>
      <c r="AP181" s="105">
        <v>37.715000000000003</v>
      </c>
      <c r="AQ181" s="105">
        <v>87.95</v>
      </c>
      <c r="AR181" s="105">
        <v>37.329134199999999</v>
      </c>
      <c r="AS181" s="105">
        <v>44.31</v>
      </c>
      <c r="AT181" s="105">
        <v>60.84</v>
      </c>
      <c r="AU181" s="105">
        <v>220.99</v>
      </c>
      <c r="AV181" s="105">
        <v>108.86</v>
      </c>
      <c r="AW181" s="105">
        <v>83.11</v>
      </c>
      <c r="AX181" s="105">
        <v>15.08</v>
      </c>
      <c r="AY181" s="105">
        <v>22.989086400000001</v>
      </c>
      <c r="AZ181" s="105">
        <v>70.218434639999998</v>
      </c>
      <c r="BA181" s="105">
        <v>39.012929100000001</v>
      </c>
      <c r="BB181" s="105">
        <v>71.55</v>
      </c>
      <c r="BC181" s="105">
        <v>150.85</v>
      </c>
      <c r="BD181" s="105">
        <v>100.05</v>
      </c>
    </row>
    <row r="182" spans="3:56" x14ac:dyDescent="0.25">
      <c r="C182" s="38">
        <v>43097</v>
      </c>
      <c r="D182" s="105">
        <v>114.35</v>
      </c>
      <c r="E182" s="105">
        <v>107.77</v>
      </c>
      <c r="F182" s="105">
        <v>62.95</v>
      </c>
      <c r="G182" s="105">
        <v>47.52</v>
      </c>
      <c r="H182" s="105">
        <v>158.41999999999999</v>
      </c>
      <c r="I182" s="105">
        <v>177.92</v>
      </c>
      <c r="J182" s="105">
        <v>42.77</v>
      </c>
      <c r="K182" s="105">
        <v>1186.0999999999999</v>
      </c>
      <c r="L182" s="105">
        <v>192.71</v>
      </c>
      <c r="M182" s="105">
        <v>85.72</v>
      </c>
      <c r="N182" s="105">
        <v>1055.95</v>
      </c>
      <c r="O182" s="105">
        <v>114.36</v>
      </c>
      <c r="P182" s="105">
        <v>227.98</v>
      </c>
      <c r="Q182" s="105">
        <v>226.48</v>
      </c>
      <c r="R182" s="105">
        <v>48.08</v>
      </c>
      <c r="S182" s="105">
        <v>30.91</v>
      </c>
      <c r="T182" s="105">
        <v>136.57</v>
      </c>
      <c r="U182" s="105">
        <v>69.98</v>
      </c>
      <c r="V182" s="105">
        <v>63.82</v>
      </c>
      <c r="W182" s="105">
        <v>68.42</v>
      </c>
      <c r="X182" s="105">
        <v>65.87</v>
      </c>
      <c r="Y182" s="105">
        <v>33.958287851000001</v>
      </c>
      <c r="Z182" s="105">
        <v>18.75</v>
      </c>
      <c r="AA182" s="105">
        <v>47</v>
      </c>
      <c r="AB182" s="105">
        <v>3.97</v>
      </c>
      <c r="AC182" s="105">
        <v>174.8</v>
      </c>
      <c r="AD182" s="105">
        <v>91.37</v>
      </c>
      <c r="AE182" s="105">
        <v>27.4</v>
      </c>
      <c r="AF182" s="105">
        <v>25.56</v>
      </c>
      <c r="AG182" s="105">
        <v>53.6</v>
      </c>
      <c r="AH182" s="105">
        <v>29.12</v>
      </c>
      <c r="AI182" s="105">
        <v>15.945</v>
      </c>
      <c r="AJ182" s="105">
        <v>18.3</v>
      </c>
      <c r="AK182" s="105">
        <v>22.54</v>
      </c>
      <c r="AL182" s="105">
        <v>63.94</v>
      </c>
      <c r="AM182" s="105">
        <v>154.04</v>
      </c>
      <c r="AN182" s="105">
        <v>155.62</v>
      </c>
      <c r="AO182" s="105">
        <v>53.43</v>
      </c>
      <c r="AP182" s="105">
        <v>38.19</v>
      </c>
      <c r="AQ182" s="105">
        <v>82.29</v>
      </c>
      <c r="AR182" s="105">
        <v>36.5973817</v>
      </c>
      <c r="AS182" s="105">
        <v>41.86</v>
      </c>
      <c r="AT182" s="105">
        <v>61.06</v>
      </c>
      <c r="AU182" s="105">
        <v>214.32</v>
      </c>
      <c r="AV182" s="105">
        <v>108.07</v>
      </c>
      <c r="AW182" s="105">
        <v>80.75</v>
      </c>
      <c r="AX182" s="105">
        <v>14.25</v>
      </c>
      <c r="AY182" s="105">
        <v>23.327161199999999</v>
      </c>
      <c r="AZ182" s="105">
        <v>70.462045639999999</v>
      </c>
      <c r="BA182" s="105">
        <v>39.596663700000001</v>
      </c>
      <c r="BB182" s="105">
        <v>73.400000000000006</v>
      </c>
      <c r="BC182" s="105">
        <v>155.5</v>
      </c>
      <c r="BD182" s="105">
        <v>101.68</v>
      </c>
    </row>
    <row r="183" spans="3:56" x14ac:dyDescent="0.25">
      <c r="C183" s="38">
        <v>43090</v>
      </c>
      <c r="D183" s="105">
        <v>112.41</v>
      </c>
      <c r="E183" s="105">
        <v>109.57</v>
      </c>
      <c r="F183" s="105">
        <v>64.77</v>
      </c>
      <c r="G183" s="105">
        <v>47.28</v>
      </c>
      <c r="H183" s="105">
        <v>154.63999999999999</v>
      </c>
      <c r="I183" s="105">
        <v>177.45</v>
      </c>
      <c r="J183" s="105">
        <v>43.752499999999998</v>
      </c>
      <c r="K183" s="105">
        <v>1174.76</v>
      </c>
      <c r="L183" s="105">
        <v>188.62</v>
      </c>
      <c r="M183" s="105">
        <v>85.5</v>
      </c>
      <c r="N183" s="105">
        <v>1070.8499999999999</v>
      </c>
      <c r="O183" s="105">
        <v>114.66</v>
      </c>
      <c r="P183" s="105">
        <v>224.6</v>
      </c>
      <c r="Q183" s="105">
        <v>218.76</v>
      </c>
      <c r="R183" s="105">
        <v>48.39</v>
      </c>
      <c r="S183" s="105">
        <v>31.19</v>
      </c>
      <c r="T183" s="105">
        <v>133.94999999999999</v>
      </c>
      <c r="U183" s="105">
        <v>70.3</v>
      </c>
      <c r="V183" s="105">
        <v>63.75</v>
      </c>
      <c r="W183" s="105">
        <v>67.08</v>
      </c>
      <c r="X183" s="105">
        <v>66.03</v>
      </c>
      <c r="Y183" s="105">
        <v>33.709917019000002</v>
      </c>
      <c r="Z183" s="105">
        <v>20.100000000000001</v>
      </c>
      <c r="AA183" s="105">
        <v>47.35</v>
      </c>
      <c r="AB183" s="105">
        <v>4.0199999999999996</v>
      </c>
      <c r="AC183" s="105">
        <v>176.9</v>
      </c>
      <c r="AD183" s="105">
        <v>78.69</v>
      </c>
      <c r="AE183" s="105">
        <v>27.2775</v>
      </c>
      <c r="AF183" s="105">
        <v>25.24</v>
      </c>
      <c r="AG183" s="105">
        <v>52.7</v>
      </c>
      <c r="AH183" s="105">
        <v>30.1</v>
      </c>
      <c r="AI183" s="105">
        <v>16.077500000000001</v>
      </c>
      <c r="AJ183" s="105">
        <v>18.149999999999999</v>
      </c>
      <c r="AK183" s="105">
        <v>22.43</v>
      </c>
      <c r="AL183" s="105">
        <v>63.31</v>
      </c>
      <c r="AM183" s="105">
        <v>151.5</v>
      </c>
      <c r="AN183" s="105">
        <v>154.1</v>
      </c>
      <c r="AO183" s="105">
        <v>53.01</v>
      </c>
      <c r="AP183" s="105">
        <v>38.15</v>
      </c>
      <c r="AQ183" s="105">
        <v>83.91</v>
      </c>
      <c r="AR183" s="105">
        <v>35.836359100000003</v>
      </c>
      <c r="AS183" s="105">
        <v>41.96</v>
      </c>
      <c r="AT183" s="105">
        <v>60.59</v>
      </c>
      <c r="AU183" s="105">
        <v>217.78</v>
      </c>
      <c r="AV183" s="105">
        <v>108.47</v>
      </c>
      <c r="AW183" s="105">
        <v>81.66</v>
      </c>
      <c r="AX183" s="105">
        <v>14.19</v>
      </c>
      <c r="AY183" s="105">
        <v>22.7476044</v>
      </c>
      <c r="AZ183" s="105">
        <v>70.842078799999996</v>
      </c>
      <c r="BA183" s="105">
        <v>39.937175549999999</v>
      </c>
      <c r="BB183" s="105">
        <v>72.569999999999993</v>
      </c>
      <c r="BC183" s="105">
        <v>160.4</v>
      </c>
      <c r="BD183" s="105">
        <v>101.12</v>
      </c>
    </row>
    <row r="184" spans="3:56" x14ac:dyDescent="0.25">
      <c r="C184" s="38">
        <v>43083</v>
      </c>
      <c r="D184" s="105">
        <v>112.92</v>
      </c>
      <c r="E184" s="105">
        <v>110.57</v>
      </c>
      <c r="F184" s="105">
        <v>64.53</v>
      </c>
      <c r="G184" s="105">
        <v>50.19</v>
      </c>
      <c r="H184" s="105">
        <v>146.28</v>
      </c>
      <c r="I184" s="105">
        <v>178.39</v>
      </c>
      <c r="J184" s="105">
        <v>43.055</v>
      </c>
      <c r="K184" s="105">
        <v>1174.26</v>
      </c>
      <c r="L184" s="105">
        <v>189.56</v>
      </c>
      <c r="M184" s="105">
        <v>84.69</v>
      </c>
      <c r="N184" s="105">
        <v>1057.47</v>
      </c>
      <c r="O184" s="105">
        <v>113.36</v>
      </c>
      <c r="P184" s="105">
        <v>222.75</v>
      </c>
      <c r="Q184" s="105">
        <v>233.8</v>
      </c>
      <c r="R184" s="105">
        <v>50.39</v>
      </c>
      <c r="S184" s="105">
        <v>33.799999999999997</v>
      </c>
      <c r="T184" s="105">
        <v>127.72</v>
      </c>
      <c r="U184" s="105">
        <v>70.55</v>
      </c>
      <c r="V184" s="105">
        <v>61.14</v>
      </c>
      <c r="W184" s="105">
        <v>63.75</v>
      </c>
      <c r="X184" s="105">
        <v>63.85</v>
      </c>
      <c r="Y184" s="105">
        <v>35.576980513000002</v>
      </c>
      <c r="Z184" s="105">
        <v>18.95</v>
      </c>
      <c r="AA184" s="105">
        <v>48.4</v>
      </c>
      <c r="AB184" s="105">
        <v>4</v>
      </c>
      <c r="AC184" s="105">
        <v>170.5</v>
      </c>
      <c r="AD184" s="105">
        <v>76.13</v>
      </c>
      <c r="AE184" s="105">
        <v>26.827500000000001</v>
      </c>
      <c r="AF184" s="105">
        <v>24.9</v>
      </c>
      <c r="AG184" s="105">
        <v>48.8</v>
      </c>
      <c r="AH184" s="105">
        <v>29.2</v>
      </c>
      <c r="AI184" s="105">
        <v>15.445</v>
      </c>
      <c r="AJ184" s="105">
        <v>17.899999999999999</v>
      </c>
      <c r="AK184" s="105">
        <v>21.18</v>
      </c>
      <c r="AL184" s="105">
        <v>69.290000000000006</v>
      </c>
      <c r="AM184" s="105">
        <v>154</v>
      </c>
      <c r="AN184" s="105">
        <v>151.34</v>
      </c>
      <c r="AO184" s="105">
        <v>52.34</v>
      </c>
      <c r="AP184" s="105">
        <v>36.71</v>
      </c>
      <c r="AQ184" s="105">
        <v>81.19</v>
      </c>
      <c r="AR184" s="105">
        <v>35.026553</v>
      </c>
      <c r="AS184" s="105">
        <v>40.01</v>
      </c>
      <c r="AT184" s="105">
        <v>60.9</v>
      </c>
      <c r="AU184" s="105">
        <v>218.77</v>
      </c>
      <c r="AV184" s="105">
        <v>104.65</v>
      </c>
      <c r="AW184" s="105">
        <v>79.569999999999993</v>
      </c>
      <c r="AX184" s="105">
        <v>14.3</v>
      </c>
      <c r="AY184" s="105">
        <v>21.685083599999999</v>
      </c>
      <c r="AZ184" s="105">
        <v>70.325623480000004</v>
      </c>
      <c r="BA184" s="105">
        <v>38.866995449999997</v>
      </c>
      <c r="BB184" s="105">
        <v>75.77</v>
      </c>
      <c r="BC184" s="105">
        <v>147</v>
      </c>
      <c r="BD184" s="105">
        <v>97.79</v>
      </c>
    </row>
    <row r="185" spans="3:56" x14ac:dyDescent="0.25">
      <c r="C185" s="38">
        <v>43076</v>
      </c>
      <c r="D185" s="105">
        <v>111.4</v>
      </c>
      <c r="E185" s="105">
        <v>105.26</v>
      </c>
      <c r="F185" s="105">
        <v>60.6</v>
      </c>
      <c r="G185" s="105">
        <v>48.52</v>
      </c>
      <c r="H185" s="105">
        <v>142.88999999999999</v>
      </c>
      <c r="I185" s="105">
        <v>180.14</v>
      </c>
      <c r="J185" s="105">
        <v>42.33</v>
      </c>
      <c r="K185" s="105">
        <v>1159.79</v>
      </c>
      <c r="L185" s="105">
        <v>185.2</v>
      </c>
      <c r="M185" s="105">
        <v>82.49</v>
      </c>
      <c r="N185" s="105">
        <v>1044.57</v>
      </c>
      <c r="O185" s="105">
        <v>113.56</v>
      </c>
      <c r="P185" s="105">
        <v>216.85</v>
      </c>
      <c r="Q185" s="105">
        <v>241.38</v>
      </c>
      <c r="R185" s="105">
        <v>50.84</v>
      </c>
      <c r="S185" s="105">
        <v>35.020000000000003</v>
      </c>
      <c r="T185" s="105">
        <v>127.85</v>
      </c>
      <c r="U185" s="105">
        <v>69.599999999999994</v>
      </c>
      <c r="V185" s="105">
        <v>61.71</v>
      </c>
      <c r="W185" s="105">
        <v>61.49</v>
      </c>
      <c r="X185" s="105">
        <v>63.02</v>
      </c>
      <c r="Y185" s="105">
        <v>33.889771758999998</v>
      </c>
      <c r="Z185" s="105">
        <v>19</v>
      </c>
      <c r="AA185" s="105">
        <v>49</v>
      </c>
      <c r="AB185" s="105">
        <v>3.82</v>
      </c>
      <c r="AC185" s="105">
        <v>167.35</v>
      </c>
      <c r="AD185" s="105">
        <v>76.709999999999994</v>
      </c>
      <c r="AE185" s="105">
        <v>27.932500000000001</v>
      </c>
      <c r="AF185" s="105">
        <v>23.87</v>
      </c>
      <c r="AG185" s="105">
        <v>48.75</v>
      </c>
      <c r="AH185" s="105">
        <v>29.92</v>
      </c>
      <c r="AI185" s="105">
        <v>14.6875</v>
      </c>
      <c r="AJ185" s="105">
        <v>16.8</v>
      </c>
      <c r="AK185" s="105">
        <v>21.87</v>
      </c>
      <c r="AL185" s="105">
        <v>71.77</v>
      </c>
      <c r="AM185" s="105">
        <v>153.57</v>
      </c>
      <c r="AN185" s="105">
        <v>151.15</v>
      </c>
      <c r="AO185" s="105">
        <v>50.42</v>
      </c>
      <c r="AP185" s="105">
        <v>36.92</v>
      </c>
      <c r="AQ185" s="105">
        <v>80.55</v>
      </c>
      <c r="AR185" s="105">
        <v>35.046066400000001</v>
      </c>
      <c r="AS185" s="105">
        <v>37.369999999999997</v>
      </c>
      <c r="AT185" s="105">
        <v>60.91</v>
      </c>
      <c r="AU185" s="105">
        <v>217.81</v>
      </c>
      <c r="AV185" s="105">
        <v>107.31</v>
      </c>
      <c r="AW185" s="105">
        <v>78.27</v>
      </c>
      <c r="AX185" s="105">
        <v>13.81</v>
      </c>
      <c r="AY185" s="105">
        <v>22.457826000000001</v>
      </c>
      <c r="AZ185" s="105">
        <v>69.935845880000002</v>
      </c>
      <c r="BA185" s="105">
        <v>38.915640000000003</v>
      </c>
      <c r="BB185" s="105">
        <v>77.45</v>
      </c>
      <c r="BC185" s="105">
        <v>148</v>
      </c>
      <c r="BD185" s="105">
        <v>98.58</v>
      </c>
    </row>
    <row r="186" spans="3:56" x14ac:dyDescent="0.25">
      <c r="C186" s="38">
        <v>43069</v>
      </c>
      <c r="D186" s="105">
        <v>112.59</v>
      </c>
      <c r="E186" s="105">
        <v>104.82</v>
      </c>
      <c r="F186" s="105">
        <v>60.42</v>
      </c>
      <c r="G186" s="105">
        <v>49.06</v>
      </c>
      <c r="H186" s="105">
        <v>141.15</v>
      </c>
      <c r="I186" s="105">
        <v>177.18</v>
      </c>
      <c r="J186" s="105">
        <v>42.962499999999999</v>
      </c>
      <c r="K186" s="105">
        <v>1176.75</v>
      </c>
      <c r="L186" s="105">
        <v>187.58</v>
      </c>
      <c r="M186" s="105">
        <v>84.17</v>
      </c>
      <c r="N186" s="105">
        <v>1036.17</v>
      </c>
      <c r="O186" s="105">
        <v>110.93</v>
      </c>
      <c r="P186" s="105">
        <v>217.59</v>
      </c>
      <c r="Q186" s="105">
        <v>260.88</v>
      </c>
      <c r="R186" s="105">
        <v>51.61</v>
      </c>
      <c r="S186" s="105">
        <v>36.67</v>
      </c>
      <c r="T186" s="105">
        <v>127</v>
      </c>
      <c r="U186" s="105">
        <v>69.290000000000006</v>
      </c>
      <c r="V186" s="105">
        <v>62.78</v>
      </c>
      <c r="W186" s="105">
        <v>59.61</v>
      </c>
      <c r="X186" s="105">
        <v>60.67</v>
      </c>
      <c r="Y186" s="105">
        <v>33.564320324999997</v>
      </c>
      <c r="Z186" s="105">
        <v>19</v>
      </c>
      <c r="AA186" s="105">
        <v>50.45</v>
      </c>
      <c r="AB186" s="105">
        <v>4.0999999999999996</v>
      </c>
      <c r="AC186" s="105">
        <v>181</v>
      </c>
      <c r="AD186" s="105">
        <v>79.03</v>
      </c>
      <c r="AE186" s="105">
        <v>29.44</v>
      </c>
      <c r="AF186" s="105">
        <v>24.29</v>
      </c>
      <c r="AG186" s="105">
        <v>47.45</v>
      </c>
      <c r="AH186" s="105">
        <v>29.46</v>
      </c>
      <c r="AI186" s="105">
        <v>14.477499999999999</v>
      </c>
      <c r="AJ186" s="105">
        <v>16.3</v>
      </c>
      <c r="AK186" s="105">
        <v>21.47</v>
      </c>
      <c r="AL186" s="105">
        <v>81.27</v>
      </c>
      <c r="AM186" s="105">
        <v>153.97</v>
      </c>
      <c r="AN186" s="105">
        <v>156</v>
      </c>
      <c r="AO186" s="105">
        <v>50.89</v>
      </c>
      <c r="AP186" s="105">
        <v>37.774999999999999</v>
      </c>
      <c r="AQ186" s="105">
        <v>80.09</v>
      </c>
      <c r="AR186" s="105">
        <v>36.090033300000002</v>
      </c>
      <c r="AS186" s="105">
        <v>36.53</v>
      </c>
      <c r="AT186" s="105">
        <v>57.73</v>
      </c>
      <c r="AU186" s="105">
        <v>228.21</v>
      </c>
      <c r="AV186" s="105">
        <v>102.76</v>
      </c>
      <c r="AW186" s="105">
        <v>82</v>
      </c>
      <c r="AX186" s="105">
        <v>14.14</v>
      </c>
      <c r="AY186" s="105">
        <v>22.892493600000002</v>
      </c>
      <c r="AZ186" s="105">
        <v>68.971146320000003</v>
      </c>
      <c r="BA186" s="105">
        <v>39.402085499999998</v>
      </c>
      <c r="BB186" s="105">
        <v>79.25</v>
      </c>
      <c r="BC186" s="105">
        <v>152</v>
      </c>
      <c r="BD186" s="105">
        <v>100.87</v>
      </c>
    </row>
    <row r="187" spans="3:56" x14ac:dyDescent="0.25">
      <c r="C187" s="38">
        <v>43061</v>
      </c>
      <c r="D187" s="105">
        <v>110.82</v>
      </c>
      <c r="E187" s="105">
        <v>102.74</v>
      </c>
      <c r="F187" s="105">
        <v>59.07</v>
      </c>
      <c r="G187" s="105">
        <v>48.58</v>
      </c>
      <c r="H187" s="105">
        <v>138.01</v>
      </c>
      <c r="I187" s="105">
        <v>180.87</v>
      </c>
      <c r="J187" s="105">
        <v>43.74</v>
      </c>
      <c r="K187" s="105">
        <v>1156.1600000000001</v>
      </c>
      <c r="L187" s="105">
        <v>196.32</v>
      </c>
      <c r="M187" s="105">
        <v>83.11</v>
      </c>
      <c r="N187" s="105">
        <v>1051.92</v>
      </c>
      <c r="O187" s="105">
        <v>108.12</v>
      </c>
      <c r="P187" s="105">
        <v>220.45</v>
      </c>
      <c r="Q187" s="105">
        <v>254.38</v>
      </c>
      <c r="R187" s="105">
        <v>50.53</v>
      </c>
      <c r="S187" s="105">
        <v>36.06</v>
      </c>
      <c r="T187" s="105">
        <v>126.39</v>
      </c>
      <c r="U187" s="105">
        <v>67.7</v>
      </c>
      <c r="V187" s="105">
        <v>60.61</v>
      </c>
      <c r="W187" s="105">
        <v>56.49</v>
      </c>
      <c r="X187" s="105">
        <v>55.09</v>
      </c>
      <c r="Y187" s="105">
        <v>33.855513713999997</v>
      </c>
      <c r="Z187" s="105">
        <v>17.75</v>
      </c>
      <c r="AA187" s="105">
        <v>51.45</v>
      </c>
      <c r="AB187" s="105">
        <v>4.0599999999999996</v>
      </c>
      <c r="AC187" s="105">
        <v>189.6</v>
      </c>
      <c r="AD187" s="105">
        <v>76.650000000000006</v>
      </c>
      <c r="AE187" s="105">
        <v>27.887499999999999</v>
      </c>
      <c r="AF187" s="105">
        <v>23.89</v>
      </c>
      <c r="AG187" s="105">
        <v>46.85</v>
      </c>
      <c r="AH187" s="105">
        <v>28.38</v>
      </c>
      <c r="AI187" s="105">
        <v>14.407500000000001</v>
      </c>
      <c r="AJ187" s="105">
        <v>15.25</v>
      </c>
      <c r="AK187" s="105">
        <v>19.899999999999999</v>
      </c>
      <c r="AL187" s="105">
        <v>80.150000000000006</v>
      </c>
      <c r="AM187" s="105">
        <v>151.77000000000001</v>
      </c>
      <c r="AN187" s="105">
        <v>154.79</v>
      </c>
      <c r="AO187" s="105">
        <v>47.1</v>
      </c>
      <c r="AP187" s="105">
        <v>35.284999999999997</v>
      </c>
      <c r="AQ187" s="105">
        <v>83.53</v>
      </c>
      <c r="AR187" s="105">
        <v>35.816845700000002</v>
      </c>
      <c r="AS187" s="105">
        <v>37.28</v>
      </c>
      <c r="AT187" s="105">
        <v>54.9</v>
      </c>
      <c r="AU187" s="105">
        <v>224.23</v>
      </c>
      <c r="AV187" s="105">
        <v>99.77</v>
      </c>
      <c r="AW187" s="105">
        <v>84.78</v>
      </c>
      <c r="AX187" s="105">
        <v>14.19</v>
      </c>
      <c r="AY187" s="105">
        <v>22.6510116</v>
      </c>
      <c r="AZ187" s="105">
        <v>68.600857599999998</v>
      </c>
      <c r="BA187" s="105">
        <v>39.742597349999997</v>
      </c>
      <c r="BB187" s="105">
        <v>76.739999999999995</v>
      </c>
      <c r="BC187" s="105">
        <v>137.05000000000001</v>
      </c>
      <c r="BD187" s="105">
        <v>98.41</v>
      </c>
    </row>
    <row r="188" spans="3:56" x14ac:dyDescent="0.25">
      <c r="C188" s="38">
        <v>43055</v>
      </c>
      <c r="D188" s="105">
        <v>111.02</v>
      </c>
      <c r="E188" s="105">
        <v>103.6</v>
      </c>
      <c r="F188" s="105">
        <v>57.23</v>
      </c>
      <c r="G188" s="105">
        <v>49.2</v>
      </c>
      <c r="H188" s="105">
        <v>136.36000000000001</v>
      </c>
      <c r="I188" s="105">
        <v>179.59</v>
      </c>
      <c r="J188" s="105">
        <v>42.774999999999999</v>
      </c>
      <c r="K188" s="105">
        <v>1137.29</v>
      </c>
      <c r="L188" s="105">
        <v>195.51</v>
      </c>
      <c r="M188" s="105">
        <v>83.2</v>
      </c>
      <c r="N188" s="105">
        <v>1048.47</v>
      </c>
      <c r="O188" s="105">
        <v>109.7</v>
      </c>
      <c r="P188" s="105">
        <v>217.34</v>
      </c>
      <c r="Q188" s="105">
        <v>254.92</v>
      </c>
      <c r="R188" s="105">
        <v>51.18</v>
      </c>
      <c r="S188" s="105">
        <v>36.22</v>
      </c>
      <c r="T188" s="105">
        <v>124.38</v>
      </c>
      <c r="U188" s="105">
        <v>66.680000000000007</v>
      </c>
      <c r="V188" s="105">
        <v>58.09</v>
      </c>
      <c r="W188" s="105">
        <v>55.25</v>
      </c>
      <c r="X188" s="105">
        <v>55.27</v>
      </c>
      <c r="Y188" s="105">
        <v>33.367336561999998</v>
      </c>
      <c r="Z188" s="105">
        <v>18.2</v>
      </c>
      <c r="AA188" s="105">
        <v>52.35</v>
      </c>
      <c r="AB188" s="105">
        <v>3.9</v>
      </c>
      <c r="AC188" s="105">
        <v>179.25</v>
      </c>
      <c r="AD188" s="105">
        <v>74.19</v>
      </c>
      <c r="AE188" s="105">
        <v>26.9175</v>
      </c>
      <c r="AF188" s="105">
        <v>22.48</v>
      </c>
      <c r="AG188" s="105">
        <v>44.9</v>
      </c>
      <c r="AH188" s="105">
        <v>27.97</v>
      </c>
      <c r="AI188" s="105">
        <v>13.984999999999999</v>
      </c>
      <c r="AJ188" s="105">
        <v>15.65</v>
      </c>
      <c r="AK188" s="105">
        <v>20.260000000000002</v>
      </c>
      <c r="AL188" s="105">
        <v>81.75</v>
      </c>
      <c r="AM188" s="105">
        <v>149.12</v>
      </c>
      <c r="AN188" s="105">
        <v>156.47999999999999</v>
      </c>
      <c r="AO188" s="105">
        <v>44.77</v>
      </c>
      <c r="AP188" s="105">
        <v>34.53</v>
      </c>
      <c r="AQ188" s="105">
        <v>69.3</v>
      </c>
      <c r="AR188" s="105">
        <v>35.211930299999999</v>
      </c>
      <c r="AS188" s="105">
        <v>37.5</v>
      </c>
      <c r="AT188" s="105">
        <v>54.48</v>
      </c>
      <c r="AU188" s="105">
        <v>221.52</v>
      </c>
      <c r="AV188" s="105">
        <v>94.63</v>
      </c>
      <c r="AW188" s="105">
        <v>81.430000000000007</v>
      </c>
      <c r="AX188" s="105">
        <v>13.58</v>
      </c>
      <c r="AY188" s="105">
        <v>21.057230400000002</v>
      </c>
      <c r="AZ188" s="105">
        <v>65.726247799999996</v>
      </c>
      <c r="BA188" s="105">
        <v>38.575128149999998</v>
      </c>
      <c r="BB188" s="105">
        <v>77.53</v>
      </c>
      <c r="BC188" s="105">
        <v>137.55000000000001</v>
      </c>
      <c r="BD188" s="105">
        <v>97.5</v>
      </c>
    </row>
    <row r="189" spans="3:56" x14ac:dyDescent="0.25">
      <c r="C189" s="38">
        <v>43048</v>
      </c>
      <c r="D189" s="105">
        <v>112.14</v>
      </c>
      <c r="E189" s="105">
        <v>102.68</v>
      </c>
      <c r="F189" s="105">
        <v>56.13</v>
      </c>
      <c r="G189" s="105">
        <v>49.24</v>
      </c>
      <c r="H189" s="105">
        <v>135.34</v>
      </c>
      <c r="I189" s="105">
        <v>179.3</v>
      </c>
      <c r="J189" s="105">
        <v>43.97</v>
      </c>
      <c r="K189" s="105">
        <v>1129.1300000000001</v>
      </c>
      <c r="L189" s="105">
        <v>193.9</v>
      </c>
      <c r="M189" s="105">
        <v>84.09</v>
      </c>
      <c r="N189" s="105">
        <v>1047.72</v>
      </c>
      <c r="O189" s="105">
        <v>107.77</v>
      </c>
      <c r="P189" s="105">
        <v>218.13</v>
      </c>
      <c r="Q189" s="105">
        <v>249.63</v>
      </c>
      <c r="R189" s="105">
        <v>50.51</v>
      </c>
      <c r="S189" s="105">
        <v>36.76</v>
      </c>
      <c r="T189" s="105">
        <v>118.81</v>
      </c>
      <c r="U189" s="105">
        <v>67.42</v>
      </c>
      <c r="V189" s="105">
        <v>58.93</v>
      </c>
      <c r="W189" s="105">
        <v>55.93</v>
      </c>
      <c r="X189" s="105">
        <v>53.46</v>
      </c>
      <c r="Y189" s="105">
        <v>32.382417746000002</v>
      </c>
      <c r="Z189" s="105">
        <v>17</v>
      </c>
      <c r="AA189" s="105">
        <v>51.85</v>
      </c>
      <c r="AB189" s="105">
        <v>3.9</v>
      </c>
      <c r="AC189" s="105">
        <v>169.6</v>
      </c>
      <c r="AD189" s="105">
        <v>71.06</v>
      </c>
      <c r="AE189" s="105">
        <v>25.622499999999999</v>
      </c>
      <c r="AF189" s="105">
        <v>22.5</v>
      </c>
      <c r="AG189" s="105">
        <v>43.55</v>
      </c>
      <c r="AH189" s="105">
        <v>26.49</v>
      </c>
      <c r="AI189" s="105">
        <v>13.272500000000001</v>
      </c>
      <c r="AJ189" s="105">
        <v>16.45</v>
      </c>
      <c r="AK189" s="105">
        <v>18.829999999999998</v>
      </c>
      <c r="AL189" s="105">
        <v>80.34</v>
      </c>
      <c r="AM189" s="105">
        <v>150.30000000000001</v>
      </c>
      <c r="AN189" s="105">
        <v>156.62</v>
      </c>
      <c r="AO189" s="105">
        <v>45.07</v>
      </c>
      <c r="AP189" s="105">
        <v>34.625</v>
      </c>
      <c r="AQ189" s="105">
        <v>70.78</v>
      </c>
      <c r="AR189" s="105">
        <v>35.007039599999999</v>
      </c>
      <c r="AS189" s="105">
        <v>38.08</v>
      </c>
      <c r="AT189" s="105">
        <v>54.02</v>
      </c>
      <c r="AU189" s="105">
        <v>224.48</v>
      </c>
      <c r="AV189" s="105">
        <v>94.38</v>
      </c>
      <c r="AW189" s="105">
        <v>78.48</v>
      </c>
      <c r="AX189" s="105">
        <v>14.25</v>
      </c>
      <c r="AY189" s="105">
        <v>20.574266399999999</v>
      </c>
      <c r="AZ189" s="105">
        <v>65.628803399999995</v>
      </c>
      <c r="BA189" s="105">
        <v>38.575128149999998</v>
      </c>
      <c r="BB189" s="105">
        <v>76.75</v>
      </c>
      <c r="BC189" s="105">
        <v>126.85</v>
      </c>
      <c r="BD189" s="105">
        <v>98.71</v>
      </c>
    </row>
    <row r="190" spans="3:56" x14ac:dyDescent="0.25">
      <c r="C190" s="38">
        <v>43041</v>
      </c>
      <c r="D190" s="105">
        <v>110.98</v>
      </c>
      <c r="E190" s="105">
        <v>98.35</v>
      </c>
      <c r="F190" s="105">
        <v>55.12</v>
      </c>
      <c r="G190" s="105">
        <v>50.28</v>
      </c>
      <c r="H190" s="105">
        <v>136.47</v>
      </c>
      <c r="I190" s="105">
        <v>178.92</v>
      </c>
      <c r="J190" s="105">
        <v>42.027500000000003</v>
      </c>
      <c r="K190" s="105">
        <v>1094.22</v>
      </c>
      <c r="L190" s="105">
        <v>199.32</v>
      </c>
      <c r="M190" s="105">
        <v>84.05</v>
      </c>
      <c r="N190" s="105">
        <v>1042.97</v>
      </c>
      <c r="O190" s="105">
        <v>106.59</v>
      </c>
      <c r="P190" s="105">
        <v>214.32</v>
      </c>
      <c r="Q190" s="105">
        <v>233.47</v>
      </c>
      <c r="R190" s="105">
        <v>49.26</v>
      </c>
      <c r="S190" s="105">
        <v>36.9</v>
      </c>
      <c r="T190" s="105">
        <v>119.64</v>
      </c>
      <c r="U190" s="105">
        <v>64.900000000000006</v>
      </c>
      <c r="V190" s="105">
        <v>54.160765400000003</v>
      </c>
      <c r="W190" s="105">
        <v>57.34</v>
      </c>
      <c r="X190" s="105">
        <v>53.99</v>
      </c>
      <c r="Y190" s="105">
        <v>27.569162318</v>
      </c>
      <c r="Z190" s="105">
        <v>15.6</v>
      </c>
      <c r="AA190" s="105">
        <v>57.35</v>
      </c>
      <c r="AB190" s="105">
        <v>3.88</v>
      </c>
      <c r="AC190" s="105">
        <v>144.35</v>
      </c>
      <c r="AD190" s="105">
        <v>71.56</v>
      </c>
      <c r="AE190" s="105">
        <v>26.84</v>
      </c>
      <c r="AF190" s="105">
        <v>22.47</v>
      </c>
      <c r="AG190" s="105">
        <v>44.65</v>
      </c>
      <c r="AH190" s="105">
        <v>24.67</v>
      </c>
      <c r="AI190" s="105">
        <v>13.755000000000001</v>
      </c>
      <c r="AJ190" s="105">
        <v>13.85</v>
      </c>
      <c r="AK190" s="105">
        <v>18.920000000000002</v>
      </c>
      <c r="AL190" s="105">
        <v>79.069999999999993</v>
      </c>
      <c r="AM190" s="105">
        <v>153.35</v>
      </c>
      <c r="AN190" s="105">
        <v>155.02000000000001</v>
      </c>
      <c r="AO190" s="105">
        <v>47.46</v>
      </c>
      <c r="AP190" s="105">
        <v>35.104999999999997</v>
      </c>
      <c r="AQ190" s="105">
        <v>66.55</v>
      </c>
      <c r="AR190" s="105">
        <v>35.592441600000001</v>
      </c>
      <c r="AS190" s="105">
        <v>35.340000000000003</v>
      </c>
      <c r="AT190" s="105">
        <v>55.84</v>
      </c>
      <c r="AU190" s="105">
        <v>224.02</v>
      </c>
      <c r="AV190" s="105">
        <v>92.55</v>
      </c>
      <c r="AW190" s="105">
        <v>79.27</v>
      </c>
      <c r="AX190" s="105">
        <v>14.685</v>
      </c>
      <c r="AY190" s="105">
        <v>19.704931200000001</v>
      </c>
      <c r="AZ190" s="105">
        <v>67.226891559999999</v>
      </c>
      <c r="BA190" s="105">
        <v>40.229042849999999</v>
      </c>
      <c r="BB190" s="105">
        <v>76.400000000000006</v>
      </c>
      <c r="BC190" s="105">
        <v>133.65</v>
      </c>
      <c r="BD190" s="105">
        <v>100.21</v>
      </c>
    </row>
    <row r="191" spans="3:56" x14ac:dyDescent="0.25">
      <c r="C191" s="38">
        <v>43034</v>
      </c>
      <c r="D191" s="105">
        <v>109.8</v>
      </c>
      <c r="E191" s="105">
        <v>98.56</v>
      </c>
      <c r="F191" s="105">
        <v>56.81</v>
      </c>
      <c r="G191" s="105">
        <v>50.15</v>
      </c>
      <c r="H191" s="105">
        <v>136.94</v>
      </c>
      <c r="I191" s="105">
        <v>170.63</v>
      </c>
      <c r="J191" s="105">
        <v>39.352499999999999</v>
      </c>
      <c r="K191" s="105">
        <v>972.43</v>
      </c>
      <c r="L191" s="105">
        <v>195.21</v>
      </c>
      <c r="M191" s="105">
        <v>78.760000000000005</v>
      </c>
      <c r="N191" s="105">
        <v>991.42</v>
      </c>
      <c r="O191" s="105">
        <v>102.87</v>
      </c>
      <c r="P191" s="105">
        <v>211.74</v>
      </c>
      <c r="Q191" s="105">
        <v>202.98</v>
      </c>
      <c r="R191" s="105">
        <v>49.05</v>
      </c>
      <c r="S191" s="105">
        <v>37.69</v>
      </c>
      <c r="T191" s="105">
        <v>118.81</v>
      </c>
      <c r="U191" s="105">
        <v>62.58</v>
      </c>
      <c r="V191" s="105">
        <v>57.463490839999999</v>
      </c>
      <c r="W191" s="105">
        <v>55.95</v>
      </c>
      <c r="X191" s="105">
        <v>55.11</v>
      </c>
      <c r="Y191" s="105">
        <v>28.040210447</v>
      </c>
      <c r="Z191" s="105">
        <v>16.149999999999999</v>
      </c>
      <c r="AA191" s="105">
        <v>57.6</v>
      </c>
      <c r="AB191" s="105">
        <v>3.73</v>
      </c>
      <c r="AC191" s="105">
        <v>133.55000000000001</v>
      </c>
      <c r="AD191" s="105">
        <v>69.14</v>
      </c>
      <c r="AE191" s="105">
        <v>22.184999999999999</v>
      </c>
      <c r="AF191" s="105">
        <v>21.16</v>
      </c>
      <c r="AG191" s="105">
        <v>46.45</v>
      </c>
      <c r="AH191" s="105">
        <v>26.77</v>
      </c>
      <c r="AI191" s="105">
        <v>16.5975</v>
      </c>
      <c r="AJ191" s="105">
        <v>14.75</v>
      </c>
      <c r="AK191" s="105">
        <v>19.59</v>
      </c>
      <c r="AL191" s="105">
        <v>78.73</v>
      </c>
      <c r="AM191" s="105">
        <v>153.6</v>
      </c>
      <c r="AN191" s="105">
        <v>148.82</v>
      </c>
      <c r="AO191" s="105">
        <v>48.89</v>
      </c>
      <c r="AP191" s="105">
        <v>35.734999999999999</v>
      </c>
      <c r="AQ191" s="105">
        <v>66.67</v>
      </c>
      <c r="AR191" s="105">
        <v>34.938742699999999</v>
      </c>
      <c r="AS191" s="105">
        <v>38.57</v>
      </c>
      <c r="AT191" s="105">
        <v>54.86</v>
      </c>
      <c r="AU191" s="105">
        <v>209.84</v>
      </c>
      <c r="AV191" s="105">
        <v>93.23</v>
      </c>
      <c r="AW191" s="105">
        <v>80.98</v>
      </c>
      <c r="AX191" s="105">
        <v>16.63</v>
      </c>
      <c r="AY191" s="105">
        <v>18.0628536</v>
      </c>
      <c r="AZ191" s="105">
        <v>69.351179479999999</v>
      </c>
      <c r="BA191" s="105">
        <v>41.0560002</v>
      </c>
      <c r="BB191" s="105">
        <v>75.27</v>
      </c>
      <c r="BC191" s="105">
        <v>141.35</v>
      </c>
      <c r="BD191" s="105">
        <v>100.43</v>
      </c>
    </row>
    <row r="192" spans="3:56" x14ac:dyDescent="0.25">
      <c r="C192" s="38">
        <v>43027</v>
      </c>
      <c r="D192" s="105">
        <v>107.02</v>
      </c>
      <c r="E192" s="105">
        <v>99.01</v>
      </c>
      <c r="F192" s="105">
        <v>52.69</v>
      </c>
      <c r="G192" s="105">
        <v>49.35</v>
      </c>
      <c r="H192" s="105">
        <v>131.55000000000001</v>
      </c>
      <c r="I192" s="105">
        <v>174.56</v>
      </c>
      <c r="J192" s="105">
        <v>38.994999999999997</v>
      </c>
      <c r="K192" s="105">
        <v>986.61</v>
      </c>
      <c r="L192" s="105">
        <v>195.13</v>
      </c>
      <c r="M192" s="105">
        <v>77.91</v>
      </c>
      <c r="N192" s="105">
        <v>1001.84</v>
      </c>
      <c r="O192" s="105">
        <v>109.35</v>
      </c>
      <c r="P192" s="105">
        <v>211.98</v>
      </c>
      <c r="Q192" s="105">
        <v>196.85</v>
      </c>
      <c r="R192" s="105">
        <v>49.25</v>
      </c>
      <c r="S192" s="105">
        <v>37.81</v>
      </c>
      <c r="T192" s="105">
        <v>115.2</v>
      </c>
      <c r="U192" s="105">
        <v>62.34</v>
      </c>
      <c r="V192" s="105">
        <v>55.782639500000002</v>
      </c>
      <c r="W192" s="105">
        <v>55.46</v>
      </c>
      <c r="X192" s="105">
        <v>58.63</v>
      </c>
      <c r="Y192" s="105">
        <v>28.391355416</v>
      </c>
      <c r="Z192" s="105">
        <v>15.75</v>
      </c>
      <c r="AA192" s="105">
        <v>59.3</v>
      </c>
      <c r="AB192" s="105">
        <v>3.92</v>
      </c>
      <c r="AC192" s="105">
        <v>135.94999999999999</v>
      </c>
      <c r="AD192" s="105">
        <v>65.75</v>
      </c>
      <c r="AE192" s="105">
        <v>21.782499999999999</v>
      </c>
      <c r="AF192" s="105">
        <v>21.1</v>
      </c>
      <c r="AG192" s="105">
        <v>44.4</v>
      </c>
      <c r="AH192" s="105">
        <v>26</v>
      </c>
      <c r="AI192" s="105">
        <v>16.692499999999999</v>
      </c>
      <c r="AJ192" s="105">
        <v>14.35</v>
      </c>
      <c r="AK192" s="105">
        <v>20.34</v>
      </c>
      <c r="AL192" s="105">
        <v>79.47</v>
      </c>
      <c r="AM192" s="105">
        <v>160.9</v>
      </c>
      <c r="AN192" s="105">
        <v>149.32</v>
      </c>
      <c r="AO192" s="105">
        <v>49.21</v>
      </c>
      <c r="AP192" s="105">
        <v>35.704999999999998</v>
      </c>
      <c r="AQ192" s="105">
        <v>63.58</v>
      </c>
      <c r="AR192" s="105">
        <v>36.919352799999999</v>
      </c>
      <c r="AS192" s="105">
        <v>38.29</v>
      </c>
      <c r="AT192" s="105">
        <v>54.74</v>
      </c>
      <c r="AU192" s="105">
        <v>209.36</v>
      </c>
      <c r="AV192" s="105">
        <v>91.41</v>
      </c>
      <c r="AW192" s="105">
        <v>79.239999999999995</v>
      </c>
      <c r="AX192" s="105">
        <v>16.82</v>
      </c>
      <c r="AY192" s="105">
        <v>17.579889600000001</v>
      </c>
      <c r="AZ192" s="105">
        <v>69.906612559999999</v>
      </c>
      <c r="BA192" s="105">
        <v>41.493801150000003</v>
      </c>
      <c r="BB192" s="105">
        <v>75.31</v>
      </c>
      <c r="BC192" s="105">
        <v>138.65</v>
      </c>
      <c r="BD192" s="105">
        <v>101.14</v>
      </c>
    </row>
    <row r="193" spans="3:56" x14ac:dyDescent="0.25">
      <c r="C193" s="38">
        <v>43020</v>
      </c>
      <c r="D193" s="105">
        <v>108.11</v>
      </c>
      <c r="E193" s="105">
        <v>96.93</v>
      </c>
      <c r="F193" s="105">
        <v>50.83</v>
      </c>
      <c r="G193" s="105">
        <v>48.23</v>
      </c>
      <c r="H193" s="105">
        <v>129.99</v>
      </c>
      <c r="I193" s="105">
        <v>172.55</v>
      </c>
      <c r="J193" s="105">
        <v>39</v>
      </c>
      <c r="K193" s="105">
        <v>1000.93</v>
      </c>
      <c r="L193" s="105">
        <v>195.86</v>
      </c>
      <c r="M193" s="105">
        <v>77.12</v>
      </c>
      <c r="N193" s="105">
        <v>1005.65</v>
      </c>
      <c r="O193" s="105">
        <v>109.97</v>
      </c>
      <c r="P193" s="105">
        <v>207.4</v>
      </c>
      <c r="Q193" s="105">
        <v>192.38</v>
      </c>
      <c r="R193" s="105">
        <v>48.76</v>
      </c>
      <c r="S193" s="105">
        <v>38.369999999999997</v>
      </c>
      <c r="T193" s="105">
        <v>114.46</v>
      </c>
      <c r="U193" s="105">
        <v>61.68</v>
      </c>
      <c r="V193" s="105">
        <v>55.094571700000003</v>
      </c>
      <c r="W193" s="105">
        <v>55.13</v>
      </c>
      <c r="X193" s="105">
        <v>58.81</v>
      </c>
      <c r="Y193" s="105">
        <v>28.031645936</v>
      </c>
      <c r="Z193" s="105">
        <v>16.5</v>
      </c>
      <c r="AA193" s="105">
        <v>60.3</v>
      </c>
      <c r="AB193" s="105">
        <v>3.74</v>
      </c>
      <c r="AC193" s="105">
        <v>134.6</v>
      </c>
      <c r="AD193" s="105">
        <v>68.12</v>
      </c>
      <c r="AE193" s="105">
        <v>21.83</v>
      </c>
      <c r="AF193" s="105">
        <v>21.23</v>
      </c>
      <c r="AG193" s="105">
        <v>45.2</v>
      </c>
      <c r="AH193" s="105">
        <v>24.96</v>
      </c>
      <c r="AI193" s="105">
        <v>16.012499999999999</v>
      </c>
      <c r="AJ193" s="105">
        <v>16.850000000000001</v>
      </c>
      <c r="AK193" s="105">
        <v>20.34</v>
      </c>
      <c r="AL193" s="105">
        <v>79.66</v>
      </c>
      <c r="AM193" s="105">
        <v>147.03</v>
      </c>
      <c r="AN193" s="105">
        <v>146.56</v>
      </c>
      <c r="AO193" s="105">
        <v>48.35</v>
      </c>
      <c r="AP193" s="105">
        <v>35.89</v>
      </c>
      <c r="AQ193" s="105">
        <v>63.49</v>
      </c>
      <c r="AR193" s="105">
        <v>37.455971300000002</v>
      </c>
      <c r="AS193" s="105">
        <v>37.76</v>
      </c>
      <c r="AT193" s="105">
        <v>54.28</v>
      </c>
      <c r="AU193" s="105">
        <v>198.83</v>
      </c>
      <c r="AV193" s="105">
        <v>91.37</v>
      </c>
      <c r="AW193" s="105">
        <v>79.25</v>
      </c>
      <c r="AX193" s="105">
        <v>17.260000000000002</v>
      </c>
      <c r="AY193" s="105">
        <v>18.9804852</v>
      </c>
      <c r="AZ193" s="105">
        <v>72.742244600000006</v>
      </c>
      <c r="BA193" s="105">
        <v>42.126180300000001</v>
      </c>
      <c r="BB193" s="105">
        <v>75.08</v>
      </c>
      <c r="BC193" s="105">
        <v>141.1</v>
      </c>
      <c r="BD193" s="105">
        <v>95.95</v>
      </c>
    </row>
    <row r="194" spans="3:56" x14ac:dyDescent="0.25">
      <c r="C194" s="38">
        <v>43013</v>
      </c>
      <c r="D194" s="105">
        <v>106.24</v>
      </c>
      <c r="E194" s="105">
        <v>100.11</v>
      </c>
      <c r="F194" s="105">
        <v>52.18</v>
      </c>
      <c r="G194" s="105">
        <v>48.91</v>
      </c>
      <c r="H194" s="105">
        <v>126.4</v>
      </c>
      <c r="I194" s="105">
        <v>171.24</v>
      </c>
      <c r="J194" s="105">
        <v>38.847499999999997</v>
      </c>
      <c r="K194" s="105">
        <v>980.85</v>
      </c>
      <c r="L194" s="105">
        <v>194.39</v>
      </c>
      <c r="M194" s="105">
        <v>75.97</v>
      </c>
      <c r="N194" s="105">
        <v>985.19</v>
      </c>
      <c r="O194" s="105">
        <v>108.92</v>
      </c>
      <c r="P194" s="105">
        <v>209.25</v>
      </c>
      <c r="Q194" s="105">
        <v>186.61</v>
      </c>
      <c r="R194" s="105">
        <v>47.58</v>
      </c>
      <c r="S194" s="105">
        <v>37.299999999999997</v>
      </c>
      <c r="T194" s="105">
        <v>111.27</v>
      </c>
      <c r="U194" s="105">
        <v>65.040000000000006</v>
      </c>
      <c r="V194" s="105">
        <v>55.11423078</v>
      </c>
      <c r="W194" s="105">
        <v>57.49</v>
      </c>
      <c r="X194" s="105">
        <v>58.29</v>
      </c>
      <c r="Y194" s="105">
        <v>28.468436018999999</v>
      </c>
      <c r="Z194" s="105">
        <v>15.3</v>
      </c>
      <c r="AA194" s="105">
        <v>59.2</v>
      </c>
      <c r="AB194" s="105">
        <v>3.82</v>
      </c>
      <c r="AC194" s="105">
        <v>127.2</v>
      </c>
      <c r="AD194" s="105">
        <v>66.22</v>
      </c>
      <c r="AE194" s="105">
        <v>21.75</v>
      </c>
      <c r="AF194" s="105">
        <v>21.64</v>
      </c>
      <c r="AG194" s="105">
        <v>46.6</v>
      </c>
      <c r="AH194" s="105">
        <v>27.47</v>
      </c>
      <c r="AI194" s="105">
        <v>16.447500000000002</v>
      </c>
      <c r="AJ194" s="105">
        <v>16.95</v>
      </c>
      <c r="AK194" s="105">
        <v>19.29</v>
      </c>
      <c r="AL194" s="105">
        <v>77.680000000000007</v>
      </c>
      <c r="AM194" s="105">
        <v>146.72</v>
      </c>
      <c r="AN194" s="105">
        <v>148.31</v>
      </c>
      <c r="AO194" s="105">
        <v>49.77</v>
      </c>
      <c r="AP194" s="105">
        <v>36.905000000000001</v>
      </c>
      <c r="AQ194" s="105">
        <v>66.430000000000007</v>
      </c>
      <c r="AR194" s="105">
        <v>37.026676500000001</v>
      </c>
      <c r="AS194" s="105">
        <v>37.92</v>
      </c>
      <c r="AT194" s="105">
        <v>54.29</v>
      </c>
      <c r="AU194" s="105">
        <v>197.25</v>
      </c>
      <c r="AV194" s="105">
        <v>89.15</v>
      </c>
      <c r="AW194" s="105">
        <v>76.03</v>
      </c>
      <c r="AX194" s="105">
        <v>17.829999999999998</v>
      </c>
      <c r="AY194" s="105">
        <v>19.318560000000002</v>
      </c>
      <c r="AZ194" s="105">
        <v>73.365888760000004</v>
      </c>
      <c r="BA194" s="105">
        <v>41.201933850000003</v>
      </c>
      <c r="BB194" s="105">
        <v>74.31</v>
      </c>
      <c r="BC194" s="105">
        <v>131.30000000000001</v>
      </c>
      <c r="BD194" s="105">
        <v>95.49</v>
      </c>
    </row>
    <row r="195" spans="3:56" x14ac:dyDescent="0.25">
      <c r="C195" s="38">
        <v>43006</v>
      </c>
      <c r="D195" s="105">
        <v>104.58</v>
      </c>
      <c r="E195" s="105">
        <v>98.05</v>
      </c>
      <c r="F195" s="105">
        <v>52.63</v>
      </c>
      <c r="G195" s="105">
        <v>48.08</v>
      </c>
      <c r="H195" s="105">
        <v>125.23</v>
      </c>
      <c r="I195" s="105">
        <v>168.73</v>
      </c>
      <c r="J195" s="105">
        <v>38.32</v>
      </c>
      <c r="K195" s="105">
        <v>956.4</v>
      </c>
      <c r="L195" s="105">
        <v>180.7</v>
      </c>
      <c r="M195" s="105">
        <v>73.87</v>
      </c>
      <c r="N195" s="105">
        <v>964.81</v>
      </c>
      <c r="O195" s="105">
        <v>107.82</v>
      </c>
      <c r="P195" s="105">
        <v>199.3</v>
      </c>
      <c r="Q195" s="105">
        <v>183.04</v>
      </c>
      <c r="R195" s="105">
        <v>47.37</v>
      </c>
      <c r="S195" s="105">
        <v>38.18</v>
      </c>
      <c r="T195" s="105">
        <v>110</v>
      </c>
      <c r="U195" s="105">
        <v>63.64</v>
      </c>
      <c r="V195" s="105">
        <v>51.339687419999997</v>
      </c>
      <c r="W195" s="105">
        <v>56.83</v>
      </c>
      <c r="X195" s="105">
        <v>56.17</v>
      </c>
      <c r="Y195" s="105">
        <v>28.554081134</v>
      </c>
      <c r="Z195" s="105">
        <v>15.6</v>
      </c>
      <c r="AA195" s="105">
        <v>57.3</v>
      </c>
      <c r="AB195" s="105">
        <v>3.73</v>
      </c>
      <c r="AC195" s="105">
        <v>127.85</v>
      </c>
      <c r="AD195" s="105">
        <v>66.260000000000005</v>
      </c>
      <c r="AE195" s="105">
        <v>22.307500000000001</v>
      </c>
      <c r="AF195" s="105">
        <v>21.3</v>
      </c>
      <c r="AG195" s="105">
        <v>45.8</v>
      </c>
      <c r="AH195" s="105">
        <v>27.43</v>
      </c>
      <c r="AI195" s="105">
        <v>15.9375</v>
      </c>
      <c r="AJ195" s="105">
        <v>16.149999999999999</v>
      </c>
      <c r="AK195" s="105">
        <v>18.510000000000002</v>
      </c>
      <c r="AL195" s="105">
        <v>77.569999999999993</v>
      </c>
      <c r="AM195" s="105">
        <v>145.66</v>
      </c>
      <c r="AN195" s="105">
        <v>140.22</v>
      </c>
      <c r="AO195" s="105">
        <v>49.41</v>
      </c>
      <c r="AP195" s="105">
        <v>36.975000000000001</v>
      </c>
      <c r="AQ195" s="105">
        <v>67.069999999999993</v>
      </c>
      <c r="AR195" s="105">
        <v>36.704705400000002</v>
      </c>
      <c r="AS195" s="105">
        <v>30.86</v>
      </c>
      <c r="AT195" s="105">
        <v>54.05</v>
      </c>
      <c r="AU195" s="105">
        <v>193.6</v>
      </c>
      <c r="AV195" s="105">
        <v>85.68</v>
      </c>
      <c r="AW195" s="105">
        <v>74.75</v>
      </c>
      <c r="AX195" s="105">
        <v>16.82</v>
      </c>
      <c r="AY195" s="105">
        <v>20.1878952</v>
      </c>
      <c r="AZ195" s="105">
        <v>71.602145120000003</v>
      </c>
      <c r="BA195" s="105">
        <v>40.812777449999999</v>
      </c>
      <c r="BB195" s="105">
        <v>74.66</v>
      </c>
      <c r="BC195" s="105">
        <v>133.65</v>
      </c>
      <c r="BD195" s="105">
        <v>95.78</v>
      </c>
    </row>
    <row r="196" spans="3:56" x14ac:dyDescent="0.25">
      <c r="C196" s="38">
        <v>42999</v>
      </c>
      <c r="D196" s="105">
        <v>105.31</v>
      </c>
      <c r="E196" s="105">
        <v>98.89</v>
      </c>
      <c r="F196" s="105">
        <v>53.19</v>
      </c>
      <c r="G196" s="105">
        <v>47.97</v>
      </c>
      <c r="H196" s="105">
        <v>124.79</v>
      </c>
      <c r="I196" s="105">
        <v>171.11</v>
      </c>
      <c r="J196" s="105">
        <v>38.347499999999997</v>
      </c>
      <c r="K196" s="105">
        <v>964.65</v>
      </c>
      <c r="L196" s="105">
        <v>188.78</v>
      </c>
      <c r="M196" s="105">
        <v>74.209999999999994</v>
      </c>
      <c r="N196" s="105">
        <v>947.55</v>
      </c>
      <c r="O196" s="105">
        <v>107.55</v>
      </c>
      <c r="P196" s="105">
        <v>201.02</v>
      </c>
      <c r="Q196" s="105">
        <v>186.32</v>
      </c>
      <c r="R196" s="105">
        <v>48.01</v>
      </c>
      <c r="S196" s="105">
        <v>38.81</v>
      </c>
      <c r="T196" s="105">
        <v>107.57</v>
      </c>
      <c r="U196" s="105">
        <v>63.62</v>
      </c>
      <c r="V196" s="105">
        <v>49.629347459999998</v>
      </c>
      <c r="W196" s="105">
        <v>53.95</v>
      </c>
      <c r="X196" s="105">
        <v>54.63</v>
      </c>
      <c r="Y196" s="105">
        <v>29.684596642999999</v>
      </c>
      <c r="Z196" s="105">
        <v>14.55</v>
      </c>
      <c r="AA196" s="105">
        <v>57.8</v>
      </c>
      <c r="AB196" s="105">
        <v>3.87</v>
      </c>
      <c r="AC196" s="105">
        <v>136</v>
      </c>
      <c r="AD196" s="105">
        <v>64</v>
      </c>
      <c r="AE196" s="105">
        <v>20.177499999999998</v>
      </c>
      <c r="AF196" s="105">
        <v>20.94</v>
      </c>
      <c r="AG196" s="105">
        <v>45.6</v>
      </c>
      <c r="AH196" s="105">
        <v>26.23</v>
      </c>
      <c r="AI196" s="105">
        <v>15.717499999999999</v>
      </c>
      <c r="AJ196" s="105">
        <v>17.149999999999999</v>
      </c>
      <c r="AK196" s="105">
        <v>18.899999999999999</v>
      </c>
      <c r="AL196" s="105">
        <v>78.66</v>
      </c>
      <c r="AM196" s="105">
        <v>145.26</v>
      </c>
      <c r="AN196" s="105">
        <v>140.66999999999999</v>
      </c>
      <c r="AO196" s="105">
        <v>48.94</v>
      </c>
      <c r="AP196" s="105">
        <v>36.409999999999997</v>
      </c>
      <c r="AQ196" s="105">
        <v>68.489999999999995</v>
      </c>
      <c r="AR196" s="105">
        <v>36.519328100000003</v>
      </c>
      <c r="AS196" s="105">
        <v>31.24</v>
      </c>
      <c r="AT196" s="105">
        <v>53.87</v>
      </c>
      <c r="AU196" s="105">
        <v>191.56</v>
      </c>
      <c r="AV196" s="105">
        <v>83.14</v>
      </c>
      <c r="AW196" s="105">
        <v>75.790000000000006</v>
      </c>
      <c r="AX196" s="105">
        <v>16.84</v>
      </c>
      <c r="AY196" s="105">
        <v>19.1736708</v>
      </c>
      <c r="AZ196" s="105">
        <v>71.494956279999997</v>
      </c>
      <c r="BA196" s="105">
        <v>38.76970635</v>
      </c>
      <c r="BB196" s="105">
        <v>74.42</v>
      </c>
      <c r="BC196" s="105">
        <v>128.6</v>
      </c>
      <c r="BD196" s="105">
        <v>93.6</v>
      </c>
    </row>
    <row r="197" spans="3:56" x14ac:dyDescent="0.25">
      <c r="C197" s="38">
        <v>42992</v>
      </c>
      <c r="D197" s="105">
        <v>106.08</v>
      </c>
      <c r="E197" s="105">
        <v>97.9</v>
      </c>
      <c r="F197" s="105">
        <v>53.73</v>
      </c>
      <c r="G197" s="105">
        <v>52.79</v>
      </c>
      <c r="H197" s="105">
        <v>120.48</v>
      </c>
      <c r="I197" s="105">
        <v>170.96</v>
      </c>
      <c r="J197" s="105">
        <v>39.57</v>
      </c>
      <c r="K197" s="105">
        <v>992.21</v>
      </c>
      <c r="L197" s="105">
        <v>182.63</v>
      </c>
      <c r="M197" s="105">
        <v>74.77</v>
      </c>
      <c r="N197" s="105">
        <v>940.13</v>
      </c>
      <c r="O197" s="105">
        <v>109.32</v>
      </c>
      <c r="P197" s="105">
        <v>204.38</v>
      </c>
      <c r="Q197" s="105">
        <v>184.86</v>
      </c>
      <c r="R197" s="105">
        <v>49.1</v>
      </c>
      <c r="S197" s="105">
        <v>39.119999999999997</v>
      </c>
      <c r="T197" s="105">
        <v>106.39</v>
      </c>
      <c r="U197" s="105">
        <v>64.09</v>
      </c>
      <c r="V197" s="105">
        <v>50.022529059999997</v>
      </c>
      <c r="W197" s="105">
        <v>58.38</v>
      </c>
      <c r="X197" s="105">
        <v>54.35</v>
      </c>
      <c r="Y197" s="105">
        <v>28.785322942000001</v>
      </c>
      <c r="Z197" s="105">
        <v>15.7</v>
      </c>
      <c r="AA197" s="105">
        <v>55.95</v>
      </c>
      <c r="AB197" s="105">
        <v>3.77</v>
      </c>
      <c r="AC197" s="105">
        <v>131.94999999999999</v>
      </c>
      <c r="AD197" s="105">
        <v>60.42</v>
      </c>
      <c r="AE197" s="105">
        <v>20.295000000000002</v>
      </c>
      <c r="AF197" s="105">
        <v>20.440000000000001</v>
      </c>
      <c r="AG197" s="105">
        <v>45.3</v>
      </c>
      <c r="AH197" s="105">
        <v>27.32</v>
      </c>
      <c r="AI197" s="105">
        <v>15.0975</v>
      </c>
      <c r="AJ197" s="105">
        <v>16.899999999999999</v>
      </c>
      <c r="AK197" s="105">
        <v>19.37</v>
      </c>
      <c r="AL197" s="105">
        <v>81.03</v>
      </c>
      <c r="AM197" s="105">
        <v>145.54</v>
      </c>
      <c r="AN197" s="105">
        <v>144.49</v>
      </c>
      <c r="AO197" s="105">
        <v>47.18</v>
      </c>
      <c r="AP197" s="105">
        <v>36.604999999999997</v>
      </c>
      <c r="AQ197" s="105">
        <v>67.95</v>
      </c>
      <c r="AR197" s="105">
        <v>37.134000200000003</v>
      </c>
      <c r="AS197" s="105">
        <v>32.869999999999997</v>
      </c>
      <c r="AT197" s="105">
        <v>52.68</v>
      </c>
      <c r="AU197" s="105">
        <v>197.6</v>
      </c>
      <c r="AV197" s="105">
        <v>83.46</v>
      </c>
      <c r="AW197" s="105">
        <v>74.959999999999994</v>
      </c>
      <c r="AX197" s="105">
        <v>17.03</v>
      </c>
      <c r="AY197" s="105">
        <v>20.139598800000002</v>
      </c>
      <c r="AZ197" s="105">
        <v>67.899257919999997</v>
      </c>
      <c r="BA197" s="105">
        <v>37.796815350000003</v>
      </c>
      <c r="BB197" s="105">
        <v>74.84</v>
      </c>
      <c r="BC197" s="105">
        <v>123.1</v>
      </c>
      <c r="BD197" s="105">
        <v>93.26</v>
      </c>
    </row>
    <row r="198" spans="3:56" x14ac:dyDescent="0.25">
      <c r="C198" s="38">
        <v>42985</v>
      </c>
      <c r="D198" s="105">
        <v>104.56</v>
      </c>
      <c r="E198" s="105">
        <v>97.06</v>
      </c>
      <c r="F198" s="105">
        <v>52.39</v>
      </c>
      <c r="G198" s="105">
        <v>51.73</v>
      </c>
      <c r="H198" s="105">
        <v>117.77</v>
      </c>
      <c r="I198" s="105">
        <v>173.21</v>
      </c>
      <c r="J198" s="105">
        <v>40.314999999999998</v>
      </c>
      <c r="K198" s="105">
        <v>979.47</v>
      </c>
      <c r="L198" s="105">
        <v>179</v>
      </c>
      <c r="M198" s="105">
        <v>74.34</v>
      </c>
      <c r="N198" s="105">
        <v>949.89</v>
      </c>
      <c r="O198" s="105">
        <v>107.8</v>
      </c>
      <c r="P198" s="105">
        <v>202.21</v>
      </c>
      <c r="Q198" s="105">
        <v>179.99</v>
      </c>
      <c r="R198" s="105">
        <v>49.89</v>
      </c>
      <c r="S198" s="105">
        <v>39.159999999999997</v>
      </c>
      <c r="T198" s="105">
        <v>101.76</v>
      </c>
      <c r="U198" s="105">
        <v>63.39</v>
      </c>
      <c r="V198" s="105">
        <v>49.01991598</v>
      </c>
      <c r="W198" s="105">
        <v>56.01</v>
      </c>
      <c r="X198" s="105">
        <v>52.21</v>
      </c>
      <c r="Y198" s="105">
        <v>27.774710592999998</v>
      </c>
      <c r="Z198" s="105">
        <v>15.9</v>
      </c>
      <c r="AA198" s="105">
        <v>56.2</v>
      </c>
      <c r="AB198" s="105">
        <v>3.69</v>
      </c>
      <c r="AC198" s="105">
        <v>129.25</v>
      </c>
      <c r="AD198" s="105">
        <v>60.04</v>
      </c>
      <c r="AE198" s="105">
        <v>19.824999999999999</v>
      </c>
      <c r="AF198" s="105">
        <v>19.53</v>
      </c>
      <c r="AG198" s="105">
        <v>44.15</v>
      </c>
      <c r="AH198" s="105">
        <v>26.91</v>
      </c>
      <c r="AI198" s="105">
        <v>15.217499999999999</v>
      </c>
      <c r="AJ198" s="105">
        <v>17.05</v>
      </c>
      <c r="AK198" s="105">
        <v>18.25</v>
      </c>
      <c r="AL198" s="105">
        <v>80.17</v>
      </c>
      <c r="AM198" s="105">
        <v>142.9</v>
      </c>
      <c r="AN198" s="105">
        <v>142.22</v>
      </c>
      <c r="AO198" s="105">
        <v>46.2</v>
      </c>
      <c r="AP198" s="105">
        <v>36.46</v>
      </c>
      <c r="AQ198" s="105">
        <v>68.42</v>
      </c>
      <c r="AR198" s="105">
        <v>38.636532000000003</v>
      </c>
      <c r="AS198" s="105">
        <v>31.91</v>
      </c>
      <c r="AT198" s="105">
        <v>53.11</v>
      </c>
      <c r="AU198" s="105">
        <v>199.57</v>
      </c>
      <c r="AV198" s="105">
        <v>83.23</v>
      </c>
      <c r="AW198" s="105">
        <v>73.86</v>
      </c>
      <c r="AX198" s="105">
        <v>15.77</v>
      </c>
      <c r="AY198" s="105">
        <v>19.753227599999999</v>
      </c>
      <c r="AZ198" s="105">
        <v>65.014903680000003</v>
      </c>
      <c r="BA198" s="105">
        <v>38.137327200000001</v>
      </c>
      <c r="BB198" s="105">
        <v>75.12</v>
      </c>
      <c r="BC198" s="105">
        <v>115.15</v>
      </c>
      <c r="BD198" s="105">
        <v>87.74</v>
      </c>
    </row>
    <row r="199" spans="3:56" x14ac:dyDescent="0.25">
      <c r="C199" s="38">
        <v>42978</v>
      </c>
      <c r="D199" s="105">
        <v>103.52</v>
      </c>
      <c r="E199" s="105">
        <v>101.2</v>
      </c>
      <c r="F199" s="105">
        <v>52.81</v>
      </c>
      <c r="G199" s="105">
        <v>50.33</v>
      </c>
      <c r="H199" s="105">
        <v>117.49</v>
      </c>
      <c r="I199" s="105">
        <v>171.97</v>
      </c>
      <c r="J199" s="105">
        <v>41</v>
      </c>
      <c r="K199" s="105">
        <v>980.6</v>
      </c>
      <c r="L199" s="105">
        <v>174.71</v>
      </c>
      <c r="M199" s="105">
        <v>74.77</v>
      </c>
      <c r="N199" s="105">
        <v>955.24</v>
      </c>
      <c r="O199" s="105">
        <v>104.92</v>
      </c>
      <c r="P199" s="105">
        <v>200.1</v>
      </c>
      <c r="Q199" s="105">
        <v>176.74</v>
      </c>
      <c r="R199" s="105">
        <v>49.5</v>
      </c>
      <c r="S199" s="105">
        <v>39.24</v>
      </c>
      <c r="T199" s="105">
        <v>103.58</v>
      </c>
      <c r="U199" s="105">
        <v>62.21</v>
      </c>
      <c r="V199" s="105">
        <v>50.877699040000003</v>
      </c>
      <c r="W199" s="105">
        <v>54.26</v>
      </c>
      <c r="X199" s="105">
        <v>52.14</v>
      </c>
      <c r="Y199" s="105">
        <v>27.757581569999999</v>
      </c>
      <c r="Z199" s="105">
        <v>15.85</v>
      </c>
      <c r="AA199" s="105">
        <v>57.55</v>
      </c>
      <c r="AB199" s="105">
        <v>3.75</v>
      </c>
      <c r="AC199" s="105">
        <v>127.1</v>
      </c>
      <c r="AD199" s="105">
        <v>61.2</v>
      </c>
      <c r="AE199" s="105">
        <v>19</v>
      </c>
      <c r="AF199" s="105">
        <v>19.98</v>
      </c>
      <c r="AG199" s="105">
        <v>41.85</v>
      </c>
      <c r="AH199" s="105">
        <v>26.36</v>
      </c>
      <c r="AI199" s="105">
        <v>15.475</v>
      </c>
      <c r="AJ199" s="105">
        <v>17.95</v>
      </c>
      <c r="AK199" s="105">
        <v>19.809999999999999</v>
      </c>
      <c r="AL199" s="105">
        <v>80.180000000000007</v>
      </c>
      <c r="AM199" s="105">
        <v>143.03</v>
      </c>
      <c r="AN199" s="105">
        <v>141.37</v>
      </c>
      <c r="AO199" s="105">
        <v>47.97</v>
      </c>
      <c r="AP199" s="105">
        <v>36.15</v>
      </c>
      <c r="AQ199" s="105">
        <v>67.09</v>
      </c>
      <c r="AR199" s="105">
        <v>37.407187800000003</v>
      </c>
      <c r="AS199" s="105">
        <v>31.48</v>
      </c>
      <c r="AT199" s="105">
        <v>52.67</v>
      </c>
      <c r="AU199" s="105">
        <v>199.44</v>
      </c>
      <c r="AV199" s="105">
        <v>79.64</v>
      </c>
      <c r="AW199" s="105">
        <v>74.61</v>
      </c>
      <c r="AX199" s="105">
        <v>14.77</v>
      </c>
      <c r="AY199" s="105">
        <v>18.787299600000001</v>
      </c>
      <c r="AZ199" s="105">
        <v>66.700691800000001</v>
      </c>
      <c r="BA199" s="105">
        <v>38.623772700000004</v>
      </c>
      <c r="BB199" s="105">
        <v>75.239999999999995</v>
      </c>
      <c r="BC199" s="105">
        <v>118</v>
      </c>
      <c r="BD199" s="105">
        <v>94.69</v>
      </c>
    </row>
    <row r="200" spans="3:56" x14ac:dyDescent="0.25">
      <c r="C200" s="38">
        <v>42971</v>
      </c>
      <c r="D200" s="105">
        <v>103.22</v>
      </c>
      <c r="E200" s="105">
        <v>101.52</v>
      </c>
      <c r="F200" s="105">
        <v>53.84</v>
      </c>
      <c r="G200" s="105">
        <v>49.19</v>
      </c>
      <c r="H200" s="105">
        <v>114.78</v>
      </c>
      <c r="I200" s="105">
        <v>167.74</v>
      </c>
      <c r="J200" s="105">
        <v>39.817500000000003</v>
      </c>
      <c r="K200" s="105">
        <v>952.45</v>
      </c>
      <c r="L200" s="105">
        <v>168.13</v>
      </c>
      <c r="M200" s="105">
        <v>72.69</v>
      </c>
      <c r="N200" s="105">
        <v>936.89</v>
      </c>
      <c r="O200" s="105">
        <v>105.52</v>
      </c>
      <c r="P200" s="105">
        <v>196.88</v>
      </c>
      <c r="Q200" s="105">
        <v>175.31</v>
      </c>
      <c r="R200" s="105">
        <v>49.35</v>
      </c>
      <c r="S200" s="105">
        <v>39.5</v>
      </c>
      <c r="T200" s="105">
        <v>99.95</v>
      </c>
      <c r="U200" s="105">
        <v>60.24</v>
      </c>
      <c r="V200" s="105">
        <v>50.317415259999997</v>
      </c>
      <c r="W200" s="105">
        <v>61.8</v>
      </c>
      <c r="X200" s="105">
        <v>50.71</v>
      </c>
      <c r="Y200" s="105">
        <v>29.676032132</v>
      </c>
      <c r="Z200" s="105">
        <v>15.75</v>
      </c>
      <c r="AA200" s="105">
        <v>54.75</v>
      </c>
      <c r="AB200" s="105">
        <v>3.67</v>
      </c>
      <c r="AC200" s="105">
        <v>112.7</v>
      </c>
      <c r="AD200" s="105">
        <v>56.75</v>
      </c>
      <c r="AE200" s="105">
        <v>17.997499999999999</v>
      </c>
      <c r="AF200" s="105">
        <v>20.190000000000001</v>
      </c>
      <c r="AG200" s="105">
        <v>43.55</v>
      </c>
      <c r="AH200" s="105">
        <v>26.23</v>
      </c>
      <c r="AI200" s="105">
        <v>15.225</v>
      </c>
      <c r="AJ200" s="105">
        <v>17.7</v>
      </c>
      <c r="AK200" s="105">
        <v>19.34</v>
      </c>
      <c r="AL200" s="105">
        <v>80.2</v>
      </c>
      <c r="AM200" s="105">
        <v>142.94</v>
      </c>
      <c r="AN200" s="105">
        <v>138.77000000000001</v>
      </c>
      <c r="AO200" s="105">
        <v>48.31</v>
      </c>
      <c r="AP200" s="105">
        <v>35.445</v>
      </c>
      <c r="AQ200" s="105">
        <v>60.28</v>
      </c>
      <c r="AR200" s="105">
        <v>35.924169399999997</v>
      </c>
      <c r="AS200" s="105">
        <v>30.21</v>
      </c>
      <c r="AT200" s="105">
        <v>51.22</v>
      </c>
      <c r="AU200" s="105">
        <v>197.86</v>
      </c>
      <c r="AV200" s="105">
        <v>78.5</v>
      </c>
      <c r="AW200" s="105">
        <v>73.459999999999994</v>
      </c>
      <c r="AX200" s="105">
        <v>14.48</v>
      </c>
      <c r="AY200" s="105">
        <v>18.545817599999999</v>
      </c>
      <c r="AZ200" s="105">
        <v>64.722570480000002</v>
      </c>
      <c r="BA200" s="105">
        <v>38.526483599999999</v>
      </c>
      <c r="BB200" s="105">
        <v>75.37</v>
      </c>
      <c r="BC200" s="105">
        <v>115.15</v>
      </c>
      <c r="BD200" s="105">
        <v>98.22</v>
      </c>
    </row>
    <row r="201" spans="3:56" x14ac:dyDescent="0.25">
      <c r="C201" s="38">
        <v>42964</v>
      </c>
      <c r="D201" s="105">
        <v>102.16</v>
      </c>
      <c r="E201" s="105">
        <v>101.38</v>
      </c>
      <c r="F201" s="105">
        <v>57.46</v>
      </c>
      <c r="G201" s="105">
        <v>48.55</v>
      </c>
      <c r="H201" s="105">
        <v>113.14</v>
      </c>
      <c r="I201" s="105">
        <v>166.91</v>
      </c>
      <c r="J201" s="105">
        <v>39.465000000000003</v>
      </c>
      <c r="K201" s="105">
        <v>960.57</v>
      </c>
      <c r="L201" s="105">
        <v>166.09</v>
      </c>
      <c r="M201" s="105">
        <v>72.400000000000006</v>
      </c>
      <c r="N201" s="105">
        <v>927.66</v>
      </c>
      <c r="O201" s="105">
        <v>107.85</v>
      </c>
      <c r="P201" s="105">
        <v>197.08</v>
      </c>
      <c r="Q201" s="105">
        <v>169.36</v>
      </c>
      <c r="R201" s="105">
        <v>48.67</v>
      </c>
      <c r="S201" s="105">
        <v>38.82</v>
      </c>
      <c r="T201" s="105">
        <v>97.84</v>
      </c>
      <c r="U201" s="105">
        <v>60.11</v>
      </c>
      <c r="V201" s="105">
        <v>51.978607519999997</v>
      </c>
      <c r="W201" s="105">
        <v>60.15</v>
      </c>
      <c r="X201" s="105">
        <v>53.15</v>
      </c>
      <c r="Y201" s="105">
        <v>30.044306123999998</v>
      </c>
      <c r="Z201" s="105">
        <v>15.85</v>
      </c>
      <c r="AA201" s="105">
        <v>54.7</v>
      </c>
      <c r="AB201" s="105">
        <v>3.57</v>
      </c>
      <c r="AC201" s="105">
        <v>112.15</v>
      </c>
      <c r="AD201" s="105">
        <v>55.32</v>
      </c>
      <c r="AE201" s="105">
        <v>18.440000000000001</v>
      </c>
      <c r="AF201" s="105">
        <v>20.100000000000001</v>
      </c>
      <c r="AG201" s="105">
        <v>43.15</v>
      </c>
      <c r="AH201" s="105">
        <v>27.74</v>
      </c>
      <c r="AI201" s="105">
        <v>15.265000000000001</v>
      </c>
      <c r="AJ201" s="105">
        <v>17.100000000000001</v>
      </c>
      <c r="AK201" s="105">
        <v>20.49</v>
      </c>
      <c r="AL201" s="105">
        <v>79.010000000000005</v>
      </c>
      <c r="AM201" s="105">
        <v>140.69999999999999</v>
      </c>
      <c r="AN201" s="105">
        <v>145.36000000000001</v>
      </c>
      <c r="AO201" s="105">
        <v>47.89</v>
      </c>
      <c r="AP201" s="105">
        <v>35.125</v>
      </c>
      <c r="AQ201" s="105">
        <v>59.16</v>
      </c>
      <c r="AR201" s="105">
        <v>35.172903499999997</v>
      </c>
      <c r="AS201" s="105">
        <v>30.56</v>
      </c>
      <c r="AT201" s="105">
        <v>51.19</v>
      </c>
      <c r="AU201" s="105">
        <v>199.31</v>
      </c>
      <c r="AV201" s="105">
        <v>74.34</v>
      </c>
      <c r="AW201" s="105">
        <v>70.45</v>
      </c>
      <c r="AX201" s="105">
        <v>13.99</v>
      </c>
      <c r="AY201" s="105">
        <v>18.835595999999999</v>
      </c>
      <c r="AZ201" s="105">
        <v>66.106280960000007</v>
      </c>
      <c r="BA201" s="105">
        <v>39.499374600000003</v>
      </c>
      <c r="BB201" s="105">
        <v>73.959999999999994</v>
      </c>
      <c r="BC201" s="105">
        <v>119.45</v>
      </c>
      <c r="BD201" s="105">
        <v>100.32</v>
      </c>
    </row>
    <row r="202" spans="3:56" x14ac:dyDescent="0.25">
      <c r="C202" s="38">
        <v>42957</v>
      </c>
      <c r="D202" s="105">
        <v>99.49</v>
      </c>
      <c r="E202" s="105">
        <v>101.35</v>
      </c>
      <c r="F202" s="105">
        <v>59.07</v>
      </c>
      <c r="G202" s="105">
        <v>48.1</v>
      </c>
      <c r="H202" s="105">
        <v>113.15</v>
      </c>
      <c r="I202" s="105">
        <v>167.4</v>
      </c>
      <c r="J202" s="105">
        <v>38.83</v>
      </c>
      <c r="K202" s="105">
        <v>956.92</v>
      </c>
      <c r="L202" s="105">
        <v>169.14</v>
      </c>
      <c r="M202" s="105">
        <v>71.41</v>
      </c>
      <c r="N202" s="105">
        <v>923.59</v>
      </c>
      <c r="O202" s="105">
        <v>105.3</v>
      </c>
      <c r="P202" s="105">
        <v>194.69</v>
      </c>
      <c r="Q202" s="105">
        <v>171.23</v>
      </c>
      <c r="R202" s="105">
        <v>48.64</v>
      </c>
      <c r="S202" s="105">
        <v>38.75</v>
      </c>
      <c r="T202" s="105">
        <v>99.52</v>
      </c>
      <c r="U202" s="105">
        <v>60.16</v>
      </c>
      <c r="V202" s="105">
        <v>52.253834640000001</v>
      </c>
      <c r="W202" s="105">
        <v>59.78</v>
      </c>
      <c r="X202" s="105">
        <v>54.01</v>
      </c>
      <c r="Y202" s="105">
        <v>28.125855562000002</v>
      </c>
      <c r="Z202" s="105">
        <v>15.3</v>
      </c>
      <c r="AA202" s="105">
        <v>52</v>
      </c>
      <c r="AB202" s="105">
        <v>3.62</v>
      </c>
      <c r="AC202" s="105">
        <v>110.45</v>
      </c>
      <c r="AD202" s="105">
        <v>54.99</v>
      </c>
      <c r="AE202" s="105">
        <v>18.962499999999999</v>
      </c>
      <c r="AF202" s="105">
        <v>20.61</v>
      </c>
      <c r="AG202" s="105">
        <v>43.45</v>
      </c>
      <c r="AH202" s="105">
        <v>33.81</v>
      </c>
      <c r="AI202" s="105">
        <v>14.805</v>
      </c>
      <c r="AJ202" s="105">
        <v>16.5</v>
      </c>
      <c r="AK202" s="105">
        <v>21.46</v>
      </c>
      <c r="AL202" s="105">
        <v>79.67</v>
      </c>
      <c r="AM202" s="105">
        <v>141.84</v>
      </c>
      <c r="AN202" s="105">
        <v>143.91</v>
      </c>
      <c r="AO202" s="105">
        <v>48.02</v>
      </c>
      <c r="AP202" s="105">
        <v>35.130000000000003</v>
      </c>
      <c r="AQ202" s="105">
        <v>56.83</v>
      </c>
      <c r="AR202" s="105">
        <v>35.553414799999999</v>
      </c>
      <c r="AS202" s="105">
        <v>32.29</v>
      </c>
      <c r="AT202" s="105">
        <v>50.87</v>
      </c>
      <c r="AU202" s="105">
        <v>198.22</v>
      </c>
      <c r="AV202" s="105">
        <v>73.08</v>
      </c>
      <c r="AW202" s="105">
        <v>68.12</v>
      </c>
      <c r="AX202" s="105">
        <v>13.89</v>
      </c>
      <c r="AY202" s="105">
        <v>19.801524000000001</v>
      </c>
      <c r="AZ202" s="105">
        <v>68.250057760000004</v>
      </c>
      <c r="BA202" s="105">
        <v>40.083109200000003</v>
      </c>
      <c r="BB202" s="105">
        <v>74.59</v>
      </c>
      <c r="BC202" s="105">
        <v>122.3</v>
      </c>
      <c r="BD202" s="105">
        <v>102.99</v>
      </c>
    </row>
    <row r="203" spans="3:56" x14ac:dyDescent="0.25">
      <c r="C203" s="38">
        <v>42950</v>
      </c>
      <c r="D203" s="105">
        <v>100.59</v>
      </c>
      <c r="E203" s="105">
        <v>109.12</v>
      </c>
      <c r="F203" s="105">
        <v>60.14</v>
      </c>
      <c r="G203" s="105">
        <v>50.23</v>
      </c>
      <c r="H203" s="105">
        <v>113.56</v>
      </c>
      <c r="I203" s="105">
        <v>168.59</v>
      </c>
      <c r="J203" s="105">
        <v>38.892499999999998</v>
      </c>
      <c r="K203" s="105">
        <v>986.92</v>
      </c>
      <c r="L203" s="105">
        <v>179.23</v>
      </c>
      <c r="M203" s="105">
        <v>72.150000000000006</v>
      </c>
      <c r="N203" s="105">
        <v>940.3</v>
      </c>
      <c r="O203" s="105">
        <v>105.54</v>
      </c>
      <c r="P203" s="105">
        <v>193.04</v>
      </c>
      <c r="Q203" s="105">
        <v>170.46</v>
      </c>
      <c r="R203" s="105">
        <v>48.11</v>
      </c>
      <c r="S203" s="105">
        <v>39.11</v>
      </c>
      <c r="T203" s="105">
        <v>103.66</v>
      </c>
      <c r="U203" s="105">
        <v>60.78</v>
      </c>
      <c r="V203" s="105">
        <v>52.951731979999998</v>
      </c>
      <c r="W203" s="105">
        <v>59.69</v>
      </c>
      <c r="X203" s="105">
        <v>56.11</v>
      </c>
      <c r="Y203" s="105">
        <v>25.779179427999999</v>
      </c>
      <c r="Z203" s="105">
        <v>16.350000000000001</v>
      </c>
      <c r="AA203" s="105">
        <v>60.2</v>
      </c>
      <c r="AB203" s="105">
        <v>3.69</v>
      </c>
      <c r="AC203" s="105">
        <v>119.1</v>
      </c>
      <c r="AD203" s="105">
        <v>58.13</v>
      </c>
      <c r="AE203" s="105">
        <v>19.442499999999999</v>
      </c>
      <c r="AF203" s="105">
        <v>22.32</v>
      </c>
      <c r="AG203" s="105">
        <v>45.05</v>
      </c>
      <c r="AH203" s="105">
        <v>37.26</v>
      </c>
      <c r="AI203" s="105">
        <v>14.595000000000001</v>
      </c>
      <c r="AJ203" s="105">
        <v>16</v>
      </c>
      <c r="AK203" s="105">
        <v>22.13</v>
      </c>
      <c r="AL203" s="105">
        <v>79.44</v>
      </c>
      <c r="AM203" s="105">
        <v>144.94</v>
      </c>
      <c r="AN203" s="105">
        <v>146.37</v>
      </c>
      <c r="AO203" s="105">
        <v>48.61</v>
      </c>
      <c r="AP203" s="105">
        <v>34.799999999999997</v>
      </c>
      <c r="AQ203" s="105">
        <v>59.4</v>
      </c>
      <c r="AR203" s="105">
        <v>35.699765300000003</v>
      </c>
      <c r="AS203" s="105">
        <v>34.700000000000003</v>
      </c>
      <c r="AT203" s="105">
        <v>52.1</v>
      </c>
      <c r="AU203" s="105">
        <v>198.9</v>
      </c>
      <c r="AV203" s="105">
        <v>73.53</v>
      </c>
      <c r="AW203" s="105">
        <v>69.39</v>
      </c>
      <c r="AX203" s="105">
        <v>14.52</v>
      </c>
      <c r="AY203" s="105">
        <v>18.739003199999999</v>
      </c>
      <c r="AZ203" s="105">
        <v>70.354856799999993</v>
      </c>
      <c r="BA203" s="105">
        <v>40.131753750000001</v>
      </c>
      <c r="BB203" s="105">
        <v>73.72</v>
      </c>
      <c r="BC203" s="105">
        <v>128.5</v>
      </c>
      <c r="BD203" s="105">
        <v>103.84</v>
      </c>
    </row>
    <row r="204" spans="3:56" x14ac:dyDescent="0.25">
      <c r="C204" s="38">
        <v>42943</v>
      </c>
      <c r="D204" s="105">
        <v>99.57</v>
      </c>
      <c r="E204" s="105">
        <v>110</v>
      </c>
      <c r="F204" s="105">
        <v>58.15</v>
      </c>
      <c r="G204" s="105">
        <v>50.45</v>
      </c>
      <c r="H204" s="105">
        <v>114.37</v>
      </c>
      <c r="I204" s="105">
        <v>170.44</v>
      </c>
      <c r="J204" s="105">
        <v>37.64</v>
      </c>
      <c r="K204" s="105">
        <v>1046</v>
      </c>
      <c r="L204" s="105">
        <v>182.68</v>
      </c>
      <c r="M204" s="105">
        <v>73.16</v>
      </c>
      <c r="N204" s="105">
        <v>952.51</v>
      </c>
      <c r="O204" s="105">
        <v>106.45</v>
      </c>
      <c r="P204" s="105">
        <v>194.46</v>
      </c>
      <c r="Q204" s="105">
        <v>157.26</v>
      </c>
      <c r="R204" s="105">
        <v>47.66</v>
      </c>
      <c r="S204" s="105">
        <v>38.119999999999997</v>
      </c>
      <c r="T204" s="105">
        <v>104.06</v>
      </c>
      <c r="U204" s="105">
        <v>62.27</v>
      </c>
      <c r="V204" s="105">
        <v>52.126050620000001</v>
      </c>
      <c r="W204" s="105">
        <v>57.05</v>
      </c>
      <c r="X204" s="105">
        <v>56.57</v>
      </c>
      <c r="Y204" s="105">
        <v>25.693534313000001</v>
      </c>
      <c r="Z204" s="105">
        <v>17.350000000000001</v>
      </c>
      <c r="AA204" s="105">
        <v>60.6</v>
      </c>
      <c r="AB204" s="105">
        <v>3.66</v>
      </c>
      <c r="AC204" s="105">
        <v>120.55</v>
      </c>
      <c r="AD204" s="105">
        <v>59.29</v>
      </c>
      <c r="AE204" s="105">
        <v>19.022500000000001</v>
      </c>
      <c r="AF204" s="105">
        <v>23.88</v>
      </c>
      <c r="AG204" s="105">
        <v>44.8</v>
      </c>
      <c r="AH204" s="105">
        <v>36.72</v>
      </c>
      <c r="AI204" s="105">
        <v>15.35</v>
      </c>
      <c r="AJ204" s="105">
        <v>16.3</v>
      </c>
      <c r="AK204" s="105">
        <v>21.71</v>
      </c>
      <c r="AL204" s="105">
        <v>79.22</v>
      </c>
      <c r="AM204" s="105">
        <v>145.07</v>
      </c>
      <c r="AN204" s="105">
        <v>144.05000000000001</v>
      </c>
      <c r="AO204" s="105">
        <v>47.81</v>
      </c>
      <c r="AP204" s="105">
        <v>34.82</v>
      </c>
      <c r="AQ204" s="105">
        <v>60.33</v>
      </c>
      <c r="AR204" s="105">
        <v>35.553414799999999</v>
      </c>
      <c r="AS204" s="105">
        <v>38.49</v>
      </c>
      <c r="AT204" s="105">
        <v>52.56</v>
      </c>
      <c r="AU204" s="105">
        <v>201.67</v>
      </c>
      <c r="AV204" s="105">
        <v>72.239999999999995</v>
      </c>
      <c r="AW204" s="105">
        <v>69.260000000000005</v>
      </c>
      <c r="AX204" s="105">
        <v>15.53</v>
      </c>
      <c r="AY204" s="105">
        <v>20.043005999999998</v>
      </c>
      <c r="AZ204" s="105">
        <v>70.413323439999999</v>
      </c>
      <c r="BA204" s="105">
        <v>40.277687399999998</v>
      </c>
      <c r="BB204" s="105">
        <v>73.150000000000006</v>
      </c>
      <c r="BC204" s="105">
        <v>131.85</v>
      </c>
      <c r="BD204" s="105">
        <v>104.94</v>
      </c>
    </row>
    <row r="205" spans="3:56" x14ac:dyDescent="0.25">
      <c r="C205" s="38">
        <v>42936</v>
      </c>
      <c r="D205" s="105">
        <v>98.11</v>
      </c>
      <c r="E205" s="105">
        <v>107.36</v>
      </c>
      <c r="F205" s="105">
        <v>59.1</v>
      </c>
      <c r="G205" s="105">
        <v>51.13</v>
      </c>
      <c r="H205" s="105">
        <v>107.32</v>
      </c>
      <c r="I205" s="105">
        <v>164.53</v>
      </c>
      <c r="J205" s="105">
        <v>37.585000000000001</v>
      </c>
      <c r="K205" s="105">
        <v>1028.7</v>
      </c>
      <c r="L205" s="105">
        <v>183.6</v>
      </c>
      <c r="M205" s="105">
        <v>74.22</v>
      </c>
      <c r="N205" s="105">
        <v>992.19</v>
      </c>
      <c r="O205" s="105">
        <v>106.28</v>
      </c>
      <c r="P205" s="105">
        <v>198.12</v>
      </c>
      <c r="Q205" s="105">
        <v>160.16999999999999</v>
      </c>
      <c r="R205" s="105">
        <v>47.13</v>
      </c>
      <c r="S205" s="105">
        <v>38.24</v>
      </c>
      <c r="T205" s="105">
        <v>102.4</v>
      </c>
      <c r="U205" s="105">
        <v>62.16</v>
      </c>
      <c r="V205" s="105">
        <v>52.352130039999999</v>
      </c>
      <c r="W205" s="105">
        <v>53.96</v>
      </c>
      <c r="X205" s="105">
        <v>60.4</v>
      </c>
      <c r="Y205" s="105">
        <v>26.764098242999999</v>
      </c>
      <c r="Z205" s="105">
        <v>17.649999999999999</v>
      </c>
      <c r="AA205" s="105">
        <v>61.8</v>
      </c>
      <c r="AB205" s="105">
        <v>3.76</v>
      </c>
      <c r="AC205" s="105">
        <v>123.35</v>
      </c>
      <c r="AD205" s="105">
        <v>60.5</v>
      </c>
      <c r="AE205" s="105">
        <v>18.004999999999999</v>
      </c>
      <c r="AF205" s="105">
        <v>24.43</v>
      </c>
      <c r="AG205" s="105">
        <v>43.6</v>
      </c>
      <c r="AH205" s="105">
        <v>37.229999999999997</v>
      </c>
      <c r="AI205" s="105">
        <v>13.9025</v>
      </c>
      <c r="AJ205" s="105">
        <v>16.399999999999999</v>
      </c>
      <c r="AK205" s="105">
        <v>23.33</v>
      </c>
      <c r="AL205" s="105">
        <v>78.45</v>
      </c>
      <c r="AM205" s="105">
        <v>147.66</v>
      </c>
      <c r="AN205" s="105">
        <v>147.4</v>
      </c>
      <c r="AO205" s="105">
        <v>44.22</v>
      </c>
      <c r="AP205" s="105">
        <v>34.799999999999997</v>
      </c>
      <c r="AQ205" s="105">
        <v>61.56</v>
      </c>
      <c r="AR205" s="105">
        <v>33.094726399999999</v>
      </c>
      <c r="AS205" s="105">
        <v>39.49</v>
      </c>
      <c r="AT205" s="105">
        <v>50.82</v>
      </c>
      <c r="AU205" s="105">
        <v>203.33</v>
      </c>
      <c r="AV205" s="105">
        <v>70.77</v>
      </c>
      <c r="AW205" s="105">
        <v>70.05</v>
      </c>
      <c r="AX205" s="105">
        <v>15.86</v>
      </c>
      <c r="AY205" s="105">
        <v>20.139598800000002</v>
      </c>
      <c r="AZ205" s="105">
        <v>69.692234880000001</v>
      </c>
      <c r="BA205" s="105">
        <v>40.569554699999998</v>
      </c>
      <c r="BB205" s="105">
        <v>70.94</v>
      </c>
      <c r="BC205" s="105">
        <v>144.30000000000001</v>
      </c>
      <c r="BD205" s="105">
        <v>105.71</v>
      </c>
    </row>
    <row r="206" spans="3:56" x14ac:dyDescent="0.25">
      <c r="C206" s="38">
        <v>42929</v>
      </c>
      <c r="D206" s="105">
        <v>95.94</v>
      </c>
      <c r="E206" s="105">
        <v>104.29</v>
      </c>
      <c r="F206" s="105">
        <v>57.94</v>
      </c>
      <c r="G206" s="105">
        <v>50.35</v>
      </c>
      <c r="H206" s="105">
        <v>108.47</v>
      </c>
      <c r="I206" s="105">
        <v>159.26</v>
      </c>
      <c r="J206" s="105">
        <v>36.942500000000003</v>
      </c>
      <c r="K206" s="105">
        <v>1000.63</v>
      </c>
      <c r="L206" s="105">
        <v>158.21</v>
      </c>
      <c r="M206" s="105">
        <v>71.77</v>
      </c>
      <c r="N206" s="105">
        <v>968.85</v>
      </c>
      <c r="O206" s="105">
        <v>104.8</v>
      </c>
      <c r="P206" s="105">
        <v>196.25</v>
      </c>
      <c r="Q206" s="105">
        <v>152.19</v>
      </c>
      <c r="R206" s="105">
        <v>45.67</v>
      </c>
      <c r="S206" s="105">
        <v>37.44</v>
      </c>
      <c r="T206" s="105">
        <v>100.7</v>
      </c>
      <c r="U206" s="105">
        <v>62.17</v>
      </c>
      <c r="V206" s="105">
        <v>52.882925200000003</v>
      </c>
      <c r="W206" s="105">
        <v>54.66</v>
      </c>
      <c r="X206" s="105">
        <v>62.02</v>
      </c>
      <c r="Y206" s="105">
        <v>25.967598679000002</v>
      </c>
      <c r="Z206" s="105">
        <v>16.2</v>
      </c>
      <c r="AA206" s="105">
        <v>60.4</v>
      </c>
      <c r="AB206" s="105">
        <v>3.56</v>
      </c>
      <c r="AC206" s="105">
        <v>115.6</v>
      </c>
      <c r="AD206" s="105">
        <v>62.96</v>
      </c>
      <c r="AE206" s="105">
        <v>17.512499999999999</v>
      </c>
      <c r="AF206" s="105">
        <v>23.85</v>
      </c>
      <c r="AG206" s="105">
        <v>43</v>
      </c>
      <c r="AH206" s="105">
        <v>37.78</v>
      </c>
      <c r="AI206" s="105">
        <v>13.352499999999999</v>
      </c>
      <c r="AJ206" s="105">
        <v>16.7</v>
      </c>
      <c r="AK206" s="105">
        <v>23.75</v>
      </c>
      <c r="AL206" s="105">
        <v>77.53</v>
      </c>
      <c r="AM206" s="105">
        <v>153.63</v>
      </c>
      <c r="AN206" s="105">
        <v>143.19999999999999</v>
      </c>
      <c r="AO206" s="105">
        <v>43.49</v>
      </c>
      <c r="AP206" s="105">
        <v>34.99</v>
      </c>
      <c r="AQ206" s="105">
        <v>60.38</v>
      </c>
      <c r="AR206" s="105">
        <v>32.138569799999999</v>
      </c>
      <c r="AS206" s="105">
        <v>39.049999999999997</v>
      </c>
      <c r="AT206" s="105">
        <v>50.39</v>
      </c>
      <c r="AU206" s="105">
        <v>197.89</v>
      </c>
      <c r="AV206" s="105">
        <v>68.569999999999993</v>
      </c>
      <c r="AW206" s="105">
        <v>68.48</v>
      </c>
      <c r="AX206" s="105">
        <v>15.5</v>
      </c>
      <c r="AY206" s="105">
        <v>19.560041999999999</v>
      </c>
      <c r="AZ206" s="105">
        <v>67.899257919999997</v>
      </c>
      <c r="BA206" s="105">
        <v>39.791241900000003</v>
      </c>
      <c r="BB206" s="105">
        <v>69.17</v>
      </c>
      <c r="BC206" s="105">
        <v>142.05000000000001</v>
      </c>
      <c r="BD206" s="105">
        <v>105.19</v>
      </c>
    </row>
    <row r="207" spans="3:56" x14ac:dyDescent="0.25">
      <c r="C207" s="38">
        <v>42922</v>
      </c>
      <c r="D207" s="105">
        <v>93.25</v>
      </c>
      <c r="E207" s="105">
        <v>103.35</v>
      </c>
      <c r="F207" s="105">
        <v>57.16</v>
      </c>
      <c r="G207" s="105">
        <v>48.85</v>
      </c>
      <c r="H207" s="105">
        <v>106.51</v>
      </c>
      <c r="I207" s="105">
        <v>148.82</v>
      </c>
      <c r="J207" s="105">
        <v>35.682499999999997</v>
      </c>
      <c r="K207" s="105">
        <v>965.14</v>
      </c>
      <c r="L207" s="105">
        <v>146.25</v>
      </c>
      <c r="M207" s="105">
        <v>68.569999999999993</v>
      </c>
      <c r="N207" s="105">
        <v>927.69</v>
      </c>
      <c r="O207" s="105">
        <v>106.43</v>
      </c>
      <c r="P207" s="105">
        <v>193.76</v>
      </c>
      <c r="Q207" s="105">
        <v>149.74</v>
      </c>
      <c r="R207" s="105">
        <v>45.57</v>
      </c>
      <c r="S207" s="105">
        <v>38.03</v>
      </c>
      <c r="T207" s="105">
        <v>99.65</v>
      </c>
      <c r="U207" s="105">
        <v>61.55</v>
      </c>
      <c r="V207" s="105">
        <v>50.985823979999999</v>
      </c>
      <c r="W207" s="105">
        <v>57.42</v>
      </c>
      <c r="X207" s="105">
        <v>63.36</v>
      </c>
      <c r="Y207" s="105">
        <v>25.830566495999999</v>
      </c>
      <c r="Z207" s="105">
        <v>15.7</v>
      </c>
      <c r="AA207" s="105">
        <v>57.9</v>
      </c>
      <c r="AB207" s="105">
        <v>3.5</v>
      </c>
      <c r="AC207" s="105">
        <v>109.85</v>
      </c>
      <c r="AD207" s="105">
        <v>63.38</v>
      </c>
      <c r="AE207" s="105">
        <v>16.907499999999999</v>
      </c>
      <c r="AF207" s="105">
        <v>22.4</v>
      </c>
      <c r="AG207" s="105">
        <v>41.15</v>
      </c>
      <c r="AH207" s="105">
        <v>39.64</v>
      </c>
      <c r="AI207" s="105">
        <v>12.547499999999999</v>
      </c>
      <c r="AJ207" s="105">
        <v>17.600000000000001</v>
      </c>
      <c r="AK207" s="105">
        <v>22.88</v>
      </c>
      <c r="AL207" s="105">
        <v>76.67</v>
      </c>
      <c r="AM207" s="105">
        <v>152.36000000000001</v>
      </c>
      <c r="AN207" s="105">
        <v>139.27000000000001</v>
      </c>
      <c r="AO207" s="105">
        <v>43.52</v>
      </c>
      <c r="AP207" s="105">
        <v>35.145000000000003</v>
      </c>
      <c r="AQ207" s="105">
        <v>56.27</v>
      </c>
      <c r="AR207" s="105">
        <v>31.494627600000001</v>
      </c>
      <c r="AS207" s="105">
        <v>37.65</v>
      </c>
      <c r="AT207" s="105">
        <v>49.11</v>
      </c>
      <c r="AU207" s="105">
        <v>195.34</v>
      </c>
      <c r="AV207" s="105">
        <v>67.930000000000007</v>
      </c>
      <c r="AW207" s="105">
        <v>66.42</v>
      </c>
      <c r="AX207" s="105">
        <v>14.72</v>
      </c>
      <c r="AY207" s="105">
        <v>18.642410399999999</v>
      </c>
      <c r="AZ207" s="105">
        <v>66.096536520000001</v>
      </c>
      <c r="BA207" s="105">
        <v>39.888531</v>
      </c>
      <c r="BB207" s="105">
        <v>69.38</v>
      </c>
      <c r="BC207" s="105">
        <v>137.25</v>
      </c>
      <c r="BD207" s="105">
        <v>104.15</v>
      </c>
    </row>
    <row r="208" spans="3:56" x14ac:dyDescent="0.25">
      <c r="C208" s="38">
        <v>42915</v>
      </c>
      <c r="D208" s="105">
        <v>94.42</v>
      </c>
      <c r="E208" s="105">
        <v>105.71</v>
      </c>
      <c r="F208" s="105">
        <v>53.17</v>
      </c>
      <c r="G208" s="105">
        <v>50.2</v>
      </c>
      <c r="H208" s="105">
        <v>105.64</v>
      </c>
      <c r="I208" s="105">
        <v>151.04</v>
      </c>
      <c r="J208" s="105">
        <v>35.92</v>
      </c>
      <c r="K208" s="105">
        <v>975.93</v>
      </c>
      <c r="L208" s="105">
        <v>150.09</v>
      </c>
      <c r="M208" s="105">
        <v>68.489999999999995</v>
      </c>
      <c r="N208" s="105">
        <v>937.82</v>
      </c>
      <c r="O208" s="105">
        <v>106.62</v>
      </c>
      <c r="P208" s="105">
        <v>192.79</v>
      </c>
      <c r="Q208" s="105">
        <v>148.62</v>
      </c>
      <c r="R208" s="105">
        <v>45.96</v>
      </c>
      <c r="S208" s="105">
        <v>38.659999999999997</v>
      </c>
      <c r="T208" s="105">
        <v>100.21</v>
      </c>
      <c r="U208" s="105">
        <v>63.51</v>
      </c>
      <c r="V208" s="105">
        <v>51.801675799999998</v>
      </c>
      <c r="W208" s="105">
        <v>57.26</v>
      </c>
      <c r="X208" s="105">
        <v>61.81</v>
      </c>
      <c r="Y208" s="105">
        <v>26.858307869000001</v>
      </c>
      <c r="Z208" s="105">
        <v>16</v>
      </c>
      <c r="AA208" s="105">
        <v>58.8</v>
      </c>
      <c r="AB208" s="105">
        <v>3.61</v>
      </c>
      <c r="AC208" s="105">
        <v>110.65</v>
      </c>
      <c r="AD208" s="105">
        <v>64.760000000000005</v>
      </c>
      <c r="AE208" s="105">
        <v>16.89</v>
      </c>
      <c r="AF208" s="105">
        <v>22.61</v>
      </c>
      <c r="AG208" s="105">
        <v>41.55</v>
      </c>
      <c r="AH208" s="105">
        <v>39.25</v>
      </c>
      <c r="AI208" s="105">
        <v>13.2575</v>
      </c>
      <c r="AJ208" s="105">
        <v>18</v>
      </c>
      <c r="AK208" s="105">
        <v>22.85</v>
      </c>
      <c r="AL208" s="105">
        <v>78.16</v>
      </c>
      <c r="AM208" s="105">
        <v>154.13</v>
      </c>
      <c r="AN208" s="105">
        <v>138.81</v>
      </c>
      <c r="AO208" s="105">
        <v>44.41</v>
      </c>
      <c r="AP208" s="105">
        <v>35.54</v>
      </c>
      <c r="AQ208" s="105">
        <v>57.78</v>
      </c>
      <c r="AR208" s="105">
        <v>31.445844099999999</v>
      </c>
      <c r="AS208" s="105">
        <v>38.76</v>
      </c>
      <c r="AT208" s="105">
        <v>49.86</v>
      </c>
      <c r="AU208" s="105">
        <v>193.23</v>
      </c>
      <c r="AV208" s="105">
        <v>69.73</v>
      </c>
      <c r="AW208" s="105">
        <v>67.540000000000006</v>
      </c>
      <c r="AX208" s="105">
        <v>15.48</v>
      </c>
      <c r="AY208" s="105">
        <v>19.463449199999999</v>
      </c>
      <c r="AZ208" s="105">
        <v>64.917459280000003</v>
      </c>
      <c r="BA208" s="105">
        <v>39.596663700000001</v>
      </c>
      <c r="BB208" s="105">
        <v>69.61</v>
      </c>
      <c r="BC208" s="105">
        <v>136.1</v>
      </c>
      <c r="BD208" s="105">
        <v>104.2</v>
      </c>
    </row>
    <row r="209" spans="3:56" x14ac:dyDescent="0.25">
      <c r="C209" s="38">
        <v>42908</v>
      </c>
      <c r="D209" s="105">
        <v>93.95</v>
      </c>
      <c r="E209" s="105">
        <v>104.22</v>
      </c>
      <c r="F209" s="105">
        <v>52.4</v>
      </c>
      <c r="G209" s="105">
        <v>50.3</v>
      </c>
      <c r="H209" s="105">
        <v>103.84</v>
      </c>
      <c r="I209" s="105">
        <v>153.4</v>
      </c>
      <c r="J209" s="105">
        <v>36.407499999999999</v>
      </c>
      <c r="K209" s="105">
        <v>1001.3</v>
      </c>
      <c r="L209" s="105">
        <v>154.88999999999999</v>
      </c>
      <c r="M209" s="105">
        <v>70.260000000000005</v>
      </c>
      <c r="N209" s="105">
        <v>976.62</v>
      </c>
      <c r="O209" s="105">
        <v>110.52</v>
      </c>
      <c r="P209" s="105">
        <v>184.11</v>
      </c>
      <c r="Q209" s="105">
        <v>149.69</v>
      </c>
      <c r="R209" s="105">
        <v>47.34</v>
      </c>
      <c r="S209" s="105">
        <v>39.020000000000003</v>
      </c>
      <c r="T209" s="105">
        <v>103.89</v>
      </c>
      <c r="U209" s="105">
        <v>64.34</v>
      </c>
      <c r="V209" s="105">
        <v>51.516619140000003</v>
      </c>
      <c r="W209" s="105">
        <v>55.22</v>
      </c>
      <c r="X209" s="105">
        <v>61.52</v>
      </c>
      <c r="Y209" s="105">
        <v>26.044679282000001</v>
      </c>
      <c r="Z209" s="105">
        <v>16.05</v>
      </c>
      <c r="AA209" s="105">
        <v>59.9</v>
      </c>
      <c r="AB209" s="105">
        <v>3.62</v>
      </c>
      <c r="AC209" s="105">
        <v>118.35</v>
      </c>
      <c r="AD209" s="105">
        <v>61.41</v>
      </c>
      <c r="AE209" s="105">
        <v>16.9725</v>
      </c>
      <c r="AF209" s="105">
        <v>22.32</v>
      </c>
      <c r="AG209" s="105">
        <v>39.299999999999997</v>
      </c>
      <c r="AH209" s="105">
        <v>38.590000000000003</v>
      </c>
      <c r="AI209" s="105">
        <v>12.494999999999999</v>
      </c>
      <c r="AJ209" s="105">
        <v>17.55</v>
      </c>
      <c r="AK209" s="105">
        <v>22.33</v>
      </c>
      <c r="AL209" s="105">
        <v>80.89</v>
      </c>
      <c r="AM209" s="105">
        <v>154.4</v>
      </c>
      <c r="AN209" s="105">
        <v>141.22</v>
      </c>
      <c r="AO209" s="105">
        <v>45.42</v>
      </c>
      <c r="AP209" s="105">
        <v>34.375</v>
      </c>
      <c r="AQ209" s="105">
        <v>58.83</v>
      </c>
      <c r="AR209" s="105">
        <v>32.684944999999999</v>
      </c>
      <c r="AS209" s="105">
        <v>39.01</v>
      </c>
      <c r="AT209" s="105">
        <v>52.78</v>
      </c>
      <c r="AU209" s="105">
        <v>195.06</v>
      </c>
      <c r="AV209" s="105">
        <v>67.680000000000007</v>
      </c>
      <c r="AW209" s="105">
        <v>71.790000000000006</v>
      </c>
      <c r="AX209" s="105">
        <v>15.59</v>
      </c>
      <c r="AY209" s="105">
        <v>19.2702636</v>
      </c>
      <c r="AZ209" s="105">
        <v>64.98567036</v>
      </c>
      <c r="BA209" s="105">
        <v>40.229042849999999</v>
      </c>
      <c r="BB209" s="105">
        <v>70.88</v>
      </c>
      <c r="BC209" s="105">
        <v>142.6</v>
      </c>
      <c r="BD209" s="105">
        <v>100.26</v>
      </c>
    </row>
    <row r="210" spans="3:56" x14ac:dyDescent="0.25">
      <c r="C210" s="38">
        <v>42901</v>
      </c>
      <c r="D210" s="105">
        <v>94.17</v>
      </c>
      <c r="E210" s="105">
        <v>105.98</v>
      </c>
      <c r="F210" s="105">
        <v>52.9</v>
      </c>
      <c r="G210" s="105">
        <v>44.68</v>
      </c>
      <c r="H210" s="105">
        <v>106.4</v>
      </c>
      <c r="I210" s="105">
        <v>149.80000000000001</v>
      </c>
      <c r="J210" s="105">
        <v>36.072499999999998</v>
      </c>
      <c r="K210" s="105">
        <v>964.17</v>
      </c>
      <c r="L210" s="105">
        <v>151.76</v>
      </c>
      <c r="M210" s="105">
        <v>69.900000000000006</v>
      </c>
      <c r="N210" s="105">
        <v>960.18</v>
      </c>
      <c r="O210" s="105">
        <v>114.88</v>
      </c>
      <c r="P210" s="105">
        <v>180.3</v>
      </c>
      <c r="Q210" s="105">
        <v>144.02000000000001</v>
      </c>
      <c r="R210" s="105">
        <v>47.59</v>
      </c>
      <c r="S210" s="105">
        <v>39.44</v>
      </c>
      <c r="T210" s="105">
        <v>104.74</v>
      </c>
      <c r="U210" s="105">
        <v>64.77</v>
      </c>
      <c r="V210" s="105">
        <v>52.194857399999997</v>
      </c>
      <c r="W210" s="105">
        <v>56.55</v>
      </c>
      <c r="X210" s="105">
        <v>60.11</v>
      </c>
      <c r="Y210" s="105">
        <v>26.018985747999999</v>
      </c>
      <c r="Z210" s="105">
        <v>16.7</v>
      </c>
      <c r="AA210" s="105">
        <v>59.3</v>
      </c>
      <c r="AB210" s="105">
        <v>3.65</v>
      </c>
      <c r="AC210" s="105">
        <v>115.45</v>
      </c>
      <c r="AD210" s="105">
        <v>61.07</v>
      </c>
      <c r="AE210" s="105">
        <v>16.95</v>
      </c>
      <c r="AF210" s="105">
        <v>22.33</v>
      </c>
      <c r="AG210" s="105">
        <v>40.9</v>
      </c>
      <c r="AH210" s="105">
        <v>40.68</v>
      </c>
      <c r="AI210" s="105">
        <v>12.15</v>
      </c>
      <c r="AJ210" s="105">
        <v>17.45</v>
      </c>
      <c r="AK210" s="105">
        <v>23.03</v>
      </c>
      <c r="AL210" s="105">
        <v>81.98</v>
      </c>
      <c r="AM210" s="105">
        <v>154.22</v>
      </c>
      <c r="AN210" s="105">
        <v>141.22999999999999</v>
      </c>
      <c r="AO210" s="105">
        <v>46.64</v>
      </c>
      <c r="AP210" s="105">
        <v>36.270000000000003</v>
      </c>
      <c r="AQ210" s="105">
        <v>57.74</v>
      </c>
      <c r="AR210" s="105">
        <v>32.236136799999997</v>
      </c>
      <c r="AS210" s="105">
        <v>36.979999999999997</v>
      </c>
      <c r="AT210" s="105">
        <v>55.53</v>
      </c>
      <c r="AU210" s="105">
        <v>191.85</v>
      </c>
      <c r="AV210" s="105">
        <v>72.73</v>
      </c>
      <c r="AW210" s="105">
        <v>68.040000000000006</v>
      </c>
      <c r="AX210" s="105">
        <v>14.99</v>
      </c>
      <c r="AY210" s="105">
        <v>19.318560000000002</v>
      </c>
      <c r="AZ210" s="105">
        <v>65.716503360000004</v>
      </c>
      <c r="BA210" s="105">
        <v>41.201933850000003</v>
      </c>
      <c r="BB210" s="105">
        <v>71.97</v>
      </c>
      <c r="BC210" s="105">
        <v>143.15</v>
      </c>
      <c r="BD210" s="105">
        <v>103.52</v>
      </c>
    </row>
    <row r="211" spans="3:56" x14ac:dyDescent="0.25">
      <c r="C211" s="38">
        <v>42894</v>
      </c>
      <c r="D211" s="105">
        <v>96.09</v>
      </c>
      <c r="E211" s="105">
        <v>104.32</v>
      </c>
      <c r="F211" s="105">
        <v>53.2</v>
      </c>
      <c r="G211" s="105">
        <v>45.42</v>
      </c>
      <c r="H211" s="105">
        <v>105.01</v>
      </c>
      <c r="I211" s="105">
        <v>154.71</v>
      </c>
      <c r="J211" s="105">
        <v>38.747500000000002</v>
      </c>
      <c r="K211" s="105">
        <v>1010.27</v>
      </c>
      <c r="L211" s="105">
        <v>165.88</v>
      </c>
      <c r="M211" s="105">
        <v>71.95</v>
      </c>
      <c r="N211" s="105">
        <v>1004.28</v>
      </c>
      <c r="O211" s="105">
        <v>113.81</v>
      </c>
      <c r="P211" s="105">
        <v>183.45</v>
      </c>
      <c r="Q211" s="105">
        <v>151.82</v>
      </c>
      <c r="R211" s="105">
        <v>47.34</v>
      </c>
      <c r="S211" s="105">
        <v>39.409999999999997</v>
      </c>
      <c r="T211" s="105">
        <v>105.08</v>
      </c>
      <c r="U211" s="105">
        <v>64.63</v>
      </c>
      <c r="V211" s="105">
        <v>51.251221559999998</v>
      </c>
      <c r="W211" s="105">
        <v>59.11</v>
      </c>
      <c r="X211" s="105">
        <v>59.16</v>
      </c>
      <c r="Y211" s="105">
        <v>26.113195374</v>
      </c>
      <c r="Z211" s="105">
        <v>15.3</v>
      </c>
      <c r="AA211" s="105">
        <v>63.65</v>
      </c>
      <c r="AB211" s="105">
        <v>3.58</v>
      </c>
      <c r="AC211" s="105">
        <v>127.1</v>
      </c>
      <c r="AD211" s="105">
        <v>59.42</v>
      </c>
      <c r="AE211" s="105">
        <v>16.305</v>
      </c>
      <c r="AF211" s="105">
        <v>22.55</v>
      </c>
      <c r="AG211" s="105">
        <v>43.1</v>
      </c>
      <c r="AH211" s="105">
        <v>38.590000000000003</v>
      </c>
      <c r="AI211" s="105">
        <v>12.6975</v>
      </c>
      <c r="AJ211" s="105">
        <v>17.05</v>
      </c>
      <c r="AK211" s="105">
        <v>22.77</v>
      </c>
      <c r="AL211" s="105">
        <v>81.42</v>
      </c>
      <c r="AM211" s="105">
        <v>152.1</v>
      </c>
      <c r="AN211" s="105">
        <v>142.43</v>
      </c>
      <c r="AO211" s="105">
        <v>46.19</v>
      </c>
      <c r="AP211" s="105">
        <v>36.39</v>
      </c>
      <c r="AQ211" s="105">
        <v>61.42</v>
      </c>
      <c r="AR211" s="105">
        <v>34.167963399999998</v>
      </c>
      <c r="AS211" s="105">
        <v>39.71</v>
      </c>
      <c r="AT211" s="105">
        <v>54.99</v>
      </c>
      <c r="AU211" s="105">
        <v>191.83</v>
      </c>
      <c r="AV211" s="105">
        <v>74.84</v>
      </c>
      <c r="AW211" s="105">
        <v>69.010000000000005</v>
      </c>
      <c r="AX211" s="105">
        <v>15.82</v>
      </c>
      <c r="AY211" s="105">
        <v>19.608338400000001</v>
      </c>
      <c r="AZ211" s="105">
        <v>63.748126480000003</v>
      </c>
      <c r="BA211" s="105">
        <v>39.645308249999999</v>
      </c>
      <c r="BB211" s="105">
        <v>71.319999999999993</v>
      </c>
      <c r="BC211" s="105">
        <v>137.44999999999999</v>
      </c>
      <c r="BD211" s="105">
        <v>99.29</v>
      </c>
    </row>
    <row r="212" spans="3:56" x14ac:dyDescent="0.25">
      <c r="C212" s="38">
        <v>42887</v>
      </c>
      <c r="D212" s="105">
        <v>95.4</v>
      </c>
      <c r="E212" s="105">
        <v>108.21</v>
      </c>
      <c r="F212" s="105">
        <v>52.3</v>
      </c>
      <c r="G212" s="105">
        <v>45.79</v>
      </c>
      <c r="H212" s="105">
        <v>105.65</v>
      </c>
      <c r="I212" s="105">
        <v>151.53</v>
      </c>
      <c r="J212" s="105">
        <v>38.295000000000002</v>
      </c>
      <c r="K212" s="105">
        <v>995.95</v>
      </c>
      <c r="L212" s="105">
        <v>162.99</v>
      </c>
      <c r="M212" s="105">
        <v>70.099999999999994</v>
      </c>
      <c r="N212" s="105">
        <v>988.29</v>
      </c>
      <c r="O212" s="105">
        <v>115.82</v>
      </c>
      <c r="P212" s="105">
        <v>184.69</v>
      </c>
      <c r="Q212" s="105">
        <v>145.91</v>
      </c>
      <c r="R212" s="105">
        <v>48.13</v>
      </c>
      <c r="S212" s="105">
        <v>39.96</v>
      </c>
      <c r="T212" s="105">
        <v>108.68</v>
      </c>
      <c r="U212" s="105">
        <v>62.05</v>
      </c>
      <c r="V212" s="105">
        <v>51.044801219999997</v>
      </c>
      <c r="W212" s="105">
        <v>60.3</v>
      </c>
      <c r="X212" s="105">
        <v>60.3</v>
      </c>
      <c r="Y212" s="105">
        <v>24.734309031999999</v>
      </c>
      <c r="Z212" s="105">
        <v>16</v>
      </c>
      <c r="AA212" s="105">
        <v>58.9</v>
      </c>
      <c r="AB212" s="105">
        <v>3.58</v>
      </c>
      <c r="AC212" s="105">
        <v>115.65</v>
      </c>
      <c r="AD212" s="105">
        <v>53.84</v>
      </c>
      <c r="AE212" s="105">
        <v>16.637499999999999</v>
      </c>
      <c r="AF212" s="105">
        <v>22.79</v>
      </c>
      <c r="AG212" s="105">
        <v>43.65</v>
      </c>
      <c r="AH212" s="105">
        <v>41.5</v>
      </c>
      <c r="AI212" s="105">
        <v>11.93</v>
      </c>
      <c r="AJ212" s="105">
        <v>16.75</v>
      </c>
      <c r="AK212" s="105">
        <v>22.65</v>
      </c>
      <c r="AL212" s="105">
        <v>82.15</v>
      </c>
      <c r="AM212" s="105">
        <v>152.66999999999999</v>
      </c>
      <c r="AN212" s="105">
        <v>144.69999999999999</v>
      </c>
      <c r="AO212" s="105">
        <v>46.51</v>
      </c>
      <c r="AP212" s="105">
        <v>37.950000000000003</v>
      </c>
      <c r="AQ212" s="105">
        <v>61.6</v>
      </c>
      <c r="AR212" s="105">
        <v>33.192293399999997</v>
      </c>
      <c r="AS212" s="105">
        <v>39.56</v>
      </c>
      <c r="AT212" s="105">
        <v>55.4</v>
      </c>
      <c r="AU212" s="105">
        <v>192.83</v>
      </c>
      <c r="AV212" s="105">
        <v>80.56</v>
      </c>
      <c r="AW212" s="105">
        <v>67.11</v>
      </c>
      <c r="AX212" s="105">
        <v>15.37</v>
      </c>
      <c r="AY212" s="105">
        <v>18.932188799999999</v>
      </c>
      <c r="AZ212" s="105">
        <v>63.679915399999999</v>
      </c>
      <c r="BA212" s="105">
        <v>41.445156599999997</v>
      </c>
      <c r="BB212" s="105">
        <v>71.819999999999993</v>
      </c>
      <c r="BC212" s="105">
        <v>137.05000000000001</v>
      </c>
      <c r="BD212" s="105">
        <v>100.15</v>
      </c>
    </row>
    <row r="213" spans="3:56" x14ac:dyDescent="0.25">
      <c r="C213" s="38">
        <v>42880</v>
      </c>
      <c r="D213" s="105">
        <v>95.04</v>
      </c>
      <c r="E213" s="105">
        <v>107.27</v>
      </c>
      <c r="F213" s="105">
        <v>52.35</v>
      </c>
      <c r="G213" s="105">
        <v>45.2</v>
      </c>
      <c r="H213" s="105">
        <v>105.02</v>
      </c>
      <c r="I213" s="105">
        <v>151.96</v>
      </c>
      <c r="J213" s="105">
        <v>38.467500000000001</v>
      </c>
      <c r="K213" s="105">
        <v>993.38</v>
      </c>
      <c r="L213" s="105">
        <v>163.05000000000001</v>
      </c>
      <c r="M213" s="105">
        <v>69.62</v>
      </c>
      <c r="N213" s="105">
        <v>991.86</v>
      </c>
      <c r="O213" s="105">
        <v>115.31</v>
      </c>
      <c r="P213" s="105">
        <v>180.14</v>
      </c>
      <c r="Q213" s="105">
        <v>141.38999999999999</v>
      </c>
      <c r="R213" s="105">
        <v>47.26</v>
      </c>
      <c r="S213" s="105">
        <v>39.9</v>
      </c>
      <c r="T213" s="105">
        <v>106.53</v>
      </c>
      <c r="U213" s="105">
        <v>57.95</v>
      </c>
      <c r="V213" s="105">
        <v>50.848210420000001</v>
      </c>
      <c r="W213" s="105">
        <v>61.25</v>
      </c>
      <c r="X213" s="105">
        <v>60.92</v>
      </c>
      <c r="Y213" s="105">
        <v>25.453727993000001</v>
      </c>
      <c r="Z213" s="105">
        <v>14.95</v>
      </c>
      <c r="AA213" s="105">
        <v>56.6</v>
      </c>
      <c r="AB213" s="105">
        <v>3.49</v>
      </c>
      <c r="AC213" s="105">
        <v>114.75</v>
      </c>
      <c r="AD213" s="105">
        <v>53.66</v>
      </c>
      <c r="AE213" s="105">
        <v>15.7775</v>
      </c>
      <c r="AF213" s="105">
        <v>22.9</v>
      </c>
      <c r="AG213" s="105">
        <v>41.85</v>
      </c>
      <c r="AH213" s="105">
        <v>41.99</v>
      </c>
      <c r="AI213" s="105">
        <v>11.515000000000001</v>
      </c>
      <c r="AJ213" s="105">
        <v>16.350000000000001</v>
      </c>
      <c r="AK213" s="105">
        <v>22.81</v>
      </c>
      <c r="AL213" s="105">
        <v>79.95</v>
      </c>
      <c r="AM213" s="105">
        <v>153.19999999999999</v>
      </c>
      <c r="AN213" s="105">
        <v>140.85</v>
      </c>
      <c r="AO213" s="105">
        <v>45.31</v>
      </c>
      <c r="AP213" s="105">
        <v>37.685000000000002</v>
      </c>
      <c r="AQ213" s="105">
        <v>67.09</v>
      </c>
      <c r="AR213" s="105">
        <v>32.616648099999999</v>
      </c>
      <c r="AS213" s="105">
        <v>39.83</v>
      </c>
      <c r="AT213" s="105">
        <v>54.28</v>
      </c>
      <c r="AU213" s="105">
        <v>186.77</v>
      </c>
      <c r="AV213" s="105">
        <v>78.8</v>
      </c>
      <c r="AW213" s="105">
        <v>65.91</v>
      </c>
      <c r="AX213" s="105">
        <v>14.74</v>
      </c>
      <c r="AY213" s="105">
        <v>20.284488</v>
      </c>
      <c r="AZ213" s="105">
        <v>62.111060559999999</v>
      </c>
      <c r="BA213" s="105">
        <v>40.569554699999998</v>
      </c>
      <c r="BB213" s="105">
        <v>70.52</v>
      </c>
      <c r="BC213" s="105">
        <v>146.55000000000001</v>
      </c>
      <c r="BD213" s="105">
        <v>100.45</v>
      </c>
    </row>
    <row r="214" spans="3:56" x14ac:dyDescent="0.25">
      <c r="C214" s="38">
        <v>42873</v>
      </c>
      <c r="D214" s="105">
        <v>91.71</v>
      </c>
      <c r="E214" s="105">
        <v>106.68</v>
      </c>
      <c r="F214" s="105">
        <v>51.68</v>
      </c>
      <c r="G214" s="105">
        <v>44.17</v>
      </c>
      <c r="H214" s="105">
        <v>100.22</v>
      </c>
      <c r="I214" s="105">
        <v>147.66</v>
      </c>
      <c r="J214" s="105">
        <v>38.134999999999998</v>
      </c>
      <c r="K214" s="105">
        <v>958.49</v>
      </c>
      <c r="L214" s="105">
        <v>155.69999999999999</v>
      </c>
      <c r="M214" s="105">
        <v>67.709999999999994</v>
      </c>
      <c r="N214" s="105">
        <v>950.5</v>
      </c>
      <c r="O214" s="105">
        <v>110.76</v>
      </c>
      <c r="P214" s="105">
        <v>180.84</v>
      </c>
      <c r="Q214" s="105">
        <v>137.69</v>
      </c>
      <c r="R214" s="105">
        <v>45.64</v>
      </c>
      <c r="S214" s="105">
        <v>38.799999999999997</v>
      </c>
      <c r="T214" s="105">
        <v>102.53</v>
      </c>
      <c r="U214" s="105">
        <v>56.85</v>
      </c>
      <c r="V214" s="105">
        <v>50.228949399999998</v>
      </c>
      <c r="W214" s="105">
        <v>50.63</v>
      </c>
      <c r="X214" s="105">
        <v>57.29</v>
      </c>
      <c r="Y214" s="105">
        <v>25.470857016</v>
      </c>
      <c r="Z214" s="105">
        <v>14</v>
      </c>
      <c r="AA214" s="105">
        <v>55.95</v>
      </c>
      <c r="AB214" s="105">
        <v>3.4</v>
      </c>
      <c r="AC214" s="105">
        <v>113.75</v>
      </c>
      <c r="AD214" s="105">
        <v>52.59</v>
      </c>
      <c r="AE214" s="105">
        <v>15.9375</v>
      </c>
      <c r="AF214" s="105">
        <v>22.85</v>
      </c>
      <c r="AG214" s="105">
        <v>39.5</v>
      </c>
      <c r="AH214" s="105">
        <v>41.39</v>
      </c>
      <c r="AI214" s="105">
        <v>11.4575</v>
      </c>
      <c r="AJ214" s="105">
        <v>15.65</v>
      </c>
      <c r="AK214" s="105">
        <v>21.01</v>
      </c>
      <c r="AL214" s="105">
        <v>77.959999999999994</v>
      </c>
      <c r="AM214" s="105">
        <v>150.78</v>
      </c>
      <c r="AN214" s="105">
        <v>134.84</v>
      </c>
      <c r="AO214" s="105">
        <v>45.04</v>
      </c>
      <c r="AP214" s="105">
        <v>37.24</v>
      </c>
      <c r="AQ214" s="105">
        <v>65.31</v>
      </c>
      <c r="AR214" s="105">
        <v>32.4995677</v>
      </c>
      <c r="AS214" s="105">
        <v>38.15</v>
      </c>
      <c r="AT214" s="105">
        <v>54.43</v>
      </c>
      <c r="AU214" s="105">
        <v>182.61</v>
      </c>
      <c r="AV214" s="105">
        <v>79</v>
      </c>
      <c r="AW214" s="105">
        <v>64.22</v>
      </c>
      <c r="AX214" s="105">
        <v>15.16</v>
      </c>
      <c r="AY214" s="105">
        <v>20.719155600000001</v>
      </c>
      <c r="AZ214" s="105">
        <v>60.171917000000001</v>
      </c>
      <c r="BA214" s="105">
        <v>38.866995449999997</v>
      </c>
      <c r="BB214" s="105">
        <v>68.12</v>
      </c>
      <c r="BC214" s="105">
        <v>140.55000000000001</v>
      </c>
      <c r="BD214" s="105">
        <v>99.28</v>
      </c>
    </row>
    <row r="215" spans="3:56" x14ac:dyDescent="0.25">
      <c r="C215" s="38">
        <v>42866</v>
      </c>
      <c r="D215" s="105">
        <v>92.1</v>
      </c>
      <c r="E215" s="105">
        <v>109.58</v>
      </c>
      <c r="F215" s="105">
        <v>54.24</v>
      </c>
      <c r="G215" s="105">
        <v>45.16</v>
      </c>
      <c r="H215" s="105">
        <v>100.99</v>
      </c>
      <c r="I215" s="105">
        <v>150.04</v>
      </c>
      <c r="J215" s="105">
        <v>38.487499999999997</v>
      </c>
      <c r="K215" s="105">
        <v>947.62</v>
      </c>
      <c r="L215" s="105">
        <v>158.54</v>
      </c>
      <c r="M215" s="105">
        <v>68.459999999999994</v>
      </c>
      <c r="N215" s="105">
        <v>955.89</v>
      </c>
      <c r="O215" s="105">
        <v>106.55</v>
      </c>
      <c r="P215" s="105">
        <v>178.29</v>
      </c>
      <c r="Q215" s="105">
        <v>137.46</v>
      </c>
      <c r="R215" s="105">
        <v>45.15</v>
      </c>
      <c r="S215" s="105">
        <v>38.54</v>
      </c>
      <c r="T215" s="105">
        <v>102.82</v>
      </c>
      <c r="U215" s="105">
        <v>57.46</v>
      </c>
      <c r="V215" s="105">
        <v>50.120824460000001</v>
      </c>
      <c r="W215" s="105">
        <v>51.97</v>
      </c>
      <c r="X215" s="105">
        <v>58.09</v>
      </c>
      <c r="Y215" s="105">
        <v>26.729840197000001</v>
      </c>
      <c r="Z215" s="105">
        <v>13.95</v>
      </c>
      <c r="AA215" s="105">
        <v>52.5</v>
      </c>
      <c r="AB215" s="105">
        <v>3.4</v>
      </c>
      <c r="AC215" s="105">
        <v>113.6</v>
      </c>
      <c r="AD215" s="105">
        <v>54.69</v>
      </c>
      <c r="AE215" s="105">
        <v>16.23</v>
      </c>
      <c r="AF215" s="105">
        <v>23.7</v>
      </c>
      <c r="AG215" s="105">
        <v>39.75</v>
      </c>
      <c r="AH215" s="105">
        <v>50.19</v>
      </c>
      <c r="AI215" s="105">
        <v>12.32</v>
      </c>
      <c r="AJ215" s="105">
        <v>15.35</v>
      </c>
      <c r="AK215" s="105">
        <v>21.58</v>
      </c>
      <c r="AL215" s="105">
        <v>78.569999999999993</v>
      </c>
      <c r="AM215" s="105">
        <v>150.65</v>
      </c>
      <c r="AN215" s="105">
        <v>134.84</v>
      </c>
      <c r="AO215" s="105">
        <v>46.02</v>
      </c>
      <c r="AP215" s="105">
        <v>39.734999999999999</v>
      </c>
      <c r="AQ215" s="105">
        <v>67.23</v>
      </c>
      <c r="AR215" s="105">
        <v>32.665431599999998</v>
      </c>
      <c r="AS215" s="105">
        <v>39.43</v>
      </c>
      <c r="AT215" s="105">
        <v>55.01</v>
      </c>
      <c r="AU215" s="105">
        <v>184.86</v>
      </c>
      <c r="AV215" s="105">
        <v>81.489999999999995</v>
      </c>
      <c r="AW215" s="105">
        <v>64.08</v>
      </c>
      <c r="AX215" s="105">
        <v>14.45</v>
      </c>
      <c r="AY215" s="105">
        <v>22.168047600000001</v>
      </c>
      <c r="AZ215" s="105">
        <v>62.6567492</v>
      </c>
      <c r="BA215" s="105">
        <v>35.753744249999997</v>
      </c>
      <c r="BB215" s="105">
        <v>67.95</v>
      </c>
      <c r="BC215" s="105">
        <v>144.47499999999999</v>
      </c>
      <c r="BD215" s="105">
        <v>102.65</v>
      </c>
    </row>
    <row r="216" spans="3:56" x14ac:dyDescent="0.25">
      <c r="C216" s="38">
        <v>42859</v>
      </c>
      <c r="D216" s="105">
        <v>92.62</v>
      </c>
      <c r="E216" s="105">
        <v>111.17</v>
      </c>
      <c r="F216" s="105">
        <v>54.47</v>
      </c>
      <c r="G216" s="105">
        <v>45.47</v>
      </c>
      <c r="H216" s="105">
        <v>99.39</v>
      </c>
      <c r="I216" s="105">
        <v>150.85</v>
      </c>
      <c r="J216" s="105">
        <v>36.6325</v>
      </c>
      <c r="K216" s="105">
        <v>937.53</v>
      </c>
      <c r="L216" s="105">
        <v>157.25</v>
      </c>
      <c r="M216" s="105">
        <v>68.81</v>
      </c>
      <c r="N216" s="105">
        <v>954.72</v>
      </c>
      <c r="O216" s="105">
        <v>107.28</v>
      </c>
      <c r="P216" s="105">
        <v>177.2</v>
      </c>
      <c r="Q216" s="105">
        <v>141.88999999999999</v>
      </c>
      <c r="R216" s="105">
        <v>44.92</v>
      </c>
      <c r="S216" s="105">
        <v>38.44</v>
      </c>
      <c r="T216" s="105">
        <v>96.88</v>
      </c>
      <c r="U216" s="105">
        <v>58.5</v>
      </c>
      <c r="V216" s="105">
        <v>48.931450120000001</v>
      </c>
      <c r="W216" s="105">
        <v>50.87</v>
      </c>
      <c r="X216" s="105">
        <v>58.34</v>
      </c>
      <c r="Y216" s="105">
        <v>24.83708317</v>
      </c>
      <c r="Z216" s="105">
        <v>12.1</v>
      </c>
      <c r="AA216" s="105">
        <v>46.25</v>
      </c>
      <c r="AB216" s="105">
        <v>2.84</v>
      </c>
      <c r="AC216" s="105">
        <v>89.85</v>
      </c>
      <c r="AD216" s="105">
        <v>52.65</v>
      </c>
      <c r="AE216" s="105">
        <v>18.78</v>
      </c>
      <c r="AF216" s="105">
        <v>23.32</v>
      </c>
      <c r="AG216" s="105">
        <v>39.65</v>
      </c>
      <c r="AH216" s="105">
        <v>50.76</v>
      </c>
      <c r="AI216" s="105">
        <v>11.6</v>
      </c>
      <c r="AJ216" s="105">
        <v>15</v>
      </c>
      <c r="AK216" s="105">
        <v>21.54</v>
      </c>
      <c r="AL216" s="105">
        <v>79.78</v>
      </c>
      <c r="AM216" s="105">
        <v>159.05000000000001</v>
      </c>
      <c r="AN216" s="105">
        <v>134.97999999999999</v>
      </c>
      <c r="AO216" s="105">
        <v>45.88</v>
      </c>
      <c r="AP216" s="105">
        <v>39.484999999999999</v>
      </c>
      <c r="AQ216" s="105">
        <v>65.97</v>
      </c>
      <c r="AR216" s="105">
        <v>31.494627600000001</v>
      </c>
      <c r="AS216" s="105">
        <v>38.01</v>
      </c>
      <c r="AT216" s="105">
        <v>54.6</v>
      </c>
      <c r="AU216" s="105">
        <v>184.86</v>
      </c>
      <c r="AV216" s="105">
        <v>81.96</v>
      </c>
      <c r="AW216" s="105">
        <v>63.58</v>
      </c>
      <c r="AX216" s="105">
        <v>14.28</v>
      </c>
      <c r="AY216" s="105">
        <v>22.216343999999999</v>
      </c>
      <c r="AZ216" s="105">
        <v>62.227993840000003</v>
      </c>
      <c r="BA216" s="105">
        <v>30.597421950000001</v>
      </c>
      <c r="BB216" s="105">
        <v>68.849999999999994</v>
      </c>
      <c r="BC216" s="105">
        <v>146.9</v>
      </c>
      <c r="BD216" s="105">
        <v>104.47</v>
      </c>
    </row>
    <row r="217" spans="3:56" x14ac:dyDescent="0.25">
      <c r="C217" s="38">
        <v>42852</v>
      </c>
      <c r="D217" s="105">
        <v>91.6</v>
      </c>
      <c r="E217" s="105">
        <v>115.84</v>
      </c>
      <c r="F217" s="105">
        <v>55.47</v>
      </c>
      <c r="G217" s="105">
        <v>44.77</v>
      </c>
      <c r="H217" s="105">
        <v>102.68</v>
      </c>
      <c r="I217" s="105">
        <v>147.69999999999999</v>
      </c>
      <c r="J217" s="105">
        <v>35.947499999999998</v>
      </c>
      <c r="K217" s="105">
        <v>918.38</v>
      </c>
      <c r="L217" s="105">
        <v>153.08000000000001</v>
      </c>
      <c r="M217" s="105">
        <v>68.27</v>
      </c>
      <c r="N217" s="105">
        <v>891.44</v>
      </c>
      <c r="O217" s="105">
        <v>107.38</v>
      </c>
      <c r="P217" s="105">
        <v>171.06</v>
      </c>
      <c r="Q217" s="105">
        <v>120.09</v>
      </c>
      <c r="R217" s="105">
        <v>45.13</v>
      </c>
      <c r="S217" s="105">
        <v>38.08</v>
      </c>
      <c r="T217" s="105">
        <v>95.74</v>
      </c>
      <c r="U217" s="105">
        <v>59.2</v>
      </c>
      <c r="V217" s="105">
        <v>50.238778940000003</v>
      </c>
      <c r="W217" s="105">
        <v>52.35</v>
      </c>
      <c r="X217" s="105">
        <v>55.75</v>
      </c>
      <c r="Y217" s="105">
        <v>25.273873253000001</v>
      </c>
      <c r="Z217" s="105">
        <v>12.05</v>
      </c>
      <c r="AA217" s="105">
        <v>46.35</v>
      </c>
      <c r="AB217" s="105">
        <v>2.84</v>
      </c>
      <c r="AC217" s="105">
        <v>91.05</v>
      </c>
      <c r="AD217" s="105">
        <v>50.49</v>
      </c>
      <c r="AE217" s="105">
        <v>18.697500000000002</v>
      </c>
      <c r="AF217" s="105">
        <v>27.45</v>
      </c>
      <c r="AG217" s="105">
        <v>37.9</v>
      </c>
      <c r="AH217" s="105">
        <v>51.01</v>
      </c>
      <c r="AI217" s="105">
        <v>11.81</v>
      </c>
      <c r="AJ217" s="105">
        <v>15.7</v>
      </c>
      <c r="AK217" s="105">
        <v>22.14</v>
      </c>
      <c r="AL217" s="105">
        <v>80.349999999999994</v>
      </c>
      <c r="AM217" s="105">
        <v>160.32</v>
      </c>
      <c r="AN217" s="105">
        <v>135.37</v>
      </c>
      <c r="AO217" s="105">
        <v>46.67</v>
      </c>
      <c r="AP217" s="105">
        <v>39.484999999999999</v>
      </c>
      <c r="AQ217" s="105">
        <v>64.599999999999994</v>
      </c>
      <c r="AR217" s="105">
        <v>32.109299700000001</v>
      </c>
      <c r="AS217" s="105">
        <v>37.72</v>
      </c>
      <c r="AT217" s="105">
        <v>53.43</v>
      </c>
      <c r="AU217" s="105">
        <v>182.55</v>
      </c>
      <c r="AV217" s="105">
        <v>83.13</v>
      </c>
      <c r="AW217" s="105">
        <v>60.45</v>
      </c>
      <c r="AX217" s="105">
        <v>12.45</v>
      </c>
      <c r="AY217" s="105">
        <v>22.409529599999999</v>
      </c>
      <c r="AZ217" s="105">
        <v>62.481349280000003</v>
      </c>
      <c r="BA217" s="105">
        <v>30.597421950000001</v>
      </c>
      <c r="BB217" s="105">
        <v>69.66</v>
      </c>
      <c r="BC217" s="105">
        <v>146.15</v>
      </c>
      <c r="BD217" s="105">
        <v>97.12</v>
      </c>
    </row>
    <row r="218" spans="3:56" x14ac:dyDescent="0.25">
      <c r="C218" s="38">
        <v>42845</v>
      </c>
      <c r="D218" s="105">
        <v>91.15</v>
      </c>
      <c r="E218" s="105">
        <v>114.79</v>
      </c>
      <c r="F218" s="105">
        <v>56.4</v>
      </c>
      <c r="G218" s="105">
        <v>44.53</v>
      </c>
      <c r="H218" s="105">
        <v>94.66</v>
      </c>
      <c r="I218" s="105">
        <v>143.80000000000001</v>
      </c>
      <c r="J218" s="105">
        <v>35.61</v>
      </c>
      <c r="K218" s="105">
        <v>902.06</v>
      </c>
      <c r="L218" s="105">
        <v>141.18</v>
      </c>
      <c r="M218" s="105">
        <v>65.5</v>
      </c>
      <c r="N218" s="105">
        <v>860.08</v>
      </c>
      <c r="O218" s="105">
        <v>108.8</v>
      </c>
      <c r="P218" s="105">
        <v>172.95</v>
      </c>
      <c r="Q218" s="105">
        <v>118.87</v>
      </c>
      <c r="R218" s="105">
        <v>44.65</v>
      </c>
      <c r="S218" s="105">
        <v>37.799999999999997</v>
      </c>
      <c r="T218" s="105">
        <v>92.77</v>
      </c>
      <c r="U218" s="105">
        <v>57.77</v>
      </c>
      <c r="V218" s="105">
        <v>51.005483060000003</v>
      </c>
      <c r="W218" s="105">
        <v>50.53</v>
      </c>
      <c r="X218" s="105">
        <v>55.95</v>
      </c>
      <c r="Y218" s="105">
        <v>24.061994884000001</v>
      </c>
      <c r="Z218" s="105">
        <v>11.55</v>
      </c>
      <c r="AA218" s="105">
        <v>45.35</v>
      </c>
      <c r="AB218" s="105">
        <v>2.82</v>
      </c>
      <c r="AC218" s="105">
        <v>87.2</v>
      </c>
      <c r="AD218" s="105">
        <v>48.33</v>
      </c>
      <c r="AE218" s="105">
        <v>17.467500000000001</v>
      </c>
      <c r="AF218" s="105">
        <v>27.1</v>
      </c>
      <c r="AG218" s="105">
        <v>36.700000000000003</v>
      </c>
      <c r="AH218" s="105">
        <v>51.84</v>
      </c>
      <c r="AI218" s="105">
        <v>11.217499999999999</v>
      </c>
      <c r="AJ218" s="105">
        <v>16.45</v>
      </c>
      <c r="AK218" s="105">
        <v>21.39</v>
      </c>
      <c r="AL218" s="105">
        <v>80.31</v>
      </c>
      <c r="AM218" s="105">
        <v>162.30000000000001</v>
      </c>
      <c r="AN218" s="105">
        <v>132.76</v>
      </c>
      <c r="AO218" s="105">
        <v>48.41</v>
      </c>
      <c r="AP218" s="105">
        <v>39.085000000000001</v>
      </c>
      <c r="AQ218" s="105">
        <v>62.03</v>
      </c>
      <c r="AR218" s="105">
        <v>32.850808899999997</v>
      </c>
      <c r="AS218" s="105">
        <v>37.08</v>
      </c>
      <c r="AT218" s="105">
        <v>52.45</v>
      </c>
      <c r="AU218" s="105">
        <v>186.05</v>
      </c>
      <c r="AV218" s="105">
        <v>79.569999999999993</v>
      </c>
      <c r="AW218" s="105">
        <v>59.49</v>
      </c>
      <c r="AX218" s="105">
        <v>12.15</v>
      </c>
      <c r="AY218" s="105">
        <v>21.878269199999998</v>
      </c>
      <c r="AZ218" s="105">
        <v>58.55433996</v>
      </c>
      <c r="BA218" s="105">
        <v>29.721820050000002</v>
      </c>
      <c r="BB218" s="105">
        <v>69.010000000000005</v>
      </c>
      <c r="BC218" s="105">
        <v>160.85</v>
      </c>
      <c r="BD218" s="105">
        <v>95.11</v>
      </c>
    </row>
    <row r="219" spans="3:56" x14ac:dyDescent="0.25">
      <c r="C219" s="38">
        <v>42838</v>
      </c>
      <c r="D219" s="105">
        <v>88.87</v>
      </c>
      <c r="E219" s="105">
        <v>113.2</v>
      </c>
      <c r="F219" s="105">
        <v>55.34</v>
      </c>
      <c r="G219" s="105">
        <v>44</v>
      </c>
      <c r="H219" s="105">
        <v>93.1</v>
      </c>
      <c r="I219" s="105">
        <v>139.38999999999999</v>
      </c>
      <c r="J219" s="105">
        <v>35.262500000000003</v>
      </c>
      <c r="K219" s="105">
        <v>884.67</v>
      </c>
      <c r="L219" s="105">
        <v>142.91999999999999</v>
      </c>
      <c r="M219" s="105">
        <v>64.95</v>
      </c>
      <c r="N219" s="105">
        <v>840.18</v>
      </c>
      <c r="O219" s="105">
        <v>108.2</v>
      </c>
      <c r="P219" s="105">
        <v>168.95</v>
      </c>
      <c r="Q219" s="105">
        <v>113.73</v>
      </c>
      <c r="R219" s="105">
        <v>44.82</v>
      </c>
      <c r="S219" s="105">
        <v>37.58</v>
      </c>
      <c r="T219" s="105">
        <v>91.55</v>
      </c>
      <c r="U219" s="105">
        <v>55.9</v>
      </c>
      <c r="V219" s="105">
        <v>50.907187659999998</v>
      </c>
      <c r="W219" s="105">
        <v>48.27</v>
      </c>
      <c r="X219" s="105">
        <v>54.31</v>
      </c>
      <c r="Y219" s="105">
        <v>24.280389926000002</v>
      </c>
      <c r="Z219" s="105">
        <v>11</v>
      </c>
      <c r="AA219" s="105">
        <v>43.6</v>
      </c>
      <c r="AB219" s="105">
        <v>2.77</v>
      </c>
      <c r="AC219" s="105">
        <v>81</v>
      </c>
      <c r="AD219" s="105">
        <v>44.99</v>
      </c>
      <c r="AE219" s="105">
        <v>16.637499999999999</v>
      </c>
      <c r="AF219" s="105">
        <v>27.46</v>
      </c>
      <c r="AG219" s="105">
        <v>33.299999999999997</v>
      </c>
      <c r="AH219" s="105">
        <v>49.66</v>
      </c>
      <c r="AI219" s="105">
        <v>10.2775</v>
      </c>
      <c r="AJ219" s="105">
        <v>15.6</v>
      </c>
      <c r="AK219" s="105">
        <v>20.73</v>
      </c>
      <c r="AL219" s="105">
        <v>80.31</v>
      </c>
      <c r="AM219" s="105">
        <v>169.53</v>
      </c>
      <c r="AN219" s="105">
        <v>129.93</v>
      </c>
      <c r="AO219" s="105">
        <v>48.62</v>
      </c>
      <c r="AP219" s="105">
        <v>38.405000000000001</v>
      </c>
      <c r="AQ219" s="105">
        <v>59.49</v>
      </c>
      <c r="AR219" s="105">
        <v>33.660615</v>
      </c>
      <c r="AS219" s="105">
        <v>37.67</v>
      </c>
      <c r="AT219" s="105">
        <v>51.9</v>
      </c>
      <c r="AU219" s="105">
        <v>182.59</v>
      </c>
      <c r="AV219" s="105">
        <v>76.459999999999994</v>
      </c>
      <c r="AW219" s="105">
        <v>57.74</v>
      </c>
      <c r="AX219" s="105">
        <v>12</v>
      </c>
      <c r="AY219" s="105">
        <v>20.9123412</v>
      </c>
      <c r="AZ219" s="105">
        <v>56.546985319999997</v>
      </c>
      <c r="BA219" s="105">
        <v>28.165194450000001</v>
      </c>
      <c r="BB219" s="105">
        <v>68.22</v>
      </c>
      <c r="BC219" s="105">
        <v>152.05000000000001</v>
      </c>
      <c r="BD219" s="105">
        <v>92.68</v>
      </c>
    </row>
    <row r="220" spans="3:56" x14ac:dyDescent="0.25">
      <c r="C220" s="38">
        <v>42831</v>
      </c>
      <c r="D220" s="105">
        <v>89.09</v>
      </c>
      <c r="E220" s="105">
        <v>113.05</v>
      </c>
      <c r="F220" s="105">
        <v>55.14</v>
      </c>
      <c r="G220" s="105">
        <v>44.18</v>
      </c>
      <c r="H220" s="105">
        <v>95.82</v>
      </c>
      <c r="I220" s="105">
        <v>141.16999999999999</v>
      </c>
      <c r="J220" s="105">
        <v>35.914999999999999</v>
      </c>
      <c r="K220" s="105">
        <v>898.28</v>
      </c>
      <c r="L220" s="105">
        <v>143.74</v>
      </c>
      <c r="M220" s="105">
        <v>65.73</v>
      </c>
      <c r="N220" s="105">
        <v>845.09500000000003</v>
      </c>
      <c r="O220" s="105">
        <v>108.88</v>
      </c>
      <c r="P220" s="105">
        <v>171.77</v>
      </c>
      <c r="Q220" s="105">
        <v>115.19</v>
      </c>
      <c r="R220" s="105">
        <v>44.59</v>
      </c>
      <c r="S220" s="105">
        <v>37.409999999999997</v>
      </c>
      <c r="T220" s="105">
        <v>91.77</v>
      </c>
      <c r="U220" s="105">
        <v>56.68</v>
      </c>
      <c r="V220" s="105">
        <v>50.04218814</v>
      </c>
      <c r="W220" s="105">
        <v>47.99</v>
      </c>
      <c r="X220" s="105">
        <v>53.38</v>
      </c>
      <c r="Y220" s="105">
        <v>23.800777285999999</v>
      </c>
      <c r="Z220" s="105">
        <v>11.15</v>
      </c>
      <c r="AA220" s="105">
        <v>43.3</v>
      </c>
      <c r="AB220" s="105">
        <v>2.8</v>
      </c>
      <c r="AC220" s="105">
        <v>84.15</v>
      </c>
      <c r="AD220" s="105">
        <v>47.42</v>
      </c>
      <c r="AE220" s="105">
        <v>16.809999999999999</v>
      </c>
      <c r="AF220" s="105">
        <v>29.19</v>
      </c>
      <c r="AG220" s="105">
        <v>33.35</v>
      </c>
      <c r="AH220" s="105">
        <v>49.69</v>
      </c>
      <c r="AI220" s="105">
        <v>11.2</v>
      </c>
      <c r="AJ220" s="105">
        <v>15.7</v>
      </c>
      <c r="AK220" s="105">
        <v>20.91</v>
      </c>
      <c r="AL220" s="105">
        <v>80.459999999999994</v>
      </c>
      <c r="AM220" s="105">
        <v>172.45</v>
      </c>
      <c r="AN220" s="105">
        <v>130.84</v>
      </c>
      <c r="AO220" s="105">
        <v>48.43</v>
      </c>
      <c r="AP220" s="105">
        <v>38.4</v>
      </c>
      <c r="AQ220" s="105">
        <v>60.93</v>
      </c>
      <c r="AR220" s="105">
        <v>33.338643900000001</v>
      </c>
      <c r="AS220" s="105">
        <v>38.96</v>
      </c>
      <c r="AT220" s="105">
        <v>51.64</v>
      </c>
      <c r="AU220" s="105">
        <v>183.4</v>
      </c>
      <c r="AV220" s="105">
        <v>78.05</v>
      </c>
      <c r="AW220" s="105">
        <v>57.9</v>
      </c>
      <c r="AX220" s="105">
        <v>12.36</v>
      </c>
      <c r="AY220" s="105">
        <v>21.491897999999999</v>
      </c>
      <c r="AZ220" s="105">
        <v>59.811372720000001</v>
      </c>
      <c r="BA220" s="105">
        <v>28.06790535</v>
      </c>
      <c r="BB220" s="105">
        <v>68.510000000000005</v>
      </c>
      <c r="BC220" s="105">
        <v>157.6</v>
      </c>
      <c r="BD220" s="105">
        <v>94.79</v>
      </c>
    </row>
    <row r="221" spans="3:56" x14ac:dyDescent="0.25">
      <c r="C221" s="38">
        <v>42824</v>
      </c>
      <c r="D221" s="105">
        <v>89.01</v>
      </c>
      <c r="E221" s="105">
        <v>113.18</v>
      </c>
      <c r="F221" s="105">
        <v>56.04</v>
      </c>
      <c r="G221" s="105">
        <v>44.68</v>
      </c>
      <c r="H221" s="105">
        <v>93.22</v>
      </c>
      <c r="I221" s="105">
        <v>142.41</v>
      </c>
      <c r="J221" s="105">
        <v>35.982500000000002</v>
      </c>
      <c r="K221" s="105">
        <v>876.34</v>
      </c>
      <c r="L221" s="105">
        <v>148.06</v>
      </c>
      <c r="M221" s="105">
        <v>65.709999999999994</v>
      </c>
      <c r="N221" s="105">
        <v>849.48</v>
      </c>
      <c r="O221" s="105">
        <v>108.9</v>
      </c>
      <c r="P221" s="105">
        <v>162.44</v>
      </c>
      <c r="Q221" s="105">
        <v>113.96</v>
      </c>
      <c r="R221" s="105">
        <v>44.31</v>
      </c>
      <c r="S221" s="105">
        <v>37.24</v>
      </c>
      <c r="T221" s="105">
        <v>94.64</v>
      </c>
      <c r="U221" s="105">
        <v>57.03</v>
      </c>
      <c r="V221" s="105">
        <v>50.4255402</v>
      </c>
      <c r="W221" s="105">
        <v>48.59</v>
      </c>
      <c r="X221" s="105">
        <v>53.83</v>
      </c>
      <c r="Y221" s="105">
        <v>24.151922254999999</v>
      </c>
      <c r="Z221" s="105">
        <v>10.85</v>
      </c>
      <c r="AA221" s="105">
        <v>43.95</v>
      </c>
      <c r="AB221" s="105">
        <v>2.88</v>
      </c>
      <c r="AC221" s="105">
        <v>86.7</v>
      </c>
      <c r="AD221" s="105">
        <v>47.43</v>
      </c>
      <c r="AE221" s="105">
        <v>17.2</v>
      </c>
      <c r="AF221" s="105">
        <v>29.35</v>
      </c>
      <c r="AG221" s="105">
        <v>34</v>
      </c>
      <c r="AH221" s="105">
        <v>49.12</v>
      </c>
      <c r="AI221" s="105">
        <v>11.5725</v>
      </c>
      <c r="AJ221" s="105">
        <v>16.899999999999999</v>
      </c>
      <c r="AK221" s="105">
        <v>20.73</v>
      </c>
      <c r="AL221" s="105">
        <v>79.489999999999995</v>
      </c>
      <c r="AM221" s="105">
        <v>173.86</v>
      </c>
      <c r="AN221" s="105">
        <v>131.94999999999999</v>
      </c>
      <c r="AO221" s="105">
        <v>49.06</v>
      </c>
      <c r="AP221" s="105">
        <v>39.884999999999998</v>
      </c>
      <c r="AQ221" s="105">
        <v>62.64</v>
      </c>
      <c r="AR221" s="105">
        <v>32.128813100000002</v>
      </c>
      <c r="AS221" s="105">
        <v>39.590000000000003</v>
      </c>
      <c r="AT221" s="105">
        <v>52.02</v>
      </c>
      <c r="AU221" s="105">
        <v>183.71</v>
      </c>
      <c r="AV221" s="105">
        <v>79.44</v>
      </c>
      <c r="AW221" s="105">
        <v>57.19</v>
      </c>
      <c r="AX221" s="105">
        <v>12.82</v>
      </c>
      <c r="AY221" s="105">
        <v>20.670859199999999</v>
      </c>
      <c r="AZ221" s="105">
        <v>58.817439839999999</v>
      </c>
      <c r="BA221" s="105">
        <v>28.65163995</v>
      </c>
      <c r="BB221" s="105">
        <v>67.849999999999994</v>
      </c>
      <c r="BC221" s="105">
        <v>161.35</v>
      </c>
      <c r="BD221" s="105">
        <v>95.44</v>
      </c>
    </row>
    <row r="222" spans="3:56" x14ac:dyDescent="0.25">
      <c r="C222" s="38">
        <v>42817</v>
      </c>
      <c r="D222" s="105">
        <v>88.86</v>
      </c>
      <c r="E222" s="105">
        <v>112.24</v>
      </c>
      <c r="F222" s="105">
        <v>55.37</v>
      </c>
      <c r="G222" s="105">
        <v>44.95</v>
      </c>
      <c r="H222" s="105">
        <v>92.23</v>
      </c>
      <c r="I222" s="105">
        <v>139.53</v>
      </c>
      <c r="J222" s="105">
        <v>35.229999999999997</v>
      </c>
      <c r="K222" s="105">
        <v>847.38</v>
      </c>
      <c r="L222" s="105">
        <v>141.84</v>
      </c>
      <c r="M222" s="105">
        <v>64.87</v>
      </c>
      <c r="N222" s="105">
        <v>839.65</v>
      </c>
      <c r="O222" s="105">
        <v>108.1</v>
      </c>
      <c r="P222" s="105">
        <v>162.72</v>
      </c>
      <c r="Q222" s="105">
        <v>112.55</v>
      </c>
      <c r="R222" s="105">
        <v>44.58</v>
      </c>
      <c r="S222" s="105">
        <v>37.64</v>
      </c>
      <c r="T222" s="105">
        <v>93.14</v>
      </c>
      <c r="U222" s="105">
        <v>55.59</v>
      </c>
      <c r="V222" s="105">
        <v>49.993040440000001</v>
      </c>
      <c r="W222" s="105">
        <v>44.62</v>
      </c>
      <c r="X222" s="105">
        <v>52.37</v>
      </c>
      <c r="Y222" s="105">
        <v>22.867245538999999</v>
      </c>
      <c r="Z222" s="105">
        <v>10.9</v>
      </c>
      <c r="AA222" s="105">
        <v>41.75</v>
      </c>
      <c r="AB222" s="105">
        <v>2.81</v>
      </c>
      <c r="AC222" s="105">
        <v>83.1</v>
      </c>
      <c r="AD222" s="105">
        <v>46.76</v>
      </c>
      <c r="AE222" s="105">
        <v>17.375</v>
      </c>
      <c r="AF222" s="105">
        <v>29</v>
      </c>
      <c r="AG222" s="105">
        <v>32.6</v>
      </c>
      <c r="AH222" s="105">
        <v>47.39</v>
      </c>
      <c r="AI222" s="105">
        <v>11.105</v>
      </c>
      <c r="AJ222" s="105">
        <v>16.55</v>
      </c>
      <c r="AK222" s="105">
        <v>19.920000000000002</v>
      </c>
      <c r="AL222" s="105">
        <v>80.19</v>
      </c>
      <c r="AM222" s="105">
        <v>174.82</v>
      </c>
      <c r="AN222" s="105">
        <v>131.59</v>
      </c>
      <c r="AO222" s="105">
        <v>49.64</v>
      </c>
      <c r="AP222" s="105">
        <v>39.215000000000003</v>
      </c>
      <c r="AQ222" s="105">
        <v>60.77</v>
      </c>
      <c r="AR222" s="105">
        <v>32.802025399999998</v>
      </c>
      <c r="AS222" s="105">
        <v>41.604999999999997</v>
      </c>
      <c r="AT222" s="105">
        <v>52.65</v>
      </c>
      <c r="AU222" s="105">
        <v>183.71</v>
      </c>
      <c r="AV222" s="105">
        <v>74.38</v>
      </c>
      <c r="AW222" s="105">
        <v>54.09</v>
      </c>
      <c r="AX222" s="105">
        <v>12.19</v>
      </c>
      <c r="AY222" s="105">
        <v>21.008934</v>
      </c>
      <c r="AZ222" s="105">
        <v>58.184051240000002</v>
      </c>
      <c r="BA222" s="105">
        <v>29.332663650000001</v>
      </c>
      <c r="BB222" s="105">
        <v>67.709999999999994</v>
      </c>
      <c r="BC222" s="105">
        <v>161.05000000000001</v>
      </c>
      <c r="BD222" s="105">
        <v>95.34</v>
      </c>
    </row>
    <row r="223" spans="3:56" x14ac:dyDescent="0.25">
      <c r="C223" s="38">
        <v>42810</v>
      </c>
      <c r="D223" s="105">
        <v>90.04</v>
      </c>
      <c r="E223" s="105">
        <v>111.71</v>
      </c>
      <c r="F223" s="105">
        <v>57.6</v>
      </c>
      <c r="G223" s="105">
        <v>45.73</v>
      </c>
      <c r="H223" s="105">
        <v>92.85</v>
      </c>
      <c r="I223" s="105">
        <v>139.99</v>
      </c>
      <c r="J223" s="105">
        <v>35.172499999999999</v>
      </c>
      <c r="K223" s="105">
        <v>853.42</v>
      </c>
      <c r="L223" s="105">
        <v>144.38999999999999</v>
      </c>
      <c r="M223" s="105">
        <v>64.64</v>
      </c>
      <c r="N223" s="105">
        <v>870</v>
      </c>
      <c r="O223" s="105">
        <v>109.47</v>
      </c>
      <c r="P223" s="105">
        <v>162.04</v>
      </c>
      <c r="Q223" s="105">
        <v>110.47</v>
      </c>
      <c r="R223" s="105">
        <v>43.58</v>
      </c>
      <c r="S223" s="105">
        <v>36.74</v>
      </c>
      <c r="T223" s="105">
        <v>88.06</v>
      </c>
      <c r="U223" s="105">
        <v>56.52</v>
      </c>
      <c r="V223" s="105">
        <v>52.067073379999997</v>
      </c>
      <c r="W223" s="105">
        <v>44.5</v>
      </c>
      <c r="X223" s="105">
        <v>54.15</v>
      </c>
      <c r="Y223" s="105">
        <v>22.524665080999998</v>
      </c>
      <c r="Z223" s="105">
        <v>11.25</v>
      </c>
      <c r="AA223" s="105">
        <v>43.65</v>
      </c>
      <c r="AB223" s="105">
        <v>2.84</v>
      </c>
      <c r="AC223" s="105">
        <v>84.4</v>
      </c>
      <c r="AD223" s="105">
        <v>50.15</v>
      </c>
      <c r="AE223" s="105">
        <v>18.2225</v>
      </c>
      <c r="AF223" s="105">
        <v>28.99</v>
      </c>
      <c r="AG223" s="105">
        <v>32.25</v>
      </c>
      <c r="AH223" s="105">
        <v>48.2</v>
      </c>
      <c r="AI223" s="105">
        <v>11.425000000000001</v>
      </c>
      <c r="AJ223" s="105">
        <v>16.649999999999999</v>
      </c>
      <c r="AK223" s="105">
        <v>20.02</v>
      </c>
      <c r="AL223" s="105">
        <v>79.180000000000007</v>
      </c>
      <c r="AM223" s="105">
        <v>177.24</v>
      </c>
      <c r="AN223" s="105">
        <v>131.5</v>
      </c>
      <c r="AO223" s="105">
        <v>50.04</v>
      </c>
      <c r="AP223" s="105">
        <v>39.61</v>
      </c>
      <c r="AQ223" s="105">
        <v>62.25</v>
      </c>
      <c r="AR223" s="105">
        <v>32.011732700000003</v>
      </c>
      <c r="AS223" s="105">
        <v>42.49</v>
      </c>
      <c r="AT223" s="105">
        <v>52.31</v>
      </c>
      <c r="AU223" s="105">
        <v>181.37</v>
      </c>
      <c r="AV223" s="105">
        <v>75.53</v>
      </c>
      <c r="AW223" s="105">
        <v>56.59</v>
      </c>
      <c r="AX223" s="105">
        <v>10.8</v>
      </c>
      <c r="AY223" s="105">
        <v>21.588490799999999</v>
      </c>
      <c r="AZ223" s="105">
        <v>59.129261919999998</v>
      </c>
      <c r="BA223" s="105">
        <v>29.527241849999999</v>
      </c>
      <c r="BB223" s="105">
        <v>65.790000000000006</v>
      </c>
      <c r="BC223" s="105">
        <v>156.94999999999999</v>
      </c>
      <c r="BD223" s="105">
        <v>98.59</v>
      </c>
    </row>
    <row r="224" spans="3:56" x14ac:dyDescent="0.25">
      <c r="C224" s="38">
        <v>42803</v>
      </c>
      <c r="D224" s="105">
        <v>89.11</v>
      </c>
      <c r="E224" s="105">
        <v>111.03</v>
      </c>
      <c r="F224" s="105">
        <v>56.36</v>
      </c>
      <c r="G224" s="105">
        <v>42.44</v>
      </c>
      <c r="H224" s="105">
        <v>91.39</v>
      </c>
      <c r="I224" s="105">
        <v>138.24</v>
      </c>
      <c r="J224" s="105">
        <v>34.67</v>
      </c>
      <c r="K224" s="105">
        <v>853</v>
      </c>
      <c r="L224" s="105">
        <v>140.53</v>
      </c>
      <c r="M224" s="105">
        <v>64.73</v>
      </c>
      <c r="N224" s="105">
        <v>857.84</v>
      </c>
      <c r="O224" s="105">
        <v>109.36</v>
      </c>
      <c r="P224" s="105">
        <v>155.79</v>
      </c>
      <c r="Q224" s="105">
        <v>105.36</v>
      </c>
      <c r="R224" s="105">
        <v>43.07</v>
      </c>
      <c r="S224" s="105">
        <v>36.03</v>
      </c>
      <c r="T224" s="105">
        <v>86.31</v>
      </c>
      <c r="U224" s="105">
        <v>53.75</v>
      </c>
      <c r="V224" s="105">
        <v>51.044801219999997</v>
      </c>
      <c r="W224" s="105">
        <v>44.84</v>
      </c>
      <c r="X224" s="105">
        <v>56.36</v>
      </c>
      <c r="Y224" s="105">
        <v>21.668213938000001</v>
      </c>
      <c r="Z224" s="105">
        <v>9.85</v>
      </c>
      <c r="AA224" s="105">
        <v>43.45</v>
      </c>
      <c r="AB224" s="105">
        <v>2.75</v>
      </c>
      <c r="AC224" s="105">
        <v>83.1</v>
      </c>
      <c r="AD224" s="105">
        <v>49.35</v>
      </c>
      <c r="AE224" s="105">
        <v>17.217500000000001</v>
      </c>
      <c r="AF224" s="105">
        <v>29</v>
      </c>
      <c r="AG224" s="105">
        <v>31.8</v>
      </c>
      <c r="AH224" s="105">
        <v>48.35</v>
      </c>
      <c r="AI224" s="105">
        <v>11.2225</v>
      </c>
      <c r="AJ224" s="105">
        <v>16.899999999999999</v>
      </c>
      <c r="AK224" s="105">
        <v>19.074999999999999</v>
      </c>
      <c r="AL224" s="105">
        <v>78</v>
      </c>
      <c r="AM224" s="105">
        <v>177.18</v>
      </c>
      <c r="AN224" s="105">
        <v>129.81</v>
      </c>
      <c r="AO224" s="105">
        <v>49.28</v>
      </c>
      <c r="AP224" s="105">
        <v>38.97</v>
      </c>
      <c r="AQ224" s="105">
        <v>60.19</v>
      </c>
      <c r="AR224" s="105">
        <v>31.806842</v>
      </c>
      <c r="AS224" s="105">
        <v>43.23</v>
      </c>
      <c r="AT224" s="105">
        <v>52.42</v>
      </c>
      <c r="AU224" s="105">
        <v>185.07</v>
      </c>
      <c r="AV224" s="105">
        <v>75.53</v>
      </c>
      <c r="AW224" s="105">
        <v>55.85</v>
      </c>
      <c r="AX224" s="105">
        <v>10.44</v>
      </c>
      <c r="AY224" s="105">
        <v>20.622562800000001</v>
      </c>
      <c r="AZ224" s="105">
        <v>57.677340360000002</v>
      </c>
      <c r="BA224" s="105">
        <v>28.65163995</v>
      </c>
      <c r="BB224" s="105">
        <v>63.67</v>
      </c>
      <c r="BC224" s="105">
        <v>158.94999999999999</v>
      </c>
      <c r="BD224" s="105">
        <v>99.97</v>
      </c>
    </row>
    <row r="225" spans="3:56" x14ac:dyDescent="0.25">
      <c r="C225" s="38">
        <v>42796</v>
      </c>
      <c r="D225" s="105">
        <v>88.53</v>
      </c>
      <c r="E225" s="105">
        <v>110.59</v>
      </c>
      <c r="F225" s="105">
        <v>57.8</v>
      </c>
      <c r="G225" s="105">
        <v>42.89</v>
      </c>
      <c r="H225" s="105">
        <v>94.36</v>
      </c>
      <c r="I225" s="105">
        <v>136.76</v>
      </c>
      <c r="J225" s="105">
        <v>34.74</v>
      </c>
      <c r="K225" s="105">
        <v>848.91</v>
      </c>
      <c r="L225" s="105">
        <v>139.53</v>
      </c>
      <c r="M225" s="105">
        <v>64.010000000000005</v>
      </c>
      <c r="N225" s="105">
        <v>849.85</v>
      </c>
      <c r="O225" s="105">
        <v>109.13</v>
      </c>
      <c r="P225" s="105">
        <v>158.43</v>
      </c>
      <c r="Q225" s="105">
        <v>104.12</v>
      </c>
      <c r="R225" s="105">
        <v>43.85</v>
      </c>
      <c r="S225" s="105">
        <v>36.840000000000003</v>
      </c>
      <c r="T225" s="105">
        <v>87.52</v>
      </c>
      <c r="U225" s="105">
        <v>53.66</v>
      </c>
      <c r="V225" s="105">
        <v>48.89213196</v>
      </c>
      <c r="W225" s="105">
        <v>44.85</v>
      </c>
      <c r="X225" s="105">
        <v>57.57</v>
      </c>
      <c r="Y225" s="105">
        <v>22.824422982000002</v>
      </c>
      <c r="Z225" s="105">
        <v>9.75</v>
      </c>
      <c r="AA225" s="105">
        <v>44.3</v>
      </c>
      <c r="AB225" s="105">
        <v>2.74</v>
      </c>
      <c r="AC225" s="105">
        <v>84.45</v>
      </c>
      <c r="AD225" s="105">
        <v>51.19</v>
      </c>
      <c r="AE225" s="105">
        <v>17.4575</v>
      </c>
      <c r="AF225" s="105">
        <v>30.42</v>
      </c>
      <c r="AG225" s="105">
        <v>32.049999999999997</v>
      </c>
      <c r="AH225" s="105">
        <v>51.04</v>
      </c>
      <c r="AI225" s="105">
        <v>11.452500000000001</v>
      </c>
      <c r="AJ225" s="105">
        <v>17.399999999999999</v>
      </c>
      <c r="AK225" s="105">
        <v>19.89</v>
      </c>
      <c r="AL225" s="105">
        <v>79.92</v>
      </c>
      <c r="AM225" s="105">
        <v>180.53</v>
      </c>
      <c r="AN225" s="105">
        <v>130.79</v>
      </c>
      <c r="AO225" s="105">
        <v>49.98</v>
      </c>
      <c r="AP225" s="105">
        <v>39.695</v>
      </c>
      <c r="AQ225" s="105">
        <v>62.7</v>
      </c>
      <c r="AR225" s="105">
        <v>32.782511999999997</v>
      </c>
      <c r="AS225" s="105">
        <v>45.28</v>
      </c>
      <c r="AT225" s="105">
        <v>52.78</v>
      </c>
      <c r="AU225" s="105">
        <v>184.73</v>
      </c>
      <c r="AV225" s="105">
        <v>77.739999999999995</v>
      </c>
      <c r="AW225" s="105">
        <v>55.2</v>
      </c>
      <c r="AX225" s="105">
        <v>11</v>
      </c>
      <c r="AY225" s="105">
        <v>21.491897999999999</v>
      </c>
      <c r="AZ225" s="105">
        <v>59.431339559999998</v>
      </c>
      <c r="BA225" s="105">
        <v>30.305554650000001</v>
      </c>
      <c r="BB225" s="105">
        <v>66.010000000000005</v>
      </c>
      <c r="BC225" s="105">
        <v>170.4</v>
      </c>
      <c r="BD225" s="105">
        <v>99.75</v>
      </c>
    </row>
    <row r="226" spans="3:56" x14ac:dyDescent="0.25">
      <c r="C226" s="38">
        <v>42789</v>
      </c>
      <c r="D226" s="105">
        <v>88.18</v>
      </c>
      <c r="E226" s="105">
        <v>109.73</v>
      </c>
      <c r="F226" s="105">
        <v>57.39</v>
      </c>
      <c r="G226" s="105">
        <v>42.96</v>
      </c>
      <c r="H226" s="105">
        <v>95.55</v>
      </c>
      <c r="I226" s="105">
        <v>135.36000000000001</v>
      </c>
      <c r="J226" s="105">
        <v>34.1325</v>
      </c>
      <c r="K226" s="105">
        <v>852.19</v>
      </c>
      <c r="L226" s="105">
        <v>142.78</v>
      </c>
      <c r="M226" s="105">
        <v>64.62</v>
      </c>
      <c r="N226" s="105">
        <v>851</v>
      </c>
      <c r="O226" s="105">
        <v>108.65</v>
      </c>
      <c r="P226" s="105">
        <v>153.6</v>
      </c>
      <c r="Q226" s="105">
        <v>101.16</v>
      </c>
      <c r="R226" s="105">
        <v>42.95</v>
      </c>
      <c r="S226" s="105">
        <v>36.520000000000003</v>
      </c>
      <c r="T226" s="105">
        <v>87</v>
      </c>
      <c r="U226" s="105">
        <v>51.77</v>
      </c>
      <c r="V226" s="105">
        <v>46.346281099999999</v>
      </c>
      <c r="W226" s="105">
        <v>44.31</v>
      </c>
      <c r="X226" s="105">
        <v>57.26</v>
      </c>
      <c r="Y226" s="105">
        <v>22.935761629999998</v>
      </c>
      <c r="Z226" s="105">
        <v>11.3</v>
      </c>
      <c r="AA226" s="105">
        <v>39.9</v>
      </c>
      <c r="AB226" s="105">
        <v>2.71</v>
      </c>
      <c r="AC226" s="105">
        <v>67.45</v>
      </c>
      <c r="AD226" s="105">
        <v>49.9</v>
      </c>
      <c r="AE226" s="105">
        <v>16.627500000000001</v>
      </c>
      <c r="AF226" s="105">
        <v>31.83</v>
      </c>
      <c r="AG226" s="105">
        <v>30.95</v>
      </c>
      <c r="AH226" s="105">
        <v>48.32</v>
      </c>
      <c r="AI226" s="105">
        <v>11.67</v>
      </c>
      <c r="AJ226" s="105">
        <v>18.05</v>
      </c>
      <c r="AK226" s="105">
        <v>19.61</v>
      </c>
      <c r="AL226" s="105">
        <v>77.900000000000006</v>
      </c>
      <c r="AM226" s="105">
        <v>181.65</v>
      </c>
      <c r="AN226" s="105">
        <v>128.66999999999999</v>
      </c>
      <c r="AO226" s="105">
        <v>50.31</v>
      </c>
      <c r="AP226" s="105">
        <v>38.905000000000001</v>
      </c>
      <c r="AQ226" s="105">
        <v>64.900000000000006</v>
      </c>
      <c r="AR226" s="105">
        <v>34.987526199999998</v>
      </c>
      <c r="AS226" s="105">
        <v>42.33</v>
      </c>
      <c r="AT226" s="105">
        <v>52.89</v>
      </c>
      <c r="AU226" s="105">
        <v>182.3</v>
      </c>
      <c r="AV226" s="105">
        <v>77.569999999999993</v>
      </c>
      <c r="AW226" s="105">
        <v>54.06</v>
      </c>
      <c r="AX226" s="105">
        <v>11.31</v>
      </c>
      <c r="AY226" s="105">
        <v>21.974862000000002</v>
      </c>
      <c r="AZ226" s="105">
        <v>59.694439439999996</v>
      </c>
      <c r="BA226" s="105">
        <v>29.527241849999999</v>
      </c>
      <c r="BB226" s="105">
        <v>66.25</v>
      </c>
      <c r="BC226" s="105">
        <v>172.1</v>
      </c>
      <c r="BD226" s="105">
        <v>98.84</v>
      </c>
    </row>
    <row r="227" spans="3:56" x14ac:dyDescent="0.25">
      <c r="C227" s="38">
        <v>42782</v>
      </c>
      <c r="D227" s="105">
        <v>87.41</v>
      </c>
      <c r="E227" s="105">
        <v>110.71</v>
      </c>
      <c r="F227" s="105">
        <v>56.29</v>
      </c>
      <c r="G227" s="105">
        <v>41.59</v>
      </c>
      <c r="H227" s="105">
        <v>98.26</v>
      </c>
      <c r="I227" s="105">
        <v>133.84</v>
      </c>
      <c r="J227" s="105">
        <v>33.83625</v>
      </c>
      <c r="K227" s="105">
        <v>844.14</v>
      </c>
      <c r="L227" s="105">
        <v>142.01</v>
      </c>
      <c r="M227" s="105">
        <v>64.52</v>
      </c>
      <c r="N227" s="105">
        <v>842.17</v>
      </c>
      <c r="O227" s="105">
        <v>107.65</v>
      </c>
      <c r="P227" s="105">
        <v>158.51</v>
      </c>
      <c r="Q227" s="105">
        <v>100.42</v>
      </c>
      <c r="R227" s="105">
        <v>41.89</v>
      </c>
      <c r="S227" s="105">
        <v>35.72</v>
      </c>
      <c r="T227" s="105">
        <v>89.44</v>
      </c>
      <c r="U227" s="105">
        <v>52.51</v>
      </c>
      <c r="V227" s="105">
        <v>45.392815720000002</v>
      </c>
      <c r="W227" s="105">
        <v>45.37</v>
      </c>
      <c r="X227" s="105">
        <v>56.34</v>
      </c>
      <c r="Y227" s="105">
        <v>24.700050987000001</v>
      </c>
      <c r="Z227" s="105">
        <v>10.9</v>
      </c>
      <c r="AA227" s="105">
        <v>40.700000000000003</v>
      </c>
      <c r="AB227" s="105">
        <v>2.63</v>
      </c>
      <c r="AC227" s="105">
        <v>71.3</v>
      </c>
      <c r="AD227" s="105">
        <v>49.58</v>
      </c>
      <c r="AE227" s="105">
        <v>17.642499999999998</v>
      </c>
      <c r="AF227" s="105">
        <v>33.15</v>
      </c>
      <c r="AG227" s="105">
        <v>32.549999999999997</v>
      </c>
      <c r="AH227" s="105">
        <v>48.5</v>
      </c>
      <c r="AI227" s="105">
        <v>11.984999999999999</v>
      </c>
      <c r="AJ227" s="105">
        <v>18.75</v>
      </c>
      <c r="AK227" s="105">
        <v>19.84</v>
      </c>
      <c r="AL227" s="105">
        <v>75.790000000000006</v>
      </c>
      <c r="AM227" s="105">
        <v>181.43</v>
      </c>
      <c r="AN227" s="105">
        <v>125.75</v>
      </c>
      <c r="AO227" s="105">
        <v>48.46</v>
      </c>
      <c r="AP227" s="105">
        <v>38.414999999999999</v>
      </c>
      <c r="AQ227" s="105">
        <v>62.86</v>
      </c>
      <c r="AR227" s="105">
        <v>36.655921900000003</v>
      </c>
      <c r="AS227" s="105">
        <v>42</v>
      </c>
      <c r="AT227" s="105">
        <v>52.63</v>
      </c>
      <c r="AU227" s="105">
        <v>180.62</v>
      </c>
      <c r="AV227" s="105">
        <v>78</v>
      </c>
      <c r="AW227" s="105">
        <v>52.42</v>
      </c>
      <c r="AX227" s="105">
        <v>11.35</v>
      </c>
      <c r="AY227" s="105">
        <v>21.781676399999998</v>
      </c>
      <c r="AZ227" s="105">
        <v>62.179271640000003</v>
      </c>
      <c r="BA227" s="105">
        <v>29.332663650000001</v>
      </c>
      <c r="BB227" s="105">
        <v>64.010000000000005</v>
      </c>
      <c r="BC227" s="105">
        <v>173.6</v>
      </c>
      <c r="BD227" s="105">
        <v>96.52</v>
      </c>
    </row>
    <row r="228" spans="3:56" x14ac:dyDescent="0.25">
      <c r="C228" s="38">
        <v>42775</v>
      </c>
      <c r="D228" s="105">
        <v>85.58</v>
      </c>
      <c r="E228" s="105">
        <v>109.49</v>
      </c>
      <c r="F228" s="105">
        <v>55.31</v>
      </c>
      <c r="G228" s="105">
        <v>40.229999999999997</v>
      </c>
      <c r="H228" s="105">
        <v>93.96</v>
      </c>
      <c r="I228" s="105">
        <v>134.13999999999999</v>
      </c>
      <c r="J228" s="105">
        <v>33.104999999999997</v>
      </c>
      <c r="K228" s="105">
        <v>821.36</v>
      </c>
      <c r="L228" s="105">
        <v>144.13999999999999</v>
      </c>
      <c r="M228" s="105">
        <v>64.06</v>
      </c>
      <c r="N228" s="105">
        <v>830.06</v>
      </c>
      <c r="O228" s="105">
        <v>108.11</v>
      </c>
      <c r="P228" s="105">
        <v>155.72999999999999</v>
      </c>
      <c r="Q228" s="105">
        <v>95.98</v>
      </c>
      <c r="R228" s="105">
        <v>41.76</v>
      </c>
      <c r="S228" s="105">
        <v>35.42</v>
      </c>
      <c r="T228" s="105">
        <v>86.79</v>
      </c>
      <c r="U228" s="105">
        <v>52.93</v>
      </c>
      <c r="V228" s="105">
        <v>44.41969126</v>
      </c>
      <c r="W228" s="105">
        <v>44.73</v>
      </c>
      <c r="X228" s="105">
        <v>54.52</v>
      </c>
      <c r="Y228" s="105">
        <v>25.051195956000001</v>
      </c>
      <c r="Z228" s="105">
        <v>11.55</v>
      </c>
      <c r="AA228" s="105">
        <v>40</v>
      </c>
      <c r="AB228" s="105">
        <v>2.52</v>
      </c>
      <c r="AC228" s="105">
        <v>63.8</v>
      </c>
      <c r="AD228" s="105">
        <v>45.43</v>
      </c>
      <c r="AE228" s="105">
        <v>17.017499999999998</v>
      </c>
      <c r="AF228" s="105">
        <v>31.83</v>
      </c>
      <c r="AG228" s="105">
        <v>32.15</v>
      </c>
      <c r="AH228" s="105">
        <v>53.17</v>
      </c>
      <c r="AI228" s="105">
        <v>11.4375</v>
      </c>
      <c r="AJ228" s="105">
        <v>18.8</v>
      </c>
      <c r="AK228" s="105">
        <v>19.97</v>
      </c>
      <c r="AL228" s="105">
        <v>74.760000000000005</v>
      </c>
      <c r="AM228" s="105">
        <v>177.21</v>
      </c>
      <c r="AN228" s="105">
        <v>123.32</v>
      </c>
      <c r="AO228" s="105">
        <v>48.81</v>
      </c>
      <c r="AP228" s="105">
        <v>38.055</v>
      </c>
      <c r="AQ228" s="105">
        <v>62.81</v>
      </c>
      <c r="AR228" s="105">
        <v>36.294924000000002</v>
      </c>
      <c r="AS228" s="105">
        <v>39.299999999999997</v>
      </c>
      <c r="AT228" s="105">
        <v>52.25</v>
      </c>
      <c r="AU228" s="105">
        <v>177.81</v>
      </c>
      <c r="AV228" s="105">
        <v>79.39</v>
      </c>
      <c r="AW228" s="105">
        <v>51.32</v>
      </c>
      <c r="AX228" s="105">
        <v>11.26</v>
      </c>
      <c r="AY228" s="105">
        <v>23.5686432</v>
      </c>
      <c r="AZ228" s="105">
        <v>62.676238079999997</v>
      </c>
      <c r="BA228" s="105">
        <v>28.894862700000001</v>
      </c>
      <c r="BB228" s="105">
        <v>63.59</v>
      </c>
      <c r="BC228" s="105">
        <v>169.15</v>
      </c>
      <c r="BD228" s="105">
        <v>91.36</v>
      </c>
    </row>
    <row r="229" spans="3:56" x14ac:dyDescent="0.25">
      <c r="C229" s="38">
        <v>42768</v>
      </c>
      <c r="D229" s="105">
        <v>82.3</v>
      </c>
      <c r="E229" s="105">
        <v>110.61</v>
      </c>
      <c r="F229" s="105">
        <v>52.8</v>
      </c>
      <c r="G229" s="105">
        <v>39.979999999999997</v>
      </c>
      <c r="H229" s="105">
        <v>93.77</v>
      </c>
      <c r="I229" s="105">
        <v>130.84</v>
      </c>
      <c r="J229" s="105">
        <v>32.1325</v>
      </c>
      <c r="K229" s="105">
        <v>839.95</v>
      </c>
      <c r="L229" s="105">
        <v>139.19999999999999</v>
      </c>
      <c r="M229" s="105">
        <v>63.17</v>
      </c>
      <c r="N229" s="105">
        <v>818.26</v>
      </c>
      <c r="O229" s="105">
        <v>105.59</v>
      </c>
      <c r="P229" s="105">
        <v>149.27000000000001</v>
      </c>
      <c r="Q229" s="105">
        <v>95.13</v>
      </c>
      <c r="R229" s="105">
        <v>41.39</v>
      </c>
      <c r="S229" s="105">
        <v>35.28</v>
      </c>
      <c r="T229" s="105">
        <v>84.5</v>
      </c>
      <c r="U229" s="105">
        <v>51.69</v>
      </c>
      <c r="V229" s="105">
        <v>44.046168739999999</v>
      </c>
      <c r="W229" s="105">
        <v>44.31</v>
      </c>
      <c r="X229" s="105">
        <v>52.86</v>
      </c>
      <c r="Y229" s="105">
        <v>24.323212482999999</v>
      </c>
      <c r="Z229" s="105">
        <v>11</v>
      </c>
      <c r="AA229" s="105">
        <v>38.549999999999997</v>
      </c>
      <c r="AB229" s="105">
        <v>2.54</v>
      </c>
      <c r="AC229" s="105">
        <v>64.05</v>
      </c>
      <c r="AD229" s="105">
        <v>45.12</v>
      </c>
      <c r="AE229" s="105">
        <v>16.602499999999999</v>
      </c>
      <c r="AF229" s="105">
        <v>31.45</v>
      </c>
      <c r="AG229" s="105">
        <v>31.2</v>
      </c>
      <c r="AH229" s="105">
        <v>50.71</v>
      </c>
      <c r="AI229" s="105">
        <v>10.942500000000001</v>
      </c>
      <c r="AJ229" s="105">
        <v>18.399999999999999</v>
      </c>
      <c r="AK229" s="105">
        <v>19.37</v>
      </c>
      <c r="AL229" s="105">
        <v>72.61</v>
      </c>
      <c r="AM229" s="105">
        <v>174.58</v>
      </c>
      <c r="AN229" s="105">
        <v>123.39</v>
      </c>
      <c r="AO229" s="105">
        <v>48.28</v>
      </c>
      <c r="AP229" s="105">
        <v>37.465000000000003</v>
      </c>
      <c r="AQ229" s="105">
        <v>58.17</v>
      </c>
      <c r="AR229" s="105">
        <v>35.787575599999997</v>
      </c>
      <c r="AS229" s="105">
        <v>39</v>
      </c>
      <c r="AT229" s="105">
        <v>52.38</v>
      </c>
      <c r="AU229" s="105">
        <v>177.97</v>
      </c>
      <c r="AV229" s="105">
        <v>77.2</v>
      </c>
      <c r="AW229" s="105">
        <v>44.32</v>
      </c>
      <c r="AX229" s="105">
        <v>12.97</v>
      </c>
      <c r="AY229" s="105">
        <v>23.375457600000001</v>
      </c>
      <c r="AZ229" s="105">
        <v>60.805305599999997</v>
      </c>
      <c r="BA229" s="105">
        <v>28.602995400000001</v>
      </c>
      <c r="BB229" s="105">
        <v>63.73</v>
      </c>
      <c r="BC229" s="105">
        <v>163</v>
      </c>
      <c r="BD229" s="105">
        <v>97.34</v>
      </c>
    </row>
    <row r="230" spans="3:56" x14ac:dyDescent="0.25">
      <c r="C230" s="38">
        <v>42761</v>
      </c>
      <c r="D230" s="105">
        <v>83.24</v>
      </c>
      <c r="E230" s="105">
        <v>108.06</v>
      </c>
      <c r="F230" s="105">
        <v>53.65</v>
      </c>
      <c r="G230" s="105">
        <v>40.130000000000003</v>
      </c>
      <c r="H230" s="105">
        <v>97.22</v>
      </c>
      <c r="I230" s="105">
        <v>132.78</v>
      </c>
      <c r="J230" s="105">
        <v>30.484999999999999</v>
      </c>
      <c r="K230" s="105">
        <v>839.15</v>
      </c>
      <c r="L230" s="105">
        <v>138.96</v>
      </c>
      <c r="M230" s="105">
        <v>64.27</v>
      </c>
      <c r="N230" s="105">
        <v>856.98</v>
      </c>
      <c r="O230" s="105">
        <v>105.67</v>
      </c>
      <c r="P230" s="105">
        <v>149.97</v>
      </c>
      <c r="Q230" s="105">
        <v>92.23</v>
      </c>
      <c r="R230" s="105">
        <v>40.909999999999997</v>
      </c>
      <c r="S230" s="105">
        <v>34.409999999999997</v>
      </c>
      <c r="T230" s="105">
        <v>85.84</v>
      </c>
      <c r="U230" s="105">
        <v>52.41</v>
      </c>
      <c r="V230" s="105">
        <v>45.903951800000002</v>
      </c>
      <c r="W230" s="105">
        <v>45.23</v>
      </c>
      <c r="X230" s="105">
        <v>53.92</v>
      </c>
      <c r="Y230" s="105">
        <v>24.057712629000001</v>
      </c>
      <c r="Z230" s="105">
        <v>11.05</v>
      </c>
      <c r="AA230" s="105">
        <v>39.25</v>
      </c>
      <c r="AB230" s="105">
        <v>2.57</v>
      </c>
      <c r="AC230" s="105">
        <v>65.150000000000006</v>
      </c>
      <c r="AD230" s="105">
        <v>46.06</v>
      </c>
      <c r="AE230" s="105">
        <v>17.077500000000001</v>
      </c>
      <c r="AF230" s="105">
        <v>31.84</v>
      </c>
      <c r="AG230" s="105">
        <v>30.05</v>
      </c>
      <c r="AH230" s="105">
        <v>52.36</v>
      </c>
      <c r="AI230" s="105">
        <v>16.267499999999998</v>
      </c>
      <c r="AJ230" s="105">
        <v>17.899999999999999</v>
      </c>
      <c r="AK230" s="105">
        <v>21.1</v>
      </c>
      <c r="AL230" s="105">
        <v>71.959999999999994</v>
      </c>
      <c r="AM230" s="105">
        <v>178.66</v>
      </c>
      <c r="AN230" s="105">
        <v>120.83</v>
      </c>
      <c r="AO230" s="105">
        <v>49.12</v>
      </c>
      <c r="AP230" s="105">
        <v>37.53</v>
      </c>
      <c r="AQ230" s="105">
        <v>57.73</v>
      </c>
      <c r="AR230" s="105">
        <v>33.358157300000002</v>
      </c>
      <c r="AS230" s="105">
        <v>36.1</v>
      </c>
      <c r="AT230" s="105">
        <v>53.03</v>
      </c>
      <c r="AU230" s="105">
        <v>171.09</v>
      </c>
      <c r="AV230" s="105">
        <v>76.17</v>
      </c>
      <c r="AW230" s="105">
        <v>48.62</v>
      </c>
      <c r="AX230" s="105">
        <v>12.82</v>
      </c>
      <c r="AY230" s="105">
        <v>24.148199999999999</v>
      </c>
      <c r="AZ230" s="105">
        <v>61.877194000000003</v>
      </c>
      <c r="BA230" s="105">
        <v>29.527241849999999</v>
      </c>
      <c r="BB230" s="105">
        <v>64.349999999999994</v>
      </c>
      <c r="BC230" s="105">
        <v>176.4</v>
      </c>
      <c r="BD230" s="105">
        <v>98.88</v>
      </c>
    </row>
    <row r="231" spans="3:56" x14ac:dyDescent="0.25">
      <c r="C231" s="38">
        <v>42754</v>
      </c>
      <c r="D231" s="105">
        <v>81.73</v>
      </c>
      <c r="E231" s="105">
        <v>107.28</v>
      </c>
      <c r="F231" s="105">
        <v>52.93</v>
      </c>
      <c r="G231" s="105">
        <v>39.21</v>
      </c>
      <c r="H231" s="105">
        <v>93.38</v>
      </c>
      <c r="I231" s="105">
        <v>127.55</v>
      </c>
      <c r="J231" s="105">
        <v>29.945</v>
      </c>
      <c r="K231" s="105">
        <v>809.04</v>
      </c>
      <c r="L231" s="105">
        <v>138.41</v>
      </c>
      <c r="M231" s="105">
        <v>62.3</v>
      </c>
      <c r="N231" s="105">
        <v>824.37</v>
      </c>
      <c r="O231" s="105">
        <v>105.22</v>
      </c>
      <c r="P231" s="105">
        <v>149.59</v>
      </c>
      <c r="Q231" s="105">
        <v>90.55</v>
      </c>
      <c r="R231" s="105">
        <v>40.89</v>
      </c>
      <c r="S231" s="105">
        <v>34.229999999999997</v>
      </c>
      <c r="T231" s="105">
        <v>84.53</v>
      </c>
      <c r="U231" s="105">
        <v>55.84</v>
      </c>
      <c r="V231" s="105">
        <v>42.984578419999998</v>
      </c>
      <c r="W231" s="105">
        <v>43.63</v>
      </c>
      <c r="X231" s="105">
        <v>50.07</v>
      </c>
      <c r="Y231" s="105">
        <v>24.665792940999999</v>
      </c>
      <c r="Z231" s="105">
        <v>10.35</v>
      </c>
      <c r="AA231" s="105">
        <v>37.450000000000003</v>
      </c>
      <c r="AB231" s="105">
        <v>2.63</v>
      </c>
      <c r="AC231" s="105">
        <v>57</v>
      </c>
      <c r="AD231" s="105">
        <v>43.22</v>
      </c>
      <c r="AE231" s="105">
        <v>16.932500000000001</v>
      </c>
      <c r="AF231" s="105">
        <v>30.25</v>
      </c>
      <c r="AG231" s="105">
        <v>31.4</v>
      </c>
      <c r="AH231" s="105">
        <v>50.87</v>
      </c>
      <c r="AI231" s="105">
        <v>15.67</v>
      </c>
      <c r="AJ231" s="105">
        <v>16.2</v>
      </c>
      <c r="AK231" s="105">
        <v>21.36</v>
      </c>
      <c r="AL231" s="105">
        <v>71.72</v>
      </c>
      <c r="AM231" s="105">
        <v>166.81</v>
      </c>
      <c r="AN231" s="105">
        <v>122.13</v>
      </c>
      <c r="AO231" s="105">
        <v>52.36</v>
      </c>
      <c r="AP231" s="105">
        <v>37.54</v>
      </c>
      <c r="AQ231" s="105">
        <v>53.82</v>
      </c>
      <c r="AR231" s="105">
        <v>34.080153099999997</v>
      </c>
      <c r="AS231" s="105">
        <v>36.950000000000003</v>
      </c>
      <c r="AT231" s="105">
        <v>53.62</v>
      </c>
      <c r="AU231" s="105">
        <v>173.52</v>
      </c>
      <c r="AV231" s="105">
        <v>76.260000000000005</v>
      </c>
      <c r="AW231" s="105">
        <v>47.88</v>
      </c>
      <c r="AX231" s="105">
        <v>13.12</v>
      </c>
      <c r="AY231" s="105">
        <v>22.699307999999998</v>
      </c>
      <c r="AZ231" s="105">
        <v>60.103705920000003</v>
      </c>
      <c r="BA231" s="105">
        <v>29.040796350000001</v>
      </c>
      <c r="BB231" s="105">
        <v>63.15</v>
      </c>
      <c r="BC231" s="105">
        <v>176.55</v>
      </c>
      <c r="BD231" s="105">
        <v>95.65</v>
      </c>
    </row>
    <row r="232" spans="3:56" x14ac:dyDescent="0.25">
      <c r="C232" s="38">
        <v>42747</v>
      </c>
      <c r="D232" s="105">
        <v>81.37</v>
      </c>
      <c r="E232" s="105">
        <v>107.53</v>
      </c>
      <c r="F232" s="105">
        <v>52.4</v>
      </c>
      <c r="G232" s="105">
        <v>39.200000000000003</v>
      </c>
      <c r="H232" s="105">
        <v>93.99</v>
      </c>
      <c r="I232" s="105">
        <v>126.62</v>
      </c>
      <c r="J232" s="105">
        <v>29.8125</v>
      </c>
      <c r="K232" s="105">
        <v>813.64</v>
      </c>
      <c r="L232" s="105">
        <v>129.18</v>
      </c>
      <c r="M232" s="105">
        <v>62.61</v>
      </c>
      <c r="N232" s="105">
        <v>829.53</v>
      </c>
      <c r="O232" s="105">
        <v>104.68</v>
      </c>
      <c r="P232" s="105">
        <v>147.53</v>
      </c>
      <c r="Q232" s="105">
        <v>95.55</v>
      </c>
      <c r="R232" s="105">
        <v>40.85</v>
      </c>
      <c r="S232" s="105">
        <v>34.5</v>
      </c>
      <c r="T232" s="105">
        <v>81.89</v>
      </c>
      <c r="U232" s="105">
        <v>55.46</v>
      </c>
      <c r="V232" s="105">
        <v>43.672646219999997</v>
      </c>
      <c r="W232" s="105">
        <v>44.23</v>
      </c>
      <c r="X232" s="105">
        <v>51.01</v>
      </c>
      <c r="Y232" s="105">
        <v>24.768567078</v>
      </c>
      <c r="Z232" s="105">
        <v>10.1</v>
      </c>
      <c r="AA232" s="105">
        <v>38.200000000000003</v>
      </c>
      <c r="AB232" s="105">
        <v>2.67</v>
      </c>
      <c r="AC232" s="105">
        <v>57.9</v>
      </c>
      <c r="AD232" s="105">
        <v>44.15</v>
      </c>
      <c r="AE232" s="105">
        <v>17.145</v>
      </c>
      <c r="AF232" s="105">
        <v>31.41</v>
      </c>
      <c r="AG232" s="105">
        <v>30.85</v>
      </c>
      <c r="AH232" s="105">
        <v>53.66</v>
      </c>
      <c r="AI232" s="105">
        <v>16.3675</v>
      </c>
      <c r="AJ232" s="105">
        <v>16.100000000000001</v>
      </c>
      <c r="AK232" s="105">
        <v>21.82</v>
      </c>
      <c r="AL232" s="105">
        <v>72.38</v>
      </c>
      <c r="AM232" s="105">
        <v>167.95</v>
      </c>
      <c r="AN232" s="105">
        <v>123.26</v>
      </c>
      <c r="AO232" s="105">
        <v>52.68</v>
      </c>
      <c r="AP232" s="105">
        <v>37.965000000000003</v>
      </c>
      <c r="AQ232" s="105">
        <v>56.33</v>
      </c>
      <c r="AR232" s="105">
        <v>33.631344900000002</v>
      </c>
      <c r="AS232" s="105">
        <v>36.770000000000003</v>
      </c>
      <c r="AT232" s="105">
        <v>54.9</v>
      </c>
      <c r="AU232" s="105">
        <v>173.49</v>
      </c>
      <c r="AV232" s="105">
        <v>77.53</v>
      </c>
      <c r="AW232" s="105">
        <v>48.09</v>
      </c>
      <c r="AX232" s="105">
        <v>12.94</v>
      </c>
      <c r="AY232" s="105">
        <v>22.506122399999999</v>
      </c>
      <c r="AZ232" s="105">
        <v>59.100028600000002</v>
      </c>
      <c r="BA232" s="105">
        <v>29.429952750000002</v>
      </c>
      <c r="BB232" s="105">
        <v>62.3</v>
      </c>
      <c r="BC232" s="105">
        <v>176.9</v>
      </c>
      <c r="BD232" s="105">
        <v>94.83</v>
      </c>
    </row>
    <row r="233" spans="3:56" x14ac:dyDescent="0.25">
      <c r="C233" s="38">
        <v>42740</v>
      </c>
      <c r="D233" s="105">
        <v>81.09</v>
      </c>
      <c r="E233" s="105">
        <v>107.38</v>
      </c>
      <c r="F233" s="105">
        <v>53.06</v>
      </c>
      <c r="G233" s="105">
        <v>38.64</v>
      </c>
      <c r="H233" s="105">
        <v>93</v>
      </c>
      <c r="I233" s="105">
        <v>120.67</v>
      </c>
      <c r="J233" s="105">
        <v>29.1525</v>
      </c>
      <c r="K233" s="105">
        <v>780.45</v>
      </c>
      <c r="L233" s="105">
        <v>131.81</v>
      </c>
      <c r="M233" s="105">
        <v>62.3</v>
      </c>
      <c r="N233" s="105">
        <v>813.02</v>
      </c>
      <c r="O233" s="105">
        <v>103.45</v>
      </c>
      <c r="P233" s="105">
        <v>146.75</v>
      </c>
      <c r="Q233" s="105">
        <v>94.82</v>
      </c>
      <c r="R233" s="105">
        <v>40.799999999999997</v>
      </c>
      <c r="S233" s="105">
        <v>34.299999999999997</v>
      </c>
      <c r="T233" s="105">
        <v>81.78</v>
      </c>
      <c r="U233" s="105">
        <v>55.08</v>
      </c>
      <c r="V233" s="105">
        <v>43.662816679999999</v>
      </c>
      <c r="W233" s="105">
        <v>42.64</v>
      </c>
      <c r="X233" s="105">
        <v>50.47</v>
      </c>
      <c r="Y233" s="105">
        <v>24.717180009</v>
      </c>
      <c r="Z233" s="105">
        <v>10.35</v>
      </c>
      <c r="AA233" s="105">
        <v>35.85</v>
      </c>
      <c r="AB233" s="105">
        <v>2.65</v>
      </c>
      <c r="AC233" s="105">
        <v>59.3</v>
      </c>
      <c r="AD233" s="105">
        <v>43.71</v>
      </c>
      <c r="AE233" s="105">
        <v>16.782499999999999</v>
      </c>
      <c r="AF233" s="105">
        <v>30.87</v>
      </c>
      <c r="AG233" s="105">
        <v>28.3</v>
      </c>
      <c r="AH233" s="105">
        <v>54.44</v>
      </c>
      <c r="AI233" s="105">
        <v>17.375</v>
      </c>
      <c r="AJ233" s="105">
        <v>16.149999999999999</v>
      </c>
      <c r="AK233" s="105">
        <v>22.27</v>
      </c>
      <c r="AL233" s="105">
        <v>72.099999999999994</v>
      </c>
      <c r="AM233" s="105">
        <v>168.7</v>
      </c>
      <c r="AN233" s="105">
        <v>118.78</v>
      </c>
      <c r="AO233" s="105">
        <v>54.64</v>
      </c>
      <c r="AP233" s="105">
        <v>38.075000000000003</v>
      </c>
      <c r="AQ233" s="105">
        <v>54.56</v>
      </c>
      <c r="AR233" s="105">
        <v>35.680251900000002</v>
      </c>
      <c r="AS233" s="105">
        <v>39.159999999999997</v>
      </c>
      <c r="AT233" s="105">
        <v>54.99</v>
      </c>
      <c r="AU233" s="105">
        <v>164.8</v>
      </c>
      <c r="AV233" s="105">
        <v>78.06</v>
      </c>
      <c r="AW233" s="105">
        <v>47</v>
      </c>
      <c r="AX233" s="105">
        <v>12.59</v>
      </c>
      <c r="AY233" s="105">
        <v>19.946413199999999</v>
      </c>
      <c r="AZ233" s="105">
        <v>58.8076954</v>
      </c>
      <c r="BA233" s="105">
        <v>30.0623319</v>
      </c>
      <c r="BB233" s="105">
        <v>64.86</v>
      </c>
      <c r="BC233" s="105">
        <v>168.8</v>
      </c>
      <c r="BD233" s="105">
        <v>95.13</v>
      </c>
    </row>
    <row r="234" spans="3:56" x14ac:dyDescent="0.25">
      <c r="C234" s="38">
        <v>42733</v>
      </c>
      <c r="D234" s="105">
        <v>78.33</v>
      </c>
      <c r="E234" s="105">
        <v>104.56</v>
      </c>
      <c r="F234" s="105">
        <v>51.06</v>
      </c>
      <c r="G234" s="105">
        <v>38.69</v>
      </c>
      <c r="H234" s="105">
        <v>93.29</v>
      </c>
      <c r="I234" s="105">
        <v>116.35</v>
      </c>
      <c r="J234" s="105">
        <v>29.182500000000001</v>
      </c>
      <c r="K234" s="105">
        <v>765.15</v>
      </c>
      <c r="L234" s="105">
        <v>125.33</v>
      </c>
      <c r="M234" s="105">
        <v>62.9</v>
      </c>
      <c r="N234" s="105">
        <v>802.88</v>
      </c>
      <c r="O234" s="105">
        <v>103.99</v>
      </c>
      <c r="P234" s="105">
        <v>153.74</v>
      </c>
      <c r="Q234" s="105">
        <v>96.96</v>
      </c>
      <c r="R234" s="105">
        <v>40.94</v>
      </c>
      <c r="S234" s="105">
        <v>34.26</v>
      </c>
      <c r="T234" s="105">
        <v>83.32</v>
      </c>
      <c r="U234" s="105">
        <v>54.06</v>
      </c>
      <c r="V234" s="105">
        <v>42.168726599999999</v>
      </c>
      <c r="W234" s="105">
        <v>43.07</v>
      </c>
      <c r="X234" s="105">
        <v>50.2</v>
      </c>
      <c r="Y234" s="105">
        <v>25.428034458999999</v>
      </c>
      <c r="Z234" s="105">
        <v>10.15</v>
      </c>
      <c r="AA234" s="105">
        <v>36.15</v>
      </c>
      <c r="AB234" s="105">
        <v>2.6</v>
      </c>
      <c r="AC234" s="105">
        <v>56.55</v>
      </c>
      <c r="AD234" s="105">
        <v>43.48</v>
      </c>
      <c r="AE234" s="105">
        <v>16.495000000000001</v>
      </c>
      <c r="AF234" s="105">
        <v>29.33</v>
      </c>
      <c r="AG234" s="105">
        <v>28.9</v>
      </c>
      <c r="AH234" s="105">
        <v>52.38</v>
      </c>
      <c r="AI234" s="105">
        <v>17.045000000000002</v>
      </c>
      <c r="AJ234" s="105">
        <v>15.95</v>
      </c>
      <c r="AK234" s="105">
        <v>22.14</v>
      </c>
      <c r="AL234" s="105">
        <v>72.28</v>
      </c>
      <c r="AM234" s="105">
        <v>166.6</v>
      </c>
      <c r="AN234" s="105">
        <v>120.52</v>
      </c>
      <c r="AO234" s="105">
        <v>53.74</v>
      </c>
      <c r="AP234" s="105">
        <v>37.854999999999997</v>
      </c>
      <c r="AQ234" s="105">
        <v>51.81</v>
      </c>
      <c r="AR234" s="105">
        <v>34.4118809</v>
      </c>
      <c r="AS234" s="105">
        <v>37.380000000000003</v>
      </c>
      <c r="AT234" s="105">
        <v>55.92</v>
      </c>
      <c r="AU234" s="105">
        <v>166.15</v>
      </c>
      <c r="AV234" s="105">
        <v>77.34</v>
      </c>
      <c r="AW234" s="105">
        <v>46.13</v>
      </c>
      <c r="AX234" s="105">
        <v>11.82</v>
      </c>
      <c r="AY234" s="105">
        <v>19.849820399999999</v>
      </c>
      <c r="AZ234" s="105">
        <v>56.566474200000002</v>
      </c>
      <c r="BA234" s="105">
        <v>29.91639825</v>
      </c>
      <c r="BB234" s="105">
        <v>64.55</v>
      </c>
      <c r="BC234" s="105">
        <v>166.2</v>
      </c>
      <c r="BD234" s="105">
        <v>92.67</v>
      </c>
    </row>
    <row r="235" spans="3:56" x14ac:dyDescent="0.25">
      <c r="C235" s="38">
        <v>42726</v>
      </c>
      <c r="D235" s="105">
        <v>77.900000000000006</v>
      </c>
      <c r="E235" s="105">
        <v>105.42</v>
      </c>
      <c r="F235" s="105">
        <v>52.14</v>
      </c>
      <c r="G235" s="105">
        <v>38.96</v>
      </c>
      <c r="H235" s="105">
        <v>94.12</v>
      </c>
      <c r="I235" s="105">
        <v>117.4</v>
      </c>
      <c r="J235" s="105">
        <v>29.072500000000002</v>
      </c>
      <c r="K235" s="105">
        <v>766.34</v>
      </c>
      <c r="L235" s="105">
        <v>125.58</v>
      </c>
      <c r="M235" s="105">
        <v>63.55</v>
      </c>
      <c r="N235" s="105">
        <v>809.68</v>
      </c>
      <c r="O235" s="105">
        <v>104.44</v>
      </c>
      <c r="P235" s="105">
        <v>148.74</v>
      </c>
      <c r="Q235" s="105">
        <v>98.21</v>
      </c>
      <c r="R235" s="105">
        <v>40.67</v>
      </c>
      <c r="S235" s="105">
        <v>34.46</v>
      </c>
      <c r="T235" s="105">
        <v>83.73</v>
      </c>
      <c r="U235" s="105">
        <v>54.22</v>
      </c>
      <c r="V235" s="105">
        <v>42.188385680000003</v>
      </c>
      <c r="W235" s="105">
        <v>45.1</v>
      </c>
      <c r="X235" s="105">
        <v>50.25</v>
      </c>
      <c r="Y235" s="105">
        <v>25.265308740999998</v>
      </c>
      <c r="Z235" s="105">
        <v>9.8000000000000007</v>
      </c>
      <c r="AA235" s="105">
        <v>36.15</v>
      </c>
      <c r="AB235" s="105">
        <v>2.56</v>
      </c>
      <c r="AC235" s="105">
        <v>57.05</v>
      </c>
      <c r="AD235" s="105">
        <v>43.86</v>
      </c>
      <c r="AE235" s="105">
        <v>16.265000000000001</v>
      </c>
      <c r="AF235" s="105">
        <v>29.35</v>
      </c>
      <c r="AG235" s="105">
        <v>29.6</v>
      </c>
      <c r="AH235" s="105">
        <v>52.85</v>
      </c>
      <c r="AI235" s="105">
        <v>16.752500000000001</v>
      </c>
      <c r="AJ235" s="105">
        <v>15.5</v>
      </c>
      <c r="AK235" s="105">
        <v>22.19</v>
      </c>
      <c r="AL235" s="105">
        <v>72.13</v>
      </c>
      <c r="AM235" s="105">
        <v>167.06</v>
      </c>
      <c r="AN235" s="105">
        <v>120.48</v>
      </c>
      <c r="AO235" s="105">
        <v>53.65</v>
      </c>
      <c r="AP235" s="105">
        <v>38.22</v>
      </c>
      <c r="AQ235" s="105">
        <v>52.34</v>
      </c>
      <c r="AR235" s="105">
        <v>30.675064800000001</v>
      </c>
      <c r="AS235" s="105">
        <v>37.31</v>
      </c>
      <c r="AT235" s="105">
        <v>56.25</v>
      </c>
      <c r="AU235" s="105">
        <v>165.91</v>
      </c>
      <c r="AV235" s="105">
        <v>79.31</v>
      </c>
      <c r="AW235" s="105">
        <v>44.58</v>
      </c>
      <c r="AX235" s="105">
        <v>12.15</v>
      </c>
      <c r="AY235" s="105">
        <v>19.511745600000001</v>
      </c>
      <c r="AZ235" s="105">
        <v>56.079252199999999</v>
      </c>
      <c r="BA235" s="105">
        <v>29.91639825</v>
      </c>
      <c r="BB235" s="105">
        <v>64.44</v>
      </c>
      <c r="BC235" s="105">
        <v>166.05</v>
      </c>
      <c r="BD235" s="105">
        <v>93.19</v>
      </c>
    </row>
    <row r="236" spans="3:56" x14ac:dyDescent="0.25">
      <c r="C236" s="38">
        <v>42719</v>
      </c>
      <c r="D236" s="105">
        <v>79.5</v>
      </c>
      <c r="E236" s="105">
        <v>104.39</v>
      </c>
      <c r="F236" s="105">
        <v>51.29</v>
      </c>
      <c r="G236" s="105">
        <v>40.86</v>
      </c>
      <c r="H236" s="105">
        <v>94.53</v>
      </c>
      <c r="I236" s="105">
        <v>120.57</v>
      </c>
      <c r="J236" s="105">
        <v>28.954999999999998</v>
      </c>
      <c r="K236" s="105">
        <v>761</v>
      </c>
      <c r="L236" s="105">
        <v>125</v>
      </c>
      <c r="M236" s="105">
        <v>62.58</v>
      </c>
      <c r="N236" s="105">
        <v>815.65</v>
      </c>
      <c r="O236" s="105">
        <v>100.71</v>
      </c>
      <c r="P236" s="105">
        <v>156.24</v>
      </c>
      <c r="Q236" s="105">
        <v>100.27</v>
      </c>
      <c r="R236" s="105">
        <v>40.22</v>
      </c>
      <c r="S236" s="105">
        <v>34.15</v>
      </c>
      <c r="T236" s="105">
        <v>84.33</v>
      </c>
      <c r="U236" s="105">
        <v>56.19</v>
      </c>
      <c r="V236" s="105">
        <v>42.601226359999998</v>
      </c>
      <c r="W236" s="105">
        <v>48.16</v>
      </c>
      <c r="X236" s="105">
        <v>50.59</v>
      </c>
      <c r="Y236" s="105">
        <v>26.952517494999999</v>
      </c>
      <c r="Z236" s="105">
        <v>9.6</v>
      </c>
      <c r="AA236" s="105">
        <v>36.4</v>
      </c>
      <c r="AB236" s="105">
        <v>2.83</v>
      </c>
      <c r="AC236" s="105">
        <v>59.15</v>
      </c>
      <c r="AD236" s="105">
        <v>47.65</v>
      </c>
      <c r="AE236" s="105">
        <v>16.760000000000002</v>
      </c>
      <c r="AF236" s="105">
        <v>29.74</v>
      </c>
      <c r="AG236" s="105">
        <v>30.25</v>
      </c>
      <c r="AH236" s="105">
        <v>58.18</v>
      </c>
      <c r="AI236" s="105">
        <v>16.567499999999999</v>
      </c>
      <c r="AJ236" s="105">
        <v>15.95</v>
      </c>
      <c r="AK236" s="105">
        <v>22.49</v>
      </c>
      <c r="AL236" s="105">
        <v>70.19</v>
      </c>
      <c r="AM236" s="105">
        <v>168.02</v>
      </c>
      <c r="AN236" s="105">
        <v>118.82</v>
      </c>
      <c r="AO236" s="105">
        <v>51.81</v>
      </c>
      <c r="AP236" s="105">
        <v>38.71</v>
      </c>
      <c r="AQ236" s="105">
        <v>55.34</v>
      </c>
      <c r="AR236" s="105">
        <v>30.157959699999999</v>
      </c>
      <c r="AS236" s="105">
        <v>37.76</v>
      </c>
      <c r="AT236" s="105">
        <v>55.95</v>
      </c>
      <c r="AU236" s="105">
        <v>169.19</v>
      </c>
      <c r="AV236" s="105">
        <v>85.7</v>
      </c>
      <c r="AW236" s="105">
        <v>44.69</v>
      </c>
      <c r="AX236" s="105">
        <v>13.18</v>
      </c>
      <c r="AY236" s="105">
        <v>20.236191600000002</v>
      </c>
      <c r="AZ236" s="105">
        <v>56.098741080000003</v>
      </c>
      <c r="BA236" s="105">
        <v>30.305554650000001</v>
      </c>
      <c r="BB236" s="105">
        <v>62.43</v>
      </c>
      <c r="BC236" s="105">
        <v>167</v>
      </c>
      <c r="BD236" s="105">
        <v>92.47</v>
      </c>
    </row>
    <row r="237" spans="3:56" x14ac:dyDescent="0.25">
      <c r="C237" s="38">
        <v>42712</v>
      </c>
      <c r="D237" s="105">
        <v>79.28</v>
      </c>
      <c r="E237" s="105">
        <v>103.38</v>
      </c>
      <c r="F237" s="105">
        <v>51.55</v>
      </c>
      <c r="G237" s="105">
        <v>40.35</v>
      </c>
      <c r="H237" s="105">
        <v>96.27</v>
      </c>
      <c r="I237" s="105">
        <v>118.91</v>
      </c>
      <c r="J237" s="105">
        <v>28.03</v>
      </c>
      <c r="K237" s="105">
        <v>767.33</v>
      </c>
      <c r="L237" s="105">
        <v>123.24</v>
      </c>
      <c r="M237" s="105">
        <v>61.01</v>
      </c>
      <c r="N237" s="105">
        <v>795.17</v>
      </c>
      <c r="O237" s="105">
        <v>98.44</v>
      </c>
      <c r="P237" s="105">
        <v>151.09</v>
      </c>
      <c r="Q237" s="105">
        <v>99.3</v>
      </c>
      <c r="R237" s="105">
        <v>39.25</v>
      </c>
      <c r="S237" s="105">
        <v>33.11</v>
      </c>
      <c r="T237" s="105">
        <v>83.49</v>
      </c>
      <c r="U237" s="105">
        <v>54.67</v>
      </c>
      <c r="V237" s="105">
        <v>44.89150918</v>
      </c>
      <c r="W237" s="105">
        <v>49.31</v>
      </c>
      <c r="X237" s="105">
        <v>49.6</v>
      </c>
      <c r="Y237" s="105">
        <v>28.297145789999998</v>
      </c>
      <c r="Z237" s="105">
        <v>9.5</v>
      </c>
      <c r="AA237" s="105">
        <v>36.25</v>
      </c>
      <c r="AB237" s="105">
        <v>3.01</v>
      </c>
      <c r="AC237" s="105">
        <v>58.95</v>
      </c>
      <c r="AD237" s="105">
        <v>49.35</v>
      </c>
      <c r="AE237" s="105">
        <v>17.18</v>
      </c>
      <c r="AF237" s="105">
        <v>30.18</v>
      </c>
      <c r="AG237" s="105">
        <v>31.25</v>
      </c>
      <c r="AH237" s="105">
        <v>61.43</v>
      </c>
      <c r="AI237" s="105">
        <v>16.39</v>
      </c>
      <c r="AJ237" s="105">
        <v>15.05</v>
      </c>
      <c r="AK237" s="105">
        <v>21.83</v>
      </c>
      <c r="AL237" s="105">
        <v>69.44</v>
      </c>
      <c r="AM237" s="105">
        <v>165.36</v>
      </c>
      <c r="AN237" s="105">
        <v>115.51</v>
      </c>
      <c r="AO237" s="105">
        <v>51.13</v>
      </c>
      <c r="AP237" s="105">
        <v>38.99</v>
      </c>
      <c r="AQ237" s="105">
        <v>56.81</v>
      </c>
      <c r="AR237" s="105">
        <v>33.0459429</v>
      </c>
      <c r="AS237" s="105">
        <v>36.06</v>
      </c>
      <c r="AT237" s="105">
        <v>54.33</v>
      </c>
      <c r="AU237" s="105">
        <v>163.63999999999999</v>
      </c>
      <c r="AV237" s="105">
        <v>87.12</v>
      </c>
      <c r="AW237" s="105">
        <v>46.84</v>
      </c>
      <c r="AX237" s="105">
        <v>13.84</v>
      </c>
      <c r="AY237" s="105">
        <v>20.574266399999999</v>
      </c>
      <c r="AZ237" s="105">
        <v>59.10977304</v>
      </c>
      <c r="BA237" s="105">
        <v>29.867753700000002</v>
      </c>
      <c r="BB237" s="105">
        <v>63.39</v>
      </c>
      <c r="BC237" s="105">
        <v>171.05</v>
      </c>
      <c r="BD237" s="105">
        <v>93.51</v>
      </c>
    </row>
    <row r="238" spans="3:56" x14ac:dyDescent="0.25">
      <c r="C238" s="38">
        <v>42705</v>
      </c>
      <c r="D238" s="105">
        <v>75.430000000000007</v>
      </c>
      <c r="E238" s="105">
        <v>98.94</v>
      </c>
      <c r="F238" s="105">
        <v>50.65</v>
      </c>
      <c r="G238" s="105">
        <v>38.700000000000003</v>
      </c>
      <c r="H238" s="105">
        <v>96.24</v>
      </c>
      <c r="I238" s="105">
        <v>115.1</v>
      </c>
      <c r="J238" s="105">
        <v>27.372499999999999</v>
      </c>
      <c r="K238" s="105">
        <v>743.65</v>
      </c>
      <c r="L238" s="105">
        <v>117.22</v>
      </c>
      <c r="M238" s="105">
        <v>59.2</v>
      </c>
      <c r="N238" s="105">
        <v>764.33</v>
      </c>
      <c r="O238" s="105">
        <v>96.28</v>
      </c>
      <c r="P238" s="105">
        <v>145.34</v>
      </c>
      <c r="Q238" s="105">
        <v>92.54</v>
      </c>
      <c r="R238" s="105">
        <v>38.54</v>
      </c>
      <c r="S238" s="105">
        <v>33.1</v>
      </c>
      <c r="T238" s="105">
        <v>79.819999999999993</v>
      </c>
      <c r="U238" s="105">
        <v>62.18</v>
      </c>
      <c r="V238" s="105">
        <v>41.303727080000002</v>
      </c>
      <c r="W238" s="105">
        <v>45.45</v>
      </c>
      <c r="X238" s="105">
        <v>47.07</v>
      </c>
      <c r="Y238" s="105">
        <v>26.961082006000002</v>
      </c>
      <c r="Z238" s="105">
        <v>8.9499999999999993</v>
      </c>
      <c r="AA238" s="105">
        <v>34.85</v>
      </c>
      <c r="AB238" s="105">
        <v>2.87</v>
      </c>
      <c r="AC238" s="105">
        <v>54</v>
      </c>
      <c r="AD238" s="105">
        <v>44.89</v>
      </c>
      <c r="AE238" s="105">
        <v>16.905000000000001</v>
      </c>
      <c r="AF238" s="105">
        <v>29.09</v>
      </c>
      <c r="AG238" s="105">
        <v>29.45</v>
      </c>
      <c r="AH238" s="105">
        <v>59.12</v>
      </c>
      <c r="AI238" s="105">
        <v>15.8725</v>
      </c>
      <c r="AJ238" s="105">
        <v>14.5</v>
      </c>
      <c r="AK238" s="105">
        <v>20.399999999999999</v>
      </c>
      <c r="AL238" s="105">
        <v>68.56</v>
      </c>
      <c r="AM238" s="105">
        <v>159.82</v>
      </c>
      <c r="AN238" s="105">
        <v>111.75</v>
      </c>
      <c r="AO238" s="105">
        <v>49.87</v>
      </c>
      <c r="AP238" s="105">
        <v>38.835000000000001</v>
      </c>
      <c r="AQ238" s="105">
        <v>53.33</v>
      </c>
      <c r="AR238" s="105">
        <v>31.484870900000001</v>
      </c>
      <c r="AS238" s="105">
        <v>36.03</v>
      </c>
      <c r="AT238" s="105">
        <v>53.1</v>
      </c>
      <c r="AU238" s="105">
        <v>164.62</v>
      </c>
      <c r="AV238" s="105">
        <v>86.57</v>
      </c>
      <c r="AW238" s="105">
        <v>42.61</v>
      </c>
      <c r="AX238" s="105">
        <v>12.38</v>
      </c>
      <c r="AY238" s="105">
        <v>20.284488</v>
      </c>
      <c r="AZ238" s="105">
        <v>55.367908079999999</v>
      </c>
      <c r="BA238" s="105">
        <v>27.484170750000001</v>
      </c>
      <c r="BB238" s="105">
        <v>59.36</v>
      </c>
      <c r="BC238" s="105">
        <v>160.6</v>
      </c>
      <c r="BD238" s="105">
        <v>86.78</v>
      </c>
    </row>
    <row r="239" spans="3:56" x14ac:dyDescent="0.25">
      <c r="C239" s="38">
        <v>42697</v>
      </c>
      <c r="D239" s="105">
        <v>79.569999999999993</v>
      </c>
      <c r="E239" s="105">
        <v>98.26</v>
      </c>
      <c r="F239" s="105">
        <v>51.34</v>
      </c>
      <c r="G239" s="105">
        <v>40.1</v>
      </c>
      <c r="H239" s="105">
        <v>96.18</v>
      </c>
      <c r="I239" s="105">
        <v>120.84</v>
      </c>
      <c r="J239" s="105">
        <v>27.807500000000001</v>
      </c>
      <c r="K239" s="105">
        <v>780.12</v>
      </c>
      <c r="L239" s="105">
        <v>117.69</v>
      </c>
      <c r="M239" s="105">
        <v>60.4</v>
      </c>
      <c r="N239" s="105">
        <v>779</v>
      </c>
      <c r="O239" s="105">
        <v>97.16</v>
      </c>
      <c r="P239" s="105">
        <v>154.57</v>
      </c>
      <c r="Q239" s="105">
        <v>95.55</v>
      </c>
      <c r="R239" s="105">
        <v>38.770000000000003</v>
      </c>
      <c r="S239" s="105">
        <v>32.81</v>
      </c>
      <c r="T239" s="105">
        <v>78.08</v>
      </c>
      <c r="U239" s="105">
        <v>62.42</v>
      </c>
      <c r="V239" s="105">
        <v>43.122191979999997</v>
      </c>
      <c r="W239" s="105">
        <v>46.96</v>
      </c>
      <c r="X239" s="105">
        <v>47.37</v>
      </c>
      <c r="Y239" s="105">
        <v>27.046727121</v>
      </c>
      <c r="Z239" s="105">
        <v>9.4</v>
      </c>
      <c r="AA239" s="105">
        <v>36.35</v>
      </c>
      <c r="AB239" s="105">
        <v>2.85</v>
      </c>
      <c r="AC239" s="105">
        <v>57.3</v>
      </c>
      <c r="AD239" s="105">
        <v>45.55</v>
      </c>
      <c r="AE239" s="105">
        <v>17.454999999999998</v>
      </c>
      <c r="AF239" s="105">
        <v>27.45</v>
      </c>
      <c r="AG239" s="105">
        <v>32</v>
      </c>
      <c r="AH239" s="105">
        <v>59.91</v>
      </c>
      <c r="AI239" s="105">
        <v>15.8825</v>
      </c>
      <c r="AJ239" s="105">
        <v>13.45</v>
      </c>
      <c r="AK239" s="105">
        <v>20.98</v>
      </c>
      <c r="AL239" s="105">
        <v>68.989999999999995</v>
      </c>
      <c r="AM239" s="105">
        <v>161.97999999999999</v>
      </c>
      <c r="AN239" s="105">
        <v>111.75</v>
      </c>
      <c r="AO239" s="105">
        <v>50.23</v>
      </c>
      <c r="AP239" s="105">
        <v>39.715000000000003</v>
      </c>
      <c r="AQ239" s="105">
        <v>57.65</v>
      </c>
      <c r="AR239" s="105">
        <v>30.733605000000001</v>
      </c>
      <c r="AS239" s="105">
        <v>36.85</v>
      </c>
      <c r="AT239" s="105">
        <v>53.56</v>
      </c>
      <c r="AU239" s="105">
        <v>168.48</v>
      </c>
      <c r="AV239" s="105">
        <v>88.86</v>
      </c>
      <c r="AW239" s="105">
        <v>43.28</v>
      </c>
      <c r="AX239" s="105">
        <v>13.35</v>
      </c>
      <c r="AY239" s="105">
        <v>20.525970000000001</v>
      </c>
      <c r="AZ239" s="105">
        <v>54.724775039999997</v>
      </c>
      <c r="BA239" s="105">
        <v>27.824682599999999</v>
      </c>
      <c r="BB239" s="105">
        <v>61.15</v>
      </c>
      <c r="BC239" s="105">
        <v>169.3</v>
      </c>
      <c r="BD239" s="105">
        <v>86.19</v>
      </c>
    </row>
    <row r="240" spans="3:56" x14ac:dyDescent="0.25">
      <c r="C240" s="38">
        <v>42691</v>
      </c>
      <c r="D240" s="105">
        <v>81.069999999999993</v>
      </c>
      <c r="E240" s="105">
        <v>99.37</v>
      </c>
      <c r="F240" s="105">
        <v>51.59</v>
      </c>
      <c r="G240" s="105">
        <v>40.25</v>
      </c>
      <c r="H240" s="105">
        <v>92.78</v>
      </c>
      <c r="I240" s="105">
        <v>117.79</v>
      </c>
      <c r="J240" s="105">
        <v>27.487500000000001</v>
      </c>
      <c r="K240" s="105">
        <v>756.4</v>
      </c>
      <c r="L240" s="105">
        <v>115.03</v>
      </c>
      <c r="M240" s="105">
        <v>60.64</v>
      </c>
      <c r="N240" s="105">
        <v>786.16</v>
      </c>
      <c r="O240" s="105">
        <v>99.16</v>
      </c>
      <c r="P240" s="105">
        <v>154.80000000000001</v>
      </c>
      <c r="Q240" s="105">
        <v>97.24</v>
      </c>
      <c r="R240" s="105">
        <v>39</v>
      </c>
      <c r="S240" s="105">
        <v>32.83</v>
      </c>
      <c r="T240" s="105">
        <v>77.47</v>
      </c>
      <c r="U240" s="105">
        <v>59.8</v>
      </c>
      <c r="V240" s="105">
        <v>42.473442339999998</v>
      </c>
      <c r="W240" s="105">
        <v>45.99</v>
      </c>
      <c r="X240" s="105">
        <v>46.69</v>
      </c>
      <c r="Y240" s="105">
        <v>25.642147245</v>
      </c>
      <c r="Z240" s="105">
        <v>9.0500000000000007</v>
      </c>
      <c r="AA240" s="105">
        <v>34.950000000000003</v>
      </c>
      <c r="AB240" s="105">
        <v>2.8</v>
      </c>
      <c r="AC240" s="105">
        <v>57.825000000000003</v>
      </c>
      <c r="AD240" s="105">
        <v>42.35</v>
      </c>
      <c r="AE240" s="105">
        <v>17.247499999999999</v>
      </c>
      <c r="AF240" s="105">
        <v>27.33</v>
      </c>
      <c r="AG240" s="105">
        <v>31</v>
      </c>
      <c r="AH240" s="105">
        <v>58.78</v>
      </c>
      <c r="AI240" s="105">
        <v>15.6075</v>
      </c>
      <c r="AJ240" s="105">
        <v>13.8</v>
      </c>
      <c r="AK240" s="105">
        <v>20.74</v>
      </c>
      <c r="AL240" s="105">
        <v>68.69</v>
      </c>
      <c r="AM240" s="105">
        <v>159.80000000000001</v>
      </c>
      <c r="AN240" s="105">
        <v>110.65</v>
      </c>
      <c r="AO240" s="105">
        <v>47.84</v>
      </c>
      <c r="AP240" s="105">
        <v>38.549999999999997</v>
      </c>
      <c r="AQ240" s="105">
        <v>62.25</v>
      </c>
      <c r="AR240" s="105">
        <v>31.904409000000001</v>
      </c>
      <c r="AS240" s="105">
        <v>37.56</v>
      </c>
      <c r="AT240" s="105">
        <v>53.36</v>
      </c>
      <c r="AU240" s="105">
        <v>173.42</v>
      </c>
      <c r="AV240" s="105">
        <v>81.650000000000006</v>
      </c>
      <c r="AW240" s="105">
        <v>43.39</v>
      </c>
      <c r="AX240" s="105">
        <v>13.78</v>
      </c>
      <c r="AY240" s="105">
        <v>20.284488</v>
      </c>
      <c r="AZ240" s="105">
        <v>52.093776239999997</v>
      </c>
      <c r="BA240" s="105">
        <v>26.268056999999999</v>
      </c>
      <c r="BB240" s="105">
        <v>59.33</v>
      </c>
      <c r="BC240" s="105">
        <v>160.80000000000001</v>
      </c>
      <c r="BD240" s="105">
        <v>86.32</v>
      </c>
    </row>
    <row r="241" spans="3:56" x14ac:dyDescent="0.25">
      <c r="C241" s="38">
        <v>42684</v>
      </c>
      <c r="D241" s="105">
        <v>81.87</v>
      </c>
      <c r="E241" s="105">
        <v>94.96</v>
      </c>
      <c r="F241" s="105">
        <v>50.39</v>
      </c>
      <c r="G241" s="105">
        <v>39.58</v>
      </c>
      <c r="H241" s="105">
        <v>93.45</v>
      </c>
      <c r="I241" s="105">
        <v>120.8</v>
      </c>
      <c r="J241" s="105">
        <v>26.947500000000002</v>
      </c>
      <c r="K241" s="105">
        <v>742.38</v>
      </c>
      <c r="L241" s="105">
        <v>115.42</v>
      </c>
      <c r="M241" s="105">
        <v>58.7</v>
      </c>
      <c r="N241" s="105">
        <v>780.29</v>
      </c>
      <c r="O241" s="105">
        <v>97.27</v>
      </c>
      <c r="P241" s="105">
        <v>152.87</v>
      </c>
      <c r="Q241" s="105">
        <v>90.6</v>
      </c>
      <c r="R241" s="105">
        <v>38.68</v>
      </c>
      <c r="S241" s="105">
        <v>33.11</v>
      </c>
      <c r="T241" s="105">
        <v>73.42</v>
      </c>
      <c r="U241" s="105">
        <v>58.59</v>
      </c>
      <c r="V241" s="105">
        <v>41.126795360000003</v>
      </c>
      <c r="W241" s="105">
        <v>39.979999999999997</v>
      </c>
      <c r="X241" s="105">
        <v>43.64</v>
      </c>
      <c r="Y241" s="105">
        <v>23.004277722000001</v>
      </c>
      <c r="Z241" s="105">
        <v>8.5500000000000007</v>
      </c>
      <c r="AA241" s="105">
        <v>32.950000000000003</v>
      </c>
      <c r="AB241" s="105">
        <v>2.8</v>
      </c>
      <c r="AC241" s="105">
        <v>56.25</v>
      </c>
      <c r="AD241" s="105">
        <v>39.659999999999997</v>
      </c>
      <c r="AE241" s="105">
        <v>15.7125</v>
      </c>
      <c r="AF241" s="105">
        <v>28.23</v>
      </c>
      <c r="AG241" s="105">
        <v>28.85</v>
      </c>
      <c r="AH241" s="105">
        <v>59.3</v>
      </c>
      <c r="AI241" s="105">
        <v>15.2875</v>
      </c>
      <c r="AJ241" s="105">
        <v>13.85</v>
      </c>
      <c r="AK241" s="105">
        <v>19.2</v>
      </c>
      <c r="AL241" s="105">
        <v>68.760000000000005</v>
      </c>
      <c r="AM241" s="105">
        <v>160.22</v>
      </c>
      <c r="AN241" s="105">
        <v>114.03</v>
      </c>
      <c r="AO241" s="105">
        <v>46.69</v>
      </c>
      <c r="AP241" s="105">
        <v>37.695</v>
      </c>
      <c r="AQ241" s="105">
        <v>57.75</v>
      </c>
      <c r="AR241" s="105">
        <v>33.836235600000002</v>
      </c>
      <c r="AS241" s="105">
        <v>38.28</v>
      </c>
      <c r="AT241" s="105">
        <v>53.22</v>
      </c>
      <c r="AU241" s="105">
        <v>175.61</v>
      </c>
      <c r="AV241" s="105">
        <v>77.2</v>
      </c>
      <c r="AW241" s="105">
        <v>39.36</v>
      </c>
      <c r="AX241" s="105">
        <v>14.19</v>
      </c>
      <c r="AY241" s="105">
        <v>20.9123412</v>
      </c>
      <c r="AZ241" s="105">
        <v>50.583388040000003</v>
      </c>
      <c r="BA241" s="105">
        <v>24.711431399999999</v>
      </c>
      <c r="BB241" s="105">
        <v>57.06</v>
      </c>
      <c r="BC241" s="105">
        <v>152.94999999999999</v>
      </c>
      <c r="BD241" s="105">
        <v>83.49</v>
      </c>
    </row>
    <row r="242" spans="3:56" x14ac:dyDescent="0.25">
      <c r="C242" s="38">
        <v>42677</v>
      </c>
      <c r="D242" s="105">
        <v>80.650000000000006</v>
      </c>
      <c r="E242" s="105">
        <v>93.37</v>
      </c>
      <c r="F242" s="105">
        <v>49.73</v>
      </c>
      <c r="G242" s="105">
        <v>38.31</v>
      </c>
      <c r="H242" s="105">
        <v>81.27</v>
      </c>
      <c r="I242" s="105">
        <v>120</v>
      </c>
      <c r="J242" s="105">
        <v>27.4575</v>
      </c>
      <c r="K242" s="105">
        <v>767.03</v>
      </c>
      <c r="L242" s="105">
        <v>122.14</v>
      </c>
      <c r="M242" s="105">
        <v>59.21</v>
      </c>
      <c r="N242" s="105">
        <v>782.19</v>
      </c>
      <c r="O242" s="105">
        <v>100.68</v>
      </c>
      <c r="P242" s="105">
        <v>160.07</v>
      </c>
      <c r="Q242" s="105">
        <v>86.08</v>
      </c>
      <c r="R242" s="105">
        <v>40.619999999999997</v>
      </c>
      <c r="S242" s="105">
        <v>34.1</v>
      </c>
      <c r="T242" s="105">
        <v>69.239999999999995</v>
      </c>
      <c r="U242" s="105">
        <v>56.74</v>
      </c>
      <c r="V242" s="105">
        <v>40.055375499999997</v>
      </c>
      <c r="W242" s="105">
        <v>38.11</v>
      </c>
      <c r="X242" s="105">
        <v>39.700000000000003</v>
      </c>
      <c r="Y242" s="105">
        <v>22.567487638999999</v>
      </c>
      <c r="Z242" s="105">
        <v>8.3000000000000007</v>
      </c>
      <c r="AA242" s="105">
        <v>33.25</v>
      </c>
      <c r="AB242" s="105">
        <v>2.76</v>
      </c>
      <c r="AC242" s="105">
        <v>51.95</v>
      </c>
      <c r="AD242" s="105">
        <v>34.68</v>
      </c>
      <c r="AE242" s="105">
        <v>12.727499999999999</v>
      </c>
      <c r="AF242" s="105">
        <v>24.15</v>
      </c>
      <c r="AG242" s="105">
        <v>25.8</v>
      </c>
      <c r="AH242" s="105">
        <v>56.31</v>
      </c>
      <c r="AI242" s="105">
        <v>13.5075</v>
      </c>
      <c r="AJ242" s="105">
        <v>12.55</v>
      </c>
      <c r="AK242" s="105">
        <v>16.93</v>
      </c>
      <c r="AL242" s="105">
        <v>71.05</v>
      </c>
      <c r="AM242" s="105">
        <v>152.37</v>
      </c>
      <c r="AN242" s="105">
        <v>115.65</v>
      </c>
      <c r="AO242" s="105">
        <v>46.87</v>
      </c>
      <c r="AP242" s="105">
        <v>35.9</v>
      </c>
      <c r="AQ242" s="105">
        <v>57.94</v>
      </c>
      <c r="AR242" s="105">
        <v>36.831542499999998</v>
      </c>
      <c r="AS242" s="105">
        <v>34.14</v>
      </c>
      <c r="AT242" s="105">
        <v>47.85</v>
      </c>
      <c r="AU242" s="105">
        <v>173.18</v>
      </c>
      <c r="AV242" s="105">
        <v>74.069999999999993</v>
      </c>
      <c r="AW242" s="105">
        <v>43.13</v>
      </c>
      <c r="AX242" s="105">
        <v>11.01</v>
      </c>
      <c r="AY242" s="105">
        <v>18.0628536</v>
      </c>
      <c r="AZ242" s="105">
        <v>48.030344759999998</v>
      </c>
      <c r="BA242" s="105">
        <v>26.268056999999999</v>
      </c>
      <c r="BB242" s="105">
        <v>58.6</v>
      </c>
      <c r="BC242" s="105">
        <v>135.15</v>
      </c>
      <c r="BD242" s="105">
        <v>80.38</v>
      </c>
    </row>
    <row r="243" spans="3:56" x14ac:dyDescent="0.25">
      <c r="C243" s="38">
        <v>42670</v>
      </c>
      <c r="D243" s="105">
        <v>81.92</v>
      </c>
      <c r="E243" s="105">
        <v>94.02</v>
      </c>
      <c r="F243" s="105">
        <v>51.89</v>
      </c>
      <c r="G243" s="105">
        <v>38.22</v>
      </c>
      <c r="H243" s="105">
        <v>83.01</v>
      </c>
      <c r="I243" s="105">
        <v>129.69</v>
      </c>
      <c r="J243" s="105">
        <v>28.62</v>
      </c>
      <c r="K243" s="105">
        <v>818.36</v>
      </c>
      <c r="L243" s="105">
        <v>126.47</v>
      </c>
      <c r="M243" s="105">
        <v>60.1</v>
      </c>
      <c r="N243" s="105">
        <v>817.35</v>
      </c>
      <c r="O243" s="105">
        <v>95.51</v>
      </c>
      <c r="P243" s="105">
        <v>165.63</v>
      </c>
      <c r="Q243" s="105">
        <v>84.14</v>
      </c>
      <c r="R243" s="105">
        <v>40.44</v>
      </c>
      <c r="S243" s="105">
        <v>33.68</v>
      </c>
      <c r="T243" s="105">
        <v>66.92</v>
      </c>
      <c r="U243" s="105">
        <v>57.04</v>
      </c>
      <c r="V243" s="105">
        <v>39.65236436</v>
      </c>
      <c r="W243" s="105">
        <v>38.479999999999997</v>
      </c>
      <c r="X243" s="105">
        <v>39.24</v>
      </c>
      <c r="Y243" s="105">
        <v>22.867245538999999</v>
      </c>
      <c r="Z243" s="105">
        <v>8.35</v>
      </c>
      <c r="AA243" s="105">
        <v>30.2</v>
      </c>
      <c r="AB243" s="105">
        <v>2.78</v>
      </c>
      <c r="AC243" s="105">
        <v>49.74</v>
      </c>
      <c r="AD243" s="105">
        <v>34.11</v>
      </c>
      <c r="AE243" s="105">
        <v>12.975</v>
      </c>
      <c r="AF243" s="105">
        <v>23.93</v>
      </c>
      <c r="AG243" s="105">
        <v>26.58</v>
      </c>
      <c r="AH243" s="105">
        <v>54.76</v>
      </c>
      <c r="AI243" s="105">
        <v>13.685</v>
      </c>
      <c r="AJ243" s="105">
        <v>13.15</v>
      </c>
      <c r="AK243" s="105">
        <v>17.36</v>
      </c>
      <c r="AL243" s="105">
        <v>71.41</v>
      </c>
      <c r="AM243" s="105">
        <v>153.35</v>
      </c>
      <c r="AN243" s="105">
        <v>109.72</v>
      </c>
      <c r="AO243" s="105">
        <v>48.54</v>
      </c>
      <c r="AP243" s="105">
        <v>36.590000000000003</v>
      </c>
      <c r="AQ243" s="105">
        <v>59.71</v>
      </c>
      <c r="AR243" s="105">
        <v>33.943559299999997</v>
      </c>
      <c r="AS243" s="105">
        <v>38.020000000000003</v>
      </c>
      <c r="AT243" s="105">
        <v>47.45</v>
      </c>
      <c r="AU243" s="105">
        <v>167.25</v>
      </c>
      <c r="AV243" s="105">
        <v>74.45</v>
      </c>
      <c r="AW243" s="105">
        <v>50.65</v>
      </c>
      <c r="AX243" s="105">
        <v>11.6</v>
      </c>
      <c r="AY243" s="105">
        <v>19.028781599999999</v>
      </c>
      <c r="AZ243" s="105">
        <v>48.741688879999998</v>
      </c>
      <c r="BA243" s="105">
        <v>27.046369800000001</v>
      </c>
      <c r="BB243" s="105">
        <v>60.02</v>
      </c>
      <c r="BC243" s="105">
        <v>133.94999999999999</v>
      </c>
      <c r="BD243" s="105">
        <v>80.17</v>
      </c>
    </row>
    <row r="244" spans="3:56" x14ac:dyDescent="0.25">
      <c r="C244" s="38">
        <v>42663</v>
      </c>
      <c r="D244" s="105">
        <v>82.5</v>
      </c>
      <c r="E244" s="105">
        <v>92.03</v>
      </c>
      <c r="F244" s="105">
        <v>51.89</v>
      </c>
      <c r="G244" s="105">
        <v>38.090000000000003</v>
      </c>
      <c r="H244" s="105">
        <v>86.63</v>
      </c>
      <c r="I244" s="105">
        <v>130</v>
      </c>
      <c r="J244" s="105">
        <v>29.265000000000001</v>
      </c>
      <c r="K244" s="105">
        <v>810.32</v>
      </c>
      <c r="L244" s="105">
        <v>123.35</v>
      </c>
      <c r="M244" s="105">
        <v>57.25</v>
      </c>
      <c r="N244" s="105">
        <v>821.63</v>
      </c>
      <c r="O244" s="105">
        <v>95.12</v>
      </c>
      <c r="P244" s="105">
        <v>166.97</v>
      </c>
      <c r="Q244" s="105">
        <v>91.53</v>
      </c>
      <c r="R244" s="105">
        <v>40.39</v>
      </c>
      <c r="S244" s="105">
        <v>33.58</v>
      </c>
      <c r="T244" s="105">
        <v>67.400000000000006</v>
      </c>
      <c r="U244" s="105">
        <v>57.9</v>
      </c>
      <c r="V244" s="105">
        <v>40.694295599999997</v>
      </c>
      <c r="W244" s="105">
        <v>39.479999999999997</v>
      </c>
      <c r="X244" s="105">
        <v>42.29</v>
      </c>
      <c r="Y244" s="105">
        <v>24.443115642999999</v>
      </c>
      <c r="Z244" s="105">
        <v>9.0500000000000007</v>
      </c>
      <c r="AA244" s="105">
        <v>30.95</v>
      </c>
      <c r="AB244" s="105">
        <v>2.91</v>
      </c>
      <c r="AC244" s="105">
        <v>50.43</v>
      </c>
      <c r="AD244" s="105">
        <v>34.47</v>
      </c>
      <c r="AE244" s="105">
        <v>14.1625</v>
      </c>
      <c r="AF244" s="105">
        <v>24.69</v>
      </c>
      <c r="AG244" s="105">
        <v>27.42</v>
      </c>
      <c r="AH244" s="105">
        <v>56.71</v>
      </c>
      <c r="AI244" s="105">
        <v>13.1</v>
      </c>
      <c r="AJ244" s="105">
        <v>13.25</v>
      </c>
      <c r="AK244" s="105">
        <v>18.600000000000001</v>
      </c>
      <c r="AL244" s="105">
        <v>71.75</v>
      </c>
      <c r="AM244" s="105">
        <v>151.52000000000001</v>
      </c>
      <c r="AN244" s="105">
        <v>114.55</v>
      </c>
      <c r="AO244" s="105">
        <v>49.14</v>
      </c>
      <c r="AP244" s="105">
        <v>36.645000000000003</v>
      </c>
      <c r="AQ244" s="105">
        <v>58.9</v>
      </c>
      <c r="AR244" s="105">
        <v>36.109546700000003</v>
      </c>
      <c r="AS244" s="105">
        <v>37.61</v>
      </c>
      <c r="AT244" s="105">
        <v>47.59</v>
      </c>
      <c r="AU244" s="105">
        <v>173.03</v>
      </c>
      <c r="AV244" s="105">
        <v>75.87</v>
      </c>
      <c r="AW244" s="105">
        <v>48.75</v>
      </c>
      <c r="AX244" s="105">
        <v>12.28</v>
      </c>
      <c r="AY244" s="105">
        <v>20.0913024</v>
      </c>
      <c r="AZ244" s="105">
        <v>49.472521880000002</v>
      </c>
      <c r="BA244" s="105">
        <v>27.484170750000001</v>
      </c>
      <c r="BB244" s="105">
        <v>61.03</v>
      </c>
      <c r="BC244" s="105">
        <v>155.75</v>
      </c>
      <c r="BD244" s="105">
        <v>83.39</v>
      </c>
    </row>
    <row r="245" spans="3:56" x14ac:dyDescent="0.25">
      <c r="C245" s="38">
        <v>42656</v>
      </c>
      <c r="D245" s="105">
        <v>81.87</v>
      </c>
      <c r="E245" s="105">
        <v>91.12</v>
      </c>
      <c r="F245" s="105">
        <v>52.03</v>
      </c>
      <c r="G245" s="105">
        <v>38.03</v>
      </c>
      <c r="H245" s="105">
        <v>86.97</v>
      </c>
      <c r="I245" s="105">
        <v>127.82</v>
      </c>
      <c r="J245" s="105">
        <v>29.245000000000001</v>
      </c>
      <c r="K245" s="105">
        <v>829.28</v>
      </c>
      <c r="L245" s="105">
        <v>100.23</v>
      </c>
      <c r="M245" s="105">
        <v>56.92</v>
      </c>
      <c r="N245" s="105">
        <v>804.08</v>
      </c>
      <c r="O245" s="105">
        <v>95.65</v>
      </c>
      <c r="P245" s="105">
        <v>168.94</v>
      </c>
      <c r="Q245" s="105">
        <v>90.95</v>
      </c>
      <c r="R245" s="105">
        <v>40.340000000000003</v>
      </c>
      <c r="S245" s="105">
        <v>33</v>
      </c>
      <c r="T245" s="105">
        <v>67.27</v>
      </c>
      <c r="U245" s="105">
        <v>58.09</v>
      </c>
      <c r="V245" s="105">
        <v>40.261795839999998</v>
      </c>
      <c r="W245" s="105">
        <v>39.83</v>
      </c>
      <c r="X245" s="105">
        <v>41.38</v>
      </c>
      <c r="Y245" s="105">
        <v>24.074841652</v>
      </c>
      <c r="Z245" s="105">
        <v>8.66</v>
      </c>
      <c r="AA245" s="105">
        <v>28.76</v>
      </c>
      <c r="AB245" s="105">
        <v>2.9</v>
      </c>
      <c r="AC245" s="105">
        <v>49.76</v>
      </c>
      <c r="AD245" s="105">
        <v>34.82</v>
      </c>
      <c r="AE245" s="105">
        <v>14.525</v>
      </c>
      <c r="AF245" s="105">
        <v>23.24</v>
      </c>
      <c r="AG245" s="105">
        <v>26.44</v>
      </c>
      <c r="AH245" s="105">
        <v>55.92</v>
      </c>
      <c r="AI245" s="105">
        <v>12.734999999999999</v>
      </c>
      <c r="AJ245" s="105">
        <v>13.63</v>
      </c>
      <c r="AK245" s="105">
        <v>18.22</v>
      </c>
      <c r="AL245" s="105">
        <v>71.010000000000005</v>
      </c>
      <c r="AM245" s="105">
        <v>153.72</v>
      </c>
      <c r="AN245" s="105">
        <v>113.58</v>
      </c>
      <c r="AO245" s="105">
        <v>50.29</v>
      </c>
      <c r="AP245" s="105">
        <v>37.234999999999999</v>
      </c>
      <c r="AQ245" s="105">
        <v>56.34</v>
      </c>
      <c r="AR245" s="105">
        <v>33.963072699999998</v>
      </c>
      <c r="AS245" s="105">
        <v>37.880000000000003</v>
      </c>
      <c r="AT245" s="105">
        <v>48.86</v>
      </c>
      <c r="AU245" s="105">
        <v>172.86</v>
      </c>
      <c r="AV245" s="105">
        <v>78.23</v>
      </c>
      <c r="AW245" s="105">
        <v>49.93</v>
      </c>
      <c r="AX245" s="105">
        <v>12.87</v>
      </c>
      <c r="AY245" s="105">
        <v>21.73338</v>
      </c>
      <c r="AZ245" s="105">
        <v>49.969488320000004</v>
      </c>
      <c r="BA245" s="105">
        <v>27.406339469999999</v>
      </c>
      <c r="BB245" s="105">
        <v>59.2</v>
      </c>
      <c r="BC245" s="105">
        <v>153.44999999999999</v>
      </c>
      <c r="BD245" s="105">
        <v>90.09</v>
      </c>
    </row>
    <row r="246" spans="3:56" x14ac:dyDescent="0.25">
      <c r="C246" s="38">
        <v>42649</v>
      </c>
      <c r="D246" s="105">
        <v>83.36</v>
      </c>
      <c r="E246" s="105">
        <v>92.83</v>
      </c>
      <c r="F246" s="105">
        <v>52.03</v>
      </c>
      <c r="G246" s="105">
        <v>38.869999999999997</v>
      </c>
      <c r="H246" s="105">
        <v>89.29</v>
      </c>
      <c r="I246" s="105">
        <v>128.74</v>
      </c>
      <c r="J246" s="105">
        <v>28.4725</v>
      </c>
      <c r="K246" s="105">
        <v>841.66</v>
      </c>
      <c r="L246" s="105">
        <v>105.07</v>
      </c>
      <c r="M246" s="105">
        <v>57.74</v>
      </c>
      <c r="N246" s="105">
        <v>803.08</v>
      </c>
      <c r="O246" s="105">
        <v>95.11</v>
      </c>
      <c r="P246" s="105">
        <v>171.03</v>
      </c>
      <c r="Q246" s="105">
        <v>89.44</v>
      </c>
      <c r="R246" s="105">
        <v>39.619999999999997</v>
      </c>
      <c r="S246" s="105">
        <v>32.5</v>
      </c>
      <c r="T246" s="105">
        <v>67.510000000000005</v>
      </c>
      <c r="U246" s="105">
        <v>58.8</v>
      </c>
      <c r="V246" s="105">
        <v>41.411852019999998</v>
      </c>
      <c r="W246" s="105">
        <v>38.18</v>
      </c>
      <c r="X246" s="105">
        <v>39.17</v>
      </c>
      <c r="Y246" s="105">
        <v>23.972067513999999</v>
      </c>
      <c r="Z246" s="105">
        <v>8.56</v>
      </c>
      <c r="AA246" s="105">
        <v>29.38</v>
      </c>
      <c r="AB246" s="105">
        <v>2.92</v>
      </c>
      <c r="AC246" s="105">
        <v>52.57</v>
      </c>
      <c r="AD246" s="105">
        <v>36.619999999999997</v>
      </c>
      <c r="AE246" s="105">
        <v>15.1275</v>
      </c>
      <c r="AF246" s="105">
        <v>24.85</v>
      </c>
      <c r="AG246" s="105">
        <v>26.9</v>
      </c>
      <c r="AH246" s="105">
        <v>58.12</v>
      </c>
      <c r="AI246" s="105">
        <v>13.3925</v>
      </c>
      <c r="AJ246" s="105">
        <v>14.87</v>
      </c>
      <c r="AK246" s="105">
        <v>17.62</v>
      </c>
      <c r="AL246" s="105">
        <v>69.819999999999993</v>
      </c>
      <c r="AM246" s="105">
        <v>156.88</v>
      </c>
      <c r="AN246" s="105">
        <v>116.65</v>
      </c>
      <c r="AO246" s="105">
        <v>50.26</v>
      </c>
      <c r="AP246" s="105">
        <v>37.11</v>
      </c>
      <c r="AQ246" s="105">
        <v>60.2</v>
      </c>
      <c r="AR246" s="105">
        <v>33.221563500000002</v>
      </c>
      <c r="AS246" s="105">
        <v>36.840000000000003</v>
      </c>
      <c r="AT246" s="105">
        <v>48.28</v>
      </c>
      <c r="AU246" s="105">
        <v>177.11</v>
      </c>
      <c r="AV246" s="105">
        <v>78.09</v>
      </c>
      <c r="AW246" s="105">
        <v>49.91</v>
      </c>
      <c r="AX246" s="105">
        <v>13.83</v>
      </c>
      <c r="AY246" s="105">
        <v>20.84472624</v>
      </c>
      <c r="AZ246" s="105">
        <v>48.78066664</v>
      </c>
      <c r="BA246" s="105">
        <v>27.883056060000001</v>
      </c>
      <c r="BB246" s="105">
        <v>57.45</v>
      </c>
      <c r="BC246" s="105">
        <v>142.36000000000001</v>
      </c>
      <c r="BD246" s="105">
        <v>89.94</v>
      </c>
    </row>
    <row r="247" spans="3:56" x14ac:dyDescent="0.25">
      <c r="C247" s="38">
        <v>42642</v>
      </c>
      <c r="D247" s="105">
        <v>81.92</v>
      </c>
      <c r="E247" s="105">
        <v>91.8</v>
      </c>
      <c r="F247" s="105">
        <v>52.16</v>
      </c>
      <c r="G247" s="105">
        <v>39.119999999999997</v>
      </c>
      <c r="H247" s="105">
        <v>87.47</v>
      </c>
      <c r="I247" s="105">
        <v>128.09</v>
      </c>
      <c r="J247" s="105">
        <v>28.045000000000002</v>
      </c>
      <c r="K247" s="105">
        <v>829.05</v>
      </c>
      <c r="L247" s="105">
        <v>96.67</v>
      </c>
      <c r="M247" s="105">
        <v>57.4</v>
      </c>
      <c r="N247" s="105">
        <v>802.64</v>
      </c>
      <c r="O247" s="105">
        <v>94.64</v>
      </c>
      <c r="P247" s="105">
        <v>163.66999999999999</v>
      </c>
      <c r="Q247" s="105">
        <v>92.41</v>
      </c>
      <c r="R247" s="105">
        <v>41.81</v>
      </c>
      <c r="S247" s="105">
        <v>34.82</v>
      </c>
      <c r="T247" s="105">
        <v>67.099999999999994</v>
      </c>
      <c r="U247" s="105">
        <v>56.93</v>
      </c>
      <c r="V247" s="105">
        <v>41.470829260000002</v>
      </c>
      <c r="W247" s="105">
        <v>37.409999999999997</v>
      </c>
      <c r="X247" s="105">
        <v>38.15</v>
      </c>
      <c r="Y247" s="105">
        <v>24.554454291999999</v>
      </c>
      <c r="Z247" s="105">
        <v>8.76</v>
      </c>
      <c r="AA247" s="105">
        <v>29.49</v>
      </c>
      <c r="AB247" s="105">
        <v>2.81</v>
      </c>
      <c r="AC247" s="105">
        <v>55.26</v>
      </c>
      <c r="AD247" s="105">
        <v>36.270000000000003</v>
      </c>
      <c r="AE247" s="105">
        <v>14.5975</v>
      </c>
      <c r="AF247" s="105">
        <v>24.25</v>
      </c>
      <c r="AG247" s="105">
        <v>25.95</v>
      </c>
      <c r="AH247" s="105">
        <v>56.57</v>
      </c>
      <c r="AI247" s="105">
        <v>13.81</v>
      </c>
      <c r="AJ247" s="105">
        <v>15.01</v>
      </c>
      <c r="AK247" s="105">
        <v>17.149999999999999</v>
      </c>
      <c r="AL247" s="105">
        <v>72.680000000000007</v>
      </c>
      <c r="AM247" s="105">
        <v>158.11000000000001</v>
      </c>
      <c r="AN247" s="105">
        <v>115.7</v>
      </c>
      <c r="AO247" s="105">
        <v>52.12</v>
      </c>
      <c r="AP247" s="105">
        <v>36.935000000000002</v>
      </c>
      <c r="AQ247" s="105">
        <v>57.73</v>
      </c>
      <c r="AR247" s="105">
        <v>38.0999135</v>
      </c>
      <c r="AS247" s="105">
        <v>38.47</v>
      </c>
      <c r="AT247" s="105">
        <v>49.03</v>
      </c>
      <c r="AU247" s="105">
        <v>176.44</v>
      </c>
      <c r="AV247" s="105">
        <v>77.36</v>
      </c>
      <c r="AW247" s="105">
        <v>49.99</v>
      </c>
      <c r="AX247" s="105">
        <v>14.49</v>
      </c>
      <c r="AY247" s="105">
        <v>23.153294160000002</v>
      </c>
      <c r="AZ247" s="105">
        <v>46.607656519999999</v>
      </c>
      <c r="BA247" s="105">
        <v>28.028989710000001</v>
      </c>
      <c r="BB247" s="105">
        <v>62.16</v>
      </c>
      <c r="BC247" s="105">
        <v>130.35</v>
      </c>
      <c r="BD247" s="105">
        <v>91.47</v>
      </c>
    </row>
    <row r="248" spans="3:56" x14ac:dyDescent="0.25">
      <c r="C248" s="38">
        <v>42635</v>
      </c>
      <c r="D248" s="105">
        <v>83.36</v>
      </c>
      <c r="E248" s="105">
        <v>93.41</v>
      </c>
      <c r="F248" s="105">
        <v>55.41</v>
      </c>
      <c r="G248" s="105">
        <v>39.51</v>
      </c>
      <c r="H248" s="105">
        <v>83.5</v>
      </c>
      <c r="I248" s="105">
        <v>130.08000000000001</v>
      </c>
      <c r="J248" s="105">
        <v>28.655000000000001</v>
      </c>
      <c r="K248" s="105">
        <v>804.7</v>
      </c>
      <c r="L248" s="105">
        <v>95.83</v>
      </c>
      <c r="M248" s="105">
        <v>57.82</v>
      </c>
      <c r="N248" s="105">
        <v>815.95</v>
      </c>
      <c r="O248" s="105">
        <v>96.16</v>
      </c>
      <c r="P248" s="105">
        <v>166.02</v>
      </c>
      <c r="Q248" s="105">
        <v>95.67</v>
      </c>
      <c r="R248" s="105">
        <v>42.9</v>
      </c>
      <c r="S248" s="105">
        <v>35.82</v>
      </c>
      <c r="T248" s="105">
        <v>69.75</v>
      </c>
      <c r="U248" s="105">
        <v>57.17</v>
      </c>
      <c r="V248" s="105">
        <v>42.856794399999998</v>
      </c>
      <c r="W248" s="105">
        <v>38.47</v>
      </c>
      <c r="X248" s="105">
        <v>37.33</v>
      </c>
      <c r="Y248" s="105">
        <v>25.136841069999999</v>
      </c>
      <c r="Z248" s="105">
        <v>9.11</v>
      </c>
      <c r="AA248" s="105">
        <v>29.49</v>
      </c>
      <c r="AB248" s="105">
        <v>2.84</v>
      </c>
      <c r="AC248" s="105">
        <v>62.09</v>
      </c>
      <c r="AD248" s="105">
        <v>36</v>
      </c>
      <c r="AE248" s="105">
        <v>14.64</v>
      </c>
      <c r="AF248" s="105">
        <v>25.55</v>
      </c>
      <c r="AG248" s="105">
        <v>26.18</v>
      </c>
      <c r="AH248" s="105">
        <v>61.59</v>
      </c>
      <c r="AI248" s="105">
        <v>19.41</v>
      </c>
      <c r="AJ248" s="105">
        <v>16.2</v>
      </c>
      <c r="AK248" s="105">
        <v>17.3</v>
      </c>
      <c r="AL248" s="105">
        <v>75.510000000000005</v>
      </c>
      <c r="AM248" s="105">
        <v>156.11000000000001</v>
      </c>
      <c r="AN248" s="105">
        <v>118.44</v>
      </c>
      <c r="AO248" s="105">
        <v>52.35</v>
      </c>
      <c r="AP248" s="105">
        <v>38.25</v>
      </c>
      <c r="AQ248" s="105">
        <v>59.13</v>
      </c>
      <c r="AR248" s="105">
        <v>39.778065900000001</v>
      </c>
      <c r="AS248" s="105">
        <v>42.59</v>
      </c>
      <c r="AT248" s="105">
        <v>50.02</v>
      </c>
      <c r="AU248" s="105">
        <v>181.55</v>
      </c>
      <c r="AV248" s="105">
        <v>80.069999999999993</v>
      </c>
      <c r="AW248" s="105">
        <v>50.24</v>
      </c>
      <c r="AX248" s="105">
        <v>14.49</v>
      </c>
      <c r="AY248" s="105">
        <v>23.655576719999999</v>
      </c>
      <c r="AZ248" s="105">
        <v>47.221556239999998</v>
      </c>
      <c r="BA248" s="105">
        <v>28.739200140000001</v>
      </c>
      <c r="BB248" s="105">
        <v>64.989999999999995</v>
      </c>
      <c r="BC248" s="105">
        <v>127.87</v>
      </c>
      <c r="BD248" s="105">
        <v>91.28</v>
      </c>
    </row>
    <row r="249" spans="3:56" x14ac:dyDescent="0.25">
      <c r="C249" s="38">
        <v>42628</v>
      </c>
      <c r="D249" s="105">
        <v>82.01</v>
      </c>
      <c r="E249" s="105">
        <v>92.5</v>
      </c>
      <c r="F249" s="105">
        <v>55.47</v>
      </c>
      <c r="G249" s="105">
        <v>40.86</v>
      </c>
      <c r="H249" s="105">
        <v>82.03</v>
      </c>
      <c r="I249" s="105">
        <v>128.35</v>
      </c>
      <c r="J249" s="105">
        <v>28.892499999999998</v>
      </c>
      <c r="K249" s="105">
        <v>769.69</v>
      </c>
      <c r="L249" s="105">
        <v>97.34</v>
      </c>
      <c r="M249" s="105">
        <v>57.19</v>
      </c>
      <c r="N249" s="105">
        <v>801.23</v>
      </c>
      <c r="O249" s="105">
        <v>96.01</v>
      </c>
      <c r="P249" s="105">
        <v>166.47</v>
      </c>
      <c r="Q249" s="105">
        <v>92.93</v>
      </c>
      <c r="R249" s="105">
        <v>40.86</v>
      </c>
      <c r="S249" s="105">
        <v>34.68</v>
      </c>
      <c r="T249" s="105">
        <v>69.290000000000006</v>
      </c>
      <c r="U249" s="105">
        <v>58.43</v>
      </c>
      <c r="V249" s="105">
        <v>44.242759540000002</v>
      </c>
      <c r="W249" s="105">
        <v>37.68</v>
      </c>
      <c r="X249" s="105">
        <v>36.99</v>
      </c>
      <c r="Y249" s="105">
        <v>25.205357160999998</v>
      </c>
      <c r="Z249" s="105">
        <v>9.9700000000000006</v>
      </c>
      <c r="AA249" s="105">
        <v>27.87</v>
      </c>
      <c r="AB249" s="105">
        <v>2.92</v>
      </c>
      <c r="AC249" s="105">
        <v>59.86</v>
      </c>
      <c r="AD249" s="105">
        <v>34.479999999999997</v>
      </c>
      <c r="AE249" s="105">
        <v>14.317500000000001</v>
      </c>
      <c r="AF249" s="105">
        <v>25.95</v>
      </c>
      <c r="AG249" s="105">
        <v>24.83</v>
      </c>
      <c r="AH249" s="105">
        <v>60.36</v>
      </c>
      <c r="AI249" s="105">
        <v>18.982500000000002</v>
      </c>
      <c r="AJ249" s="105">
        <v>16.91</v>
      </c>
      <c r="AK249" s="105">
        <v>17.53</v>
      </c>
      <c r="AL249" s="105">
        <v>72.2</v>
      </c>
      <c r="AM249" s="105">
        <v>155.66</v>
      </c>
      <c r="AN249" s="105">
        <v>113.5</v>
      </c>
      <c r="AO249" s="105">
        <v>51.98</v>
      </c>
      <c r="AP249" s="105">
        <v>37.520000000000003</v>
      </c>
      <c r="AQ249" s="105">
        <v>59.36</v>
      </c>
      <c r="AR249" s="105">
        <v>38.246263999999996</v>
      </c>
      <c r="AS249" s="105">
        <v>41.49</v>
      </c>
      <c r="AT249" s="105">
        <v>49.58</v>
      </c>
      <c r="AU249" s="105">
        <v>176.02</v>
      </c>
      <c r="AV249" s="105">
        <v>81.99</v>
      </c>
      <c r="AW249" s="105">
        <v>48.84</v>
      </c>
      <c r="AX249" s="105">
        <v>14.08</v>
      </c>
      <c r="AY249" s="105">
        <v>22.274299679999999</v>
      </c>
      <c r="AZ249" s="105">
        <v>45.906056839999998</v>
      </c>
      <c r="BA249" s="105">
        <v>27.240947999999999</v>
      </c>
      <c r="BB249" s="105">
        <v>60.4</v>
      </c>
      <c r="BC249" s="105">
        <v>133.22999999999999</v>
      </c>
      <c r="BD249" s="105">
        <v>87.88</v>
      </c>
    </row>
    <row r="250" spans="3:56" x14ac:dyDescent="0.25">
      <c r="C250" s="38">
        <v>42621</v>
      </c>
      <c r="D250" s="105">
        <v>82.97</v>
      </c>
      <c r="E250" s="105">
        <v>94.09</v>
      </c>
      <c r="F250" s="105">
        <v>56.17</v>
      </c>
      <c r="G250" s="105">
        <v>40.72</v>
      </c>
      <c r="H250" s="105">
        <v>83.54</v>
      </c>
      <c r="I250" s="105">
        <v>130.27000000000001</v>
      </c>
      <c r="J250" s="105">
        <v>26.38</v>
      </c>
      <c r="K250" s="105">
        <v>784.06</v>
      </c>
      <c r="L250" s="105">
        <v>99.66</v>
      </c>
      <c r="M250" s="105">
        <v>57.43</v>
      </c>
      <c r="N250" s="105">
        <v>802.84</v>
      </c>
      <c r="O250" s="105">
        <v>98.09</v>
      </c>
      <c r="P250" s="105">
        <v>165.55</v>
      </c>
      <c r="Q250" s="105">
        <v>95.4</v>
      </c>
      <c r="R250" s="105">
        <v>42.37</v>
      </c>
      <c r="S250" s="105">
        <v>34.94</v>
      </c>
      <c r="T250" s="105">
        <v>70.03</v>
      </c>
      <c r="U250" s="105">
        <v>55.68</v>
      </c>
      <c r="V250" s="105">
        <v>46.071053980000002</v>
      </c>
      <c r="W250" s="105">
        <v>37.92</v>
      </c>
      <c r="X250" s="105">
        <v>38.76</v>
      </c>
      <c r="Y250" s="105">
        <v>26.250227556999999</v>
      </c>
      <c r="Z250" s="105">
        <v>10.38</v>
      </c>
      <c r="AA250" s="105">
        <v>26.72</v>
      </c>
      <c r="AB250" s="105">
        <v>2.85</v>
      </c>
      <c r="AC250" s="105">
        <v>58.6</v>
      </c>
      <c r="AD250" s="105">
        <v>35.94</v>
      </c>
      <c r="AE250" s="105">
        <v>15.095000000000001</v>
      </c>
      <c r="AF250" s="105">
        <v>28.25</v>
      </c>
      <c r="AG250" s="105">
        <v>26.2</v>
      </c>
      <c r="AH250" s="105">
        <v>59.65</v>
      </c>
      <c r="AI250" s="105">
        <v>20.0425</v>
      </c>
      <c r="AJ250" s="105">
        <v>16.850000000000001</v>
      </c>
      <c r="AK250" s="105">
        <v>16.75</v>
      </c>
      <c r="AL250" s="105">
        <v>73.849999999999994</v>
      </c>
      <c r="AM250" s="105">
        <v>159</v>
      </c>
      <c r="AN250" s="105">
        <v>114.87</v>
      </c>
      <c r="AO250" s="105">
        <v>53.6</v>
      </c>
      <c r="AP250" s="105">
        <v>38.11</v>
      </c>
      <c r="AQ250" s="105">
        <v>60.92</v>
      </c>
      <c r="AR250" s="105">
        <v>40.5781153</v>
      </c>
      <c r="AS250" s="105">
        <v>40.57</v>
      </c>
      <c r="AT250" s="105">
        <v>52.61</v>
      </c>
      <c r="AU250" s="105">
        <v>176.65</v>
      </c>
      <c r="AV250" s="105">
        <v>81.84</v>
      </c>
      <c r="AW250" s="105">
        <v>52.03</v>
      </c>
      <c r="AX250" s="105">
        <v>15.23</v>
      </c>
      <c r="AY250" s="105">
        <v>22.91181216</v>
      </c>
      <c r="AZ250" s="105">
        <v>46.870756399999998</v>
      </c>
      <c r="BA250" s="105">
        <v>28.08736317</v>
      </c>
      <c r="BB250" s="105">
        <v>63.59</v>
      </c>
      <c r="BC250" s="105">
        <v>146.03</v>
      </c>
      <c r="BD250" s="105">
        <v>89.95</v>
      </c>
    </row>
    <row r="251" spans="3:56" x14ac:dyDescent="0.25">
      <c r="C251" s="38">
        <v>42614</v>
      </c>
      <c r="D251" s="105">
        <v>81.3</v>
      </c>
      <c r="E251" s="105">
        <v>94.26</v>
      </c>
      <c r="F251" s="105">
        <v>58.54</v>
      </c>
      <c r="G251" s="105">
        <v>41.16</v>
      </c>
      <c r="H251" s="105">
        <v>81.45</v>
      </c>
      <c r="I251" s="105">
        <v>126.17</v>
      </c>
      <c r="J251" s="105">
        <v>26.682500000000001</v>
      </c>
      <c r="K251" s="105">
        <v>770.62</v>
      </c>
      <c r="L251" s="105">
        <v>97.38</v>
      </c>
      <c r="M251" s="105">
        <v>57.59</v>
      </c>
      <c r="N251" s="105">
        <v>791.4</v>
      </c>
      <c r="O251" s="105">
        <v>99.54</v>
      </c>
      <c r="P251" s="105">
        <v>164.8</v>
      </c>
      <c r="Q251" s="105">
        <v>93.76</v>
      </c>
      <c r="R251" s="105">
        <v>41.27</v>
      </c>
      <c r="S251" s="105">
        <v>34.44</v>
      </c>
      <c r="T251" s="105">
        <v>71.13</v>
      </c>
      <c r="U251" s="105">
        <v>53.81</v>
      </c>
      <c r="V251" s="105">
        <v>45.91378134</v>
      </c>
      <c r="W251" s="105">
        <v>38.54</v>
      </c>
      <c r="X251" s="105">
        <v>36.590000000000003</v>
      </c>
      <c r="Y251" s="105">
        <v>25.796308451000002</v>
      </c>
      <c r="Z251" s="105">
        <v>10.51</v>
      </c>
      <c r="AA251" s="105">
        <v>25.85</v>
      </c>
      <c r="AB251" s="105">
        <v>2.68</v>
      </c>
      <c r="AC251" s="105">
        <v>57.29</v>
      </c>
      <c r="AD251" s="105">
        <v>35.93</v>
      </c>
      <c r="AE251" s="105">
        <v>15.51</v>
      </c>
      <c r="AF251" s="105">
        <v>29.17</v>
      </c>
      <c r="AG251" s="105">
        <v>27.66</v>
      </c>
      <c r="AH251" s="105">
        <v>58.79</v>
      </c>
      <c r="AI251" s="105">
        <v>19.537500000000001</v>
      </c>
      <c r="AJ251" s="105">
        <v>16.46</v>
      </c>
      <c r="AK251" s="105">
        <v>15.81</v>
      </c>
      <c r="AL251" s="105">
        <v>72.7</v>
      </c>
      <c r="AM251" s="105">
        <v>159.54</v>
      </c>
      <c r="AN251" s="105">
        <v>115.23</v>
      </c>
      <c r="AO251" s="105">
        <v>52.56</v>
      </c>
      <c r="AP251" s="105">
        <v>38.865000000000002</v>
      </c>
      <c r="AQ251" s="105">
        <v>58.19</v>
      </c>
      <c r="AR251" s="105">
        <v>38.470668099999997</v>
      </c>
      <c r="AS251" s="105">
        <v>41.92</v>
      </c>
      <c r="AT251" s="105">
        <v>52.06</v>
      </c>
      <c r="AU251" s="105">
        <v>177.02</v>
      </c>
      <c r="AV251" s="105">
        <v>83.18</v>
      </c>
      <c r="AW251" s="105">
        <v>51.35</v>
      </c>
      <c r="AX251" s="105">
        <v>15.19</v>
      </c>
      <c r="AY251" s="105">
        <v>22.44816672</v>
      </c>
      <c r="AZ251" s="105">
        <v>46.227623360000003</v>
      </c>
      <c r="BA251" s="105">
        <v>27.688477859999999</v>
      </c>
      <c r="BB251" s="105">
        <v>61.43</v>
      </c>
      <c r="BC251" s="105">
        <v>136.41</v>
      </c>
      <c r="BD251" s="105">
        <v>89.26</v>
      </c>
    </row>
    <row r="252" spans="3:56" x14ac:dyDescent="0.25">
      <c r="C252" s="38">
        <v>42607</v>
      </c>
      <c r="D252" s="105">
        <v>80.319999999999993</v>
      </c>
      <c r="E252" s="105">
        <v>95.55</v>
      </c>
      <c r="F252" s="105">
        <v>59.24</v>
      </c>
      <c r="G252" s="105">
        <v>41.1</v>
      </c>
      <c r="H252" s="105">
        <v>82.84</v>
      </c>
      <c r="I252" s="105">
        <v>123.89</v>
      </c>
      <c r="J252" s="105">
        <v>26.892499999999998</v>
      </c>
      <c r="K252" s="105">
        <v>759.22</v>
      </c>
      <c r="L252" s="105">
        <v>97.32</v>
      </c>
      <c r="M252" s="105">
        <v>58.17</v>
      </c>
      <c r="N252" s="105">
        <v>791.3</v>
      </c>
      <c r="O252" s="105">
        <v>111</v>
      </c>
      <c r="P252" s="105">
        <v>166.69</v>
      </c>
      <c r="Q252" s="105">
        <v>92.02</v>
      </c>
      <c r="R252" s="105">
        <v>42.28</v>
      </c>
      <c r="S252" s="105">
        <v>35.32</v>
      </c>
      <c r="T252" s="105">
        <v>73.03</v>
      </c>
      <c r="U252" s="105">
        <v>50.76</v>
      </c>
      <c r="V252" s="105">
        <v>46.385599259999999</v>
      </c>
      <c r="W252" s="105">
        <v>39.51</v>
      </c>
      <c r="X252" s="105">
        <v>36.69</v>
      </c>
      <c r="Y252" s="105">
        <v>26.001856725</v>
      </c>
      <c r="Z252" s="105">
        <v>10.3</v>
      </c>
      <c r="AA252" s="105">
        <v>25.75</v>
      </c>
      <c r="AB252" s="105">
        <v>2.64</v>
      </c>
      <c r="AC252" s="105">
        <v>59.52</v>
      </c>
      <c r="AD252" s="105">
        <v>36.01</v>
      </c>
      <c r="AE252" s="105">
        <v>15.5175</v>
      </c>
      <c r="AF252" s="105">
        <v>28.5</v>
      </c>
      <c r="AG252" s="105">
        <v>26.7</v>
      </c>
      <c r="AH252" s="105">
        <v>58.72</v>
      </c>
      <c r="AI252" s="105">
        <v>19.739999999999998</v>
      </c>
      <c r="AJ252" s="105">
        <v>17.29</v>
      </c>
      <c r="AK252" s="105">
        <v>16.010000000000002</v>
      </c>
      <c r="AL252" s="105">
        <v>73.650000000000006</v>
      </c>
      <c r="AM252" s="105">
        <v>158.63</v>
      </c>
      <c r="AN252" s="105">
        <v>113.31</v>
      </c>
      <c r="AO252" s="105">
        <v>52.75</v>
      </c>
      <c r="AP252" s="105">
        <v>39.4</v>
      </c>
      <c r="AQ252" s="105">
        <v>65.099999999999994</v>
      </c>
      <c r="AR252" s="105">
        <v>39.182907200000002</v>
      </c>
      <c r="AS252" s="105">
        <v>42.85</v>
      </c>
      <c r="AT252" s="105">
        <v>52.46</v>
      </c>
      <c r="AU252" s="105">
        <v>174.14</v>
      </c>
      <c r="AV252" s="105">
        <v>85.5</v>
      </c>
      <c r="AW252" s="105">
        <v>51.11</v>
      </c>
      <c r="AX252" s="105">
        <v>14.92</v>
      </c>
      <c r="AY252" s="105">
        <v>23.07601992</v>
      </c>
      <c r="AZ252" s="105">
        <v>47.338489520000003</v>
      </c>
      <c r="BA252" s="105">
        <v>27.94142952</v>
      </c>
      <c r="BB252" s="105">
        <v>62.45</v>
      </c>
      <c r="BC252" s="105">
        <v>136.38</v>
      </c>
      <c r="BD252" s="105">
        <v>87.64</v>
      </c>
    </row>
    <row r="253" spans="3:56" x14ac:dyDescent="0.25">
      <c r="C253" s="38">
        <v>42600</v>
      </c>
      <c r="D253" s="105">
        <v>80.27</v>
      </c>
      <c r="E253" s="105">
        <v>96.65</v>
      </c>
      <c r="F253" s="105">
        <v>57.21</v>
      </c>
      <c r="G253" s="105">
        <v>41.14</v>
      </c>
      <c r="H253" s="105">
        <v>83.38</v>
      </c>
      <c r="I253" s="105">
        <v>123.91</v>
      </c>
      <c r="J253" s="105">
        <v>27.27</v>
      </c>
      <c r="K253" s="105">
        <v>764.46</v>
      </c>
      <c r="L253" s="105">
        <v>96.16</v>
      </c>
      <c r="M253" s="105">
        <v>57.6</v>
      </c>
      <c r="N253" s="105">
        <v>802.75</v>
      </c>
      <c r="O253" s="105">
        <v>113.07</v>
      </c>
      <c r="P253" s="105">
        <v>165.27</v>
      </c>
      <c r="Q253" s="105">
        <v>94.71</v>
      </c>
      <c r="R253" s="105">
        <v>42.96</v>
      </c>
      <c r="S253" s="105">
        <v>35.58</v>
      </c>
      <c r="T253" s="105">
        <v>72.959999999999994</v>
      </c>
      <c r="U253" s="105">
        <v>52.12</v>
      </c>
      <c r="V253" s="105">
        <v>46.08088352</v>
      </c>
      <c r="W253" s="105">
        <v>33.200000000000003</v>
      </c>
      <c r="X253" s="105">
        <v>36.840000000000003</v>
      </c>
      <c r="Y253" s="105">
        <v>27.149501258000001</v>
      </c>
      <c r="Z253" s="105">
        <v>10.3</v>
      </c>
      <c r="AA253" s="105">
        <v>25.54</v>
      </c>
      <c r="AB253" s="105">
        <v>2.66</v>
      </c>
      <c r="AC253" s="105">
        <v>61.23</v>
      </c>
      <c r="AD253" s="105">
        <v>36</v>
      </c>
      <c r="AE253" s="105">
        <v>15.02</v>
      </c>
      <c r="AF253" s="105">
        <v>27.96</v>
      </c>
      <c r="AG253" s="105">
        <v>27.8</v>
      </c>
      <c r="AH253" s="105">
        <v>58.4</v>
      </c>
      <c r="AI253" s="105">
        <v>19.805</v>
      </c>
      <c r="AJ253" s="105">
        <v>16.71</v>
      </c>
      <c r="AK253" s="105">
        <v>16.649999999999999</v>
      </c>
      <c r="AL253" s="105">
        <v>75.06</v>
      </c>
      <c r="AM253" s="105">
        <v>161.36000000000001</v>
      </c>
      <c r="AN253" s="105">
        <v>113.75</v>
      </c>
      <c r="AO253" s="105">
        <v>52.87</v>
      </c>
      <c r="AP253" s="105">
        <v>38.905000000000001</v>
      </c>
      <c r="AQ253" s="105">
        <v>63.83</v>
      </c>
      <c r="AR253" s="105">
        <v>43.349018100000002</v>
      </c>
      <c r="AS253" s="105">
        <v>49.32</v>
      </c>
      <c r="AT253" s="105">
        <v>52.46</v>
      </c>
      <c r="AU253" s="105">
        <v>173.7</v>
      </c>
      <c r="AV253" s="105">
        <v>95.86</v>
      </c>
      <c r="AW253" s="105">
        <v>49.43</v>
      </c>
      <c r="AX253" s="105">
        <v>14.85</v>
      </c>
      <c r="AY253" s="105">
        <v>24.051607199999999</v>
      </c>
      <c r="AZ253" s="105">
        <v>45.467557040000003</v>
      </c>
      <c r="BA253" s="105">
        <v>28.116549899999999</v>
      </c>
      <c r="BB253" s="105">
        <v>62.66</v>
      </c>
      <c r="BC253" s="105">
        <v>132.03</v>
      </c>
      <c r="BD253" s="105">
        <v>86.14</v>
      </c>
    </row>
    <row r="254" spans="3:56" x14ac:dyDescent="0.25">
      <c r="C254" s="38">
        <v>42593</v>
      </c>
      <c r="D254" s="105">
        <v>80.12</v>
      </c>
      <c r="E254" s="105">
        <v>97.77</v>
      </c>
      <c r="F254" s="105">
        <v>56.73</v>
      </c>
      <c r="G254" s="105">
        <v>41.28</v>
      </c>
      <c r="H254" s="105">
        <v>83.24</v>
      </c>
      <c r="I254" s="105">
        <v>124.9</v>
      </c>
      <c r="J254" s="105">
        <v>26.982500000000002</v>
      </c>
      <c r="K254" s="105">
        <v>771.24</v>
      </c>
      <c r="L254" s="105">
        <v>95.89</v>
      </c>
      <c r="M254" s="105">
        <v>58.3</v>
      </c>
      <c r="N254" s="105">
        <v>808.2</v>
      </c>
      <c r="O254" s="105">
        <v>112.04</v>
      </c>
      <c r="P254" s="105">
        <v>165.14</v>
      </c>
      <c r="Q254" s="105">
        <v>94.63</v>
      </c>
      <c r="R254" s="105">
        <v>42.71</v>
      </c>
      <c r="S254" s="105">
        <v>36.4</v>
      </c>
      <c r="T254" s="105">
        <v>72.099999999999994</v>
      </c>
      <c r="U254" s="105">
        <v>52.08</v>
      </c>
      <c r="V254" s="105">
        <v>46.356110639999997</v>
      </c>
      <c r="W254" s="105">
        <v>34.619999999999997</v>
      </c>
      <c r="X254" s="105">
        <v>37.24</v>
      </c>
      <c r="Y254" s="105">
        <v>27.526339760999999</v>
      </c>
      <c r="Z254" s="105">
        <v>10.7</v>
      </c>
      <c r="AA254" s="105">
        <v>25.33</v>
      </c>
      <c r="AB254" s="105">
        <v>2.66</v>
      </c>
      <c r="AC254" s="105">
        <v>61.72</v>
      </c>
      <c r="AD254" s="105">
        <v>36.4</v>
      </c>
      <c r="AE254" s="105">
        <v>15.057499999999999</v>
      </c>
      <c r="AF254" s="105">
        <v>28.11</v>
      </c>
      <c r="AG254" s="105">
        <v>27.48</v>
      </c>
      <c r="AH254" s="105">
        <v>54.6</v>
      </c>
      <c r="AI254" s="105">
        <v>19.637499999999999</v>
      </c>
      <c r="AJ254" s="105">
        <v>16.45</v>
      </c>
      <c r="AK254" s="105">
        <v>17.07</v>
      </c>
      <c r="AL254" s="105">
        <v>75.5</v>
      </c>
      <c r="AM254" s="105">
        <v>163.53</v>
      </c>
      <c r="AN254" s="105">
        <v>115.53</v>
      </c>
      <c r="AO254" s="105">
        <v>53.86</v>
      </c>
      <c r="AP254" s="105">
        <v>41.215000000000003</v>
      </c>
      <c r="AQ254" s="105">
        <v>63.45</v>
      </c>
      <c r="AR254" s="105">
        <v>44.324688100000003</v>
      </c>
      <c r="AS254" s="105">
        <v>48.71</v>
      </c>
      <c r="AT254" s="105">
        <v>51.76</v>
      </c>
      <c r="AU254" s="105">
        <v>176.71</v>
      </c>
      <c r="AV254" s="105">
        <v>97.37</v>
      </c>
      <c r="AW254" s="105">
        <v>50.38</v>
      </c>
      <c r="AX254" s="105">
        <v>14.46</v>
      </c>
      <c r="AY254" s="105">
        <v>24.70843824</v>
      </c>
      <c r="AZ254" s="105">
        <v>46.773311999999997</v>
      </c>
      <c r="BA254" s="105">
        <v>28.875404880000001</v>
      </c>
      <c r="BB254" s="105">
        <v>62.67</v>
      </c>
      <c r="BC254" s="105">
        <v>126.67</v>
      </c>
      <c r="BD254" s="105">
        <v>85.24</v>
      </c>
    </row>
    <row r="255" spans="3:56" x14ac:dyDescent="0.25">
      <c r="C255" s="38">
        <v>42586</v>
      </c>
      <c r="D255" s="105">
        <v>79.48</v>
      </c>
      <c r="E255" s="105">
        <v>95.16</v>
      </c>
      <c r="F255" s="105">
        <v>54.79</v>
      </c>
      <c r="G255" s="105">
        <v>40.9</v>
      </c>
      <c r="H255" s="105">
        <v>81.77</v>
      </c>
      <c r="I255" s="105">
        <v>124.36</v>
      </c>
      <c r="J255" s="105">
        <v>26.467500000000001</v>
      </c>
      <c r="K255" s="105">
        <v>760.77</v>
      </c>
      <c r="L255" s="105">
        <v>93.44</v>
      </c>
      <c r="M255" s="105">
        <v>57.39</v>
      </c>
      <c r="N255" s="105">
        <v>797.25</v>
      </c>
      <c r="O255" s="105">
        <v>110.72</v>
      </c>
      <c r="P255" s="105">
        <v>163.62</v>
      </c>
      <c r="Q255" s="105">
        <v>91.72</v>
      </c>
      <c r="R255" s="105">
        <v>43.31</v>
      </c>
      <c r="S255" s="105">
        <v>36.96</v>
      </c>
      <c r="T255" s="105">
        <v>72.209999999999994</v>
      </c>
      <c r="U255" s="105">
        <v>50.19</v>
      </c>
      <c r="V255" s="105">
        <v>45.029122739999998</v>
      </c>
      <c r="W255" s="105">
        <v>33.450000000000003</v>
      </c>
      <c r="X255" s="105">
        <v>36.42</v>
      </c>
      <c r="Y255" s="105">
        <v>22.533229593000002</v>
      </c>
      <c r="Z255" s="105">
        <v>8.26</v>
      </c>
      <c r="AA255" s="105">
        <v>25.95</v>
      </c>
      <c r="AB255" s="105">
        <v>2.97</v>
      </c>
      <c r="AC255" s="105">
        <v>70.25</v>
      </c>
      <c r="AD255" s="105">
        <v>33</v>
      </c>
      <c r="AE255" s="105">
        <v>14.53</v>
      </c>
      <c r="AF255" s="105">
        <v>26.44</v>
      </c>
      <c r="AG255" s="105">
        <v>26.53</v>
      </c>
      <c r="AH255" s="105">
        <v>51.83</v>
      </c>
      <c r="AI255" s="105">
        <v>19.0425</v>
      </c>
      <c r="AJ255" s="105">
        <v>15.97</v>
      </c>
      <c r="AK255" s="105">
        <v>17.03</v>
      </c>
      <c r="AL255" s="105">
        <v>76.23</v>
      </c>
      <c r="AM255" s="105">
        <v>161.55000000000001</v>
      </c>
      <c r="AN255" s="105">
        <v>114.85</v>
      </c>
      <c r="AO255" s="105">
        <v>53.93</v>
      </c>
      <c r="AP255" s="105">
        <v>40.645000000000003</v>
      </c>
      <c r="AQ255" s="105">
        <v>59.85</v>
      </c>
      <c r="AR255" s="105">
        <v>43.817339699999998</v>
      </c>
      <c r="AS255" s="105">
        <v>48.55</v>
      </c>
      <c r="AT255" s="105">
        <v>51.5</v>
      </c>
      <c r="AU255" s="105">
        <v>171.53</v>
      </c>
      <c r="AV255" s="105">
        <v>96.07</v>
      </c>
      <c r="AW255" s="105">
        <v>51.29</v>
      </c>
      <c r="AX255" s="105">
        <v>16.75</v>
      </c>
      <c r="AY255" s="105">
        <v>25.73232192</v>
      </c>
      <c r="AZ255" s="105">
        <v>45.662445839999997</v>
      </c>
      <c r="BA255" s="105">
        <v>28.116549899999999</v>
      </c>
      <c r="BB255" s="105">
        <v>63.98</v>
      </c>
      <c r="BC255" s="105">
        <v>124.89</v>
      </c>
      <c r="BD255" s="105">
        <v>83.69</v>
      </c>
    </row>
    <row r="256" spans="3:56" x14ac:dyDescent="0.25">
      <c r="C256" s="38">
        <v>42579</v>
      </c>
      <c r="D256" s="105">
        <v>79.19</v>
      </c>
      <c r="E256" s="105">
        <v>95.91</v>
      </c>
      <c r="F256" s="105">
        <v>55.45</v>
      </c>
      <c r="G256" s="105">
        <v>41.19</v>
      </c>
      <c r="H256" s="105">
        <v>82.92</v>
      </c>
      <c r="I256" s="105">
        <v>125</v>
      </c>
      <c r="J256" s="105">
        <v>26.085000000000001</v>
      </c>
      <c r="K256" s="105">
        <v>752.61</v>
      </c>
      <c r="L256" s="105">
        <v>91.65</v>
      </c>
      <c r="M256" s="105">
        <v>56.21</v>
      </c>
      <c r="N256" s="105">
        <v>765.84</v>
      </c>
      <c r="O256" s="105">
        <v>111.35</v>
      </c>
      <c r="P256" s="105">
        <v>163.59</v>
      </c>
      <c r="Q256" s="105">
        <v>85.28</v>
      </c>
      <c r="R256" s="105">
        <v>43.76</v>
      </c>
      <c r="S256" s="105">
        <v>37.24</v>
      </c>
      <c r="T256" s="105">
        <v>71.53</v>
      </c>
      <c r="U256" s="105">
        <v>50.77</v>
      </c>
      <c r="V256" s="105">
        <v>47.457019119999998</v>
      </c>
      <c r="W256" s="105">
        <v>33.28</v>
      </c>
      <c r="X256" s="105">
        <v>37.47</v>
      </c>
      <c r="Y256" s="105">
        <v>22.233471691999998</v>
      </c>
      <c r="Z256" s="105">
        <v>8.86</v>
      </c>
      <c r="AA256" s="105">
        <v>27.93</v>
      </c>
      <c r="AB256" s="105">
        <v>2.87</v>
      </c>
      <c r="AC256" s="105">
        <v>71.11</v>
      </c>
      <c r="AD256" s="105">
        <v>29.34</v>
      </c>
      <c r="AE256" s="105">
        <v>12.22</v>
      </c>
      <c r="AF256" s="105">
        <v>27.65</v>
      </c>
      <c r="AG256" s="105">
        <v>25.58</v>
      </c>
      <c r="AH256" s="105">
        <v>50.75</v>
      </c>
      <c r="AI256" s="105">
        <v>18.510000000000002</v>
      </c>
      <c r="AJ256" s="105">
        <v>17.18</v>
      </c>
      <c r="AK256" s="105">
        <v>18.71</v>
      </c>
      <c r="AL256" s="105">
        <v>76.45</v>
      </c>
      <c r="AM256" s="105">
        <v>161.37</v>
      </c>
      <c r="AN256" s="105">
        <v>114.96</v>
      </c>
      <c r="AO256" s="105">
        <v>54.86</v>
      </c>
      <c r="AP256" s="105">
        <v>40.619999999999997</v>
      </c>
      <c r="AQ256" s="105">
        <v>62.12</v>
      </c>
      <c r="AR256" s="105">
        <v>41.631838899999998</v>
      </c>
      <c r="AS256" s="105">
        <v>46.72</v>
      </c>
      <c r="AT256" s="105">
        <v>51.83</v>
      </c>
      <c r="AU256" s="105">
        <v>175.96</v>
      </c>
      <c r="AV256" s="105">
        <v>96.12</v>
      </c>
      <c r="AW256" s="105">
        <v>47.68</v>
      </c>
      <c r="AX256" s="105">
        <v>18.09</v>
      </c>
      <c r="AY256" s="105">
        <v>26.166989520000001</v>
      </c>
      <c r="AZ256" s="105">
        <v>46.734334240000003</v>
      </c>
      <c r="BA256" s="105">
        <v>27.912242790000001</v>
      </c>
      <c r="BB256" s="105">
        <v>64.48</v>
      </c>
      <c r="BC256" s="105">
        <v>134.9</v>
      </c>
      <c r="BD256" s="105">
        <v>83.35</v>
      </c>
    </row>
    <row r="257" spans="3:56" x14ac:dyDescent="0.25">
      <c r="C257" s="38">
        <v>42572</v>
      </c>
      <c r="D257" s="105">
        <v>78.790000000000006</v>
      </c>
      <c r="E257" s="105">
        <v>98.01</v>
      </c>
      <c r="F257" s="105">
        <v>56.99</v>
      </c>
      <c r="G257" s="105">
        <v>41.07</v>
      </c>
      <c r="H257" s="105">
        <v>80.010000000000005</v>
      </c>
      <c r="I257" s="105">
        <v>120.61</v>
      </c>
      <c r="J257" s="105">
        <v>24.857500000000002</v>
      </c>
      <c r="K257" s="105">
        <v>744.43</v>
      </c>
      <c r="L257" s="105">
        <v>85.99</v>
      </c>
      <c r="M257" s="105">
        <v>55.8</v>
      </c>
      <c r="N257" s="105">
        <v>754.41</v>
      </c>
      <c r="O257" s="105">
        <v>109.59</v>
      </c>
      <c r="P257" s="105">
        <v>165.39</v>
      </c>
      <c r="Q257" s="105">
        <v>82.72</v>
      </c>
      <c r="R257" s="105">
        <v>43.88</v>
      </c>
      <c r="S257" s="105">
        <v>37.130000000000003</v>
      </c>
      <c r="T257" s="105">
        <v>70.38</v>
      </c>
      <c r="U257" s="105">
        <v>46.71</v>
      </c>
      <c r="V257" s="105">
        <v>48.017302899999997</v>
      </c>
      <c r="W257" s="105">
        <v>32.28</v>
      </c>
      <c r="X257" s="105">
        <v>37.32</v>
      </c>
      <c r="Y257" s="105">
        <v>22.678826287</v>
      </c>
      <c r="Z257" s="105">
        <v>10</v>
      </c>
      <c r="AA257" s="105">
        <v>27.93</v>
      </c>
      <c r="AB257" s="105">
        <v>2.77</v>
      </c>
      <c r="AC257" s="105">
        <v>68.08</v>
      </c>
      <c r="AD257" s="105">
        <v>28.1</v>
      </c>
      <c r="AE257" s="105">
        <v>11.94</v>
      </c>
      <c r="AF257" s="105">
        <v>28.89</v>
      </c>
      <c r="AG257" s="105">
        <v>25.66</v>
      </c>
      <c r="AH257" s="105">
        <v>49.8</v>
      </c>
      <c r="AI257" s="105">
        <v>15.032500000000001</v>
      </c>
      <c r="AJ257" s="105">
        <v>17.420000000000002</v>
      </c>
      <c r="AK257" s="105">
        <v>17.399999999999999</v>
      </c>
      <c r="AL257" s="105">
        <v>76.739999999999995</v>
      </c>
      <c r="AM257" s="105">
        <v>160.44999999999999</v>
      </c>
      <c r="AN257" s="105">
        <v>122.56</v>
      </c>
      <c r="AO257" s="105">
        <v>55.37</v>
      </c>
      <c r="AP257" s="105">
        <v>39.564999999999998</v>
      </c>
      <c r="AQ257" s="105">
        <v>58.32</v>
      </c>
      <c r="AR257" s="105">
        <v>39.534148399999999</v>
      </c>
      <c r="AS257" s="105">
        <v>46.86</v>
      </c>
      <c r="AT257" s="105">
        <v>51.74</v>
      </c>
      <c r="AU257" s="105">
        <v>174.86</v>
      </c>
      <c r="AV257" s="105">
        <v>94.66</v>
      </c>
      <c r="AW257" s="105">
        <v>45.33</v>
      </c>
      <c r="AX257" s="105">
        <v>16.07</v>
      </c>
      <c r="AY257" s="105">
        <v>26.166989520000001</v>
      </c>
      <c r="AZ257" s="105">
        <v>48.049833640000003</v>
      </c>
      <c r="BA257" s="105">
        <v>27.960887339999999</v>
      </c>
      <c r="BB257" s="105">
        <v>65.63</v>
      </c>
      <c r="BC257" s="105">
        <v>139.97999999999999</v>
      </c>
      <c r="BD257" s="105">
        <v>87.32</v>
      </c>
    </row>
    <row r="258" spans="3:56" x14ac:dyDescent="0.25">
      <c r="C258" s="38">
        <v>42565</v>
      </c>
      <c r="D258" s="105">
        <v>78.14</v>
      </c>
      <c r="E258" s="105">
        <v>99.97</v>
      </c>
      <c r="F258" s="105">
        <v>58.49</v>
      </c>
      <c r="G258" s="105">
        <v>41.67</v>
      </c>
      <c r="H258" s="105">
        <v>80.06</v>
      </c>
      <c r="I258" s="105">
        <v>117.29</v>
      </c>
      <c r="J258" s="105">
        <v>24.697500000000002</v>
      </c>
      <c r="K258" s="105">
        <v>741.2</v>
      </c>
      <c r="L258" s="105">
        <v>98.02</v>
      </c>
      <c r="M258" s="105">
        <v>53.74</v>
      </c>
      <c r="N258" s="105">
        <v>735.8</v>
      </c>
      <c r="O258" s="105">
        <v>108.09</v>
      </c>
      <c r="P258" s="105">
        <v>162.91</v>
      </c>
      <c r="Q258" s="105">
        <v>83.25</v>
      </c>
      <c r="R258" s="105">
        <v>43.61</v>
      </c>
      <c r="S258" s="105">
        <v>37.090000000000003</v>
      </c>
      <c r="T258" s="105">
        <v>70.45</v>
      </c>
      <c r="U258" s="105">
        <v>46.01</v>
      </c>
      <c r="V258" s="105">
        <v>47.938666580000003</v>
      </c>
      <c r="W258" s="105">
        <v>31.76</v>
      </c>
      <c r="X258" s="105">
        <v>43.17</v>
      </c>
      <c r="Y258" s="105">
        <v>22.122133044000002</v>
      </c>
      <c r="Z258" s="105">
        <v>10.4</v>
      </c>
      <c r="AA258" s="105">
        <v>28.12</v>
      </c>
      <c r="AB258" s="105">
        <v>2.84</v>
      </c>
      <c r="AC258" s="105">
        <v>69.19</v>
      </c>
      <c r="AD258" s="105">
        <v>26.35</v>
      </c>
      <c r="AE258" s="105">
        <v>12.125</v>
      </c>
      <c r="AF258" s="105">
        <v>28.18</v>
      </c>
      <c r="AG258" s="105">
        <v>24.54</v>
      </c>
      <c r="AH258" s="105">
        <v>49.97</v>
      </c>
      <c r="AI258" s="105">
        <v>14.602499999999999</v>
      </c>
      <c r="AJ258" s="105">
        <v>17.36</v>
      </c>
      <c r="AK258" s="105">
        <v>18.57</v>
      </c>
      <c r="AL258" s="105">
        <v>77.11</v>
      </c>
      <c r="AM258" s="105">
        <v>160.28</v>
      </c>
      <c r="AN258" s="105">
        <v>122.3</v>
      </c>
      <c r="AO258" s="105">
        <v>55.84</v>
      </c>
      <c r="AP258" s="105">
        <v>39.024999999999999</v>
      </c>
      <c r="AQ258" s="105">
        <v>58.44</v>
      </c>
      <c r="AR258" s="105">
        <v>40.607385399999998</v>
      </c>
      <c r="AS258" s="105">
        <v>45.38</v>
      </c>
      <c r="AT258" s="105">
        <v>51.97</v>
      </c>
      <c r="AU258" s="105">
        <v>176.53</v>
      </c>
      <c r="AV258" s="105">
        <v>95</v>
      </c>
      <c r="AW258" s="105">
        <v>46.25</v>
      </c>
      <c r="AX258" s="105">
        <v>16.55</v>
      </c>
      <c r="AY258" s="105">
        <v>26.93973192</v>
      </c>
      <c r="AZ258" s="105">
        <v>47.97187812</v>
      </c>
      <c r="BA258" s="105">
        <v>27.63983331</v>
      </c>
      <c r="BB258" s="105">
        <v>65.92</v>
      </c>
      <c r="BC258" s="105">
        <v>149.57</v>
      </c>
      <c r="BD258" s="105">
        <v>88.31</v>
      </c>
    </row>
    <row r="259" spans="3:56" x14ac:dyDescent="0.25">
      <c r="C259" s="38">
        <v>42558</v>
      </c>
      <c r="D259" s="105">
        <v>74.510000000000005</v>
      </c>
      <c r="E259" s="105">
        <v>98.41</v>
      </c>
      <c r="F259" s="105">
        <v>55.92</v>
      </c>
      <c r="G259" s="105">
        <v>40.53</v>
      </c>
      <c r="H259" s="105">
        <v>75.05</v>
      </c>
      <c r="I259" s="105">
        <v>115.85</v>
      </c>
      <c r="J259" s="105">
        <v>23.984999999999999</v>
      </c>
      <c r="K259" s="105">
        <v>736.57</v>
      </c>
      <c r="L259" s="105">
        <v>95.1</v>
      </c>
      <c r="M259" s="105">
        <v>51.38</v>
      </c>
      <c r="N259" s="105">
        <v>707.26</v>
      </c>
      <c r="O259" s="105">
        <v>110.04</v>
      </c>
      <c r="P259" s="105">
        <v>166.01</v>
      </c>
      <c r="Q259" s="105">
        <v>81.89</v>
      </c>
      <c r="R259" s="105">
        <v>44.32</v>
      </c>
      <c r="S259" s="105">
        <v>36.97</v>
      </c>
      <c r="T259" s="105">
        <v>68.36</v>
      </c>
      <c r="U259" s="105">
        <v>43.56</v>
      </c>
      <c r="V259" s="105">
        <v>46.68048546</v>
      </c>
      <c r="W259" s="105">
        <v>30.6</v>
      </c>
      <c r="X259" s="105">
        <v>39.85</v>
      </c>
      <c r="Y259" s="105">
        <v>21.556878791999999</v>
      </c>
      <c r="Z259" s="105">
        <v>9.4700000000000006</v>
      </c>
      <c r="AA259" s="105">
        <v>26.53</v>
      </c>
      <c r="AB259" s="105">
        <v>2.76</v>
      </c>
      <c r="AC259" s="105">
        <v>67.84</v>
      </c>
      <c r="AD259" s="105">
        <v>24.43</v>
      </c>
      <c r="AE259" s="105">
        <v>11.38</v>
      </c>
      <c r="AF259" s="105">
        <v>24.99</v>
      </c>
      <c r="AG259" s="105">
        <v>24.06</v>
      </c>
      <c r="AH259" s="105">
        <v>46.87</v>
      </c>
      <c r="AI259" s="105">
        <v>13.7125</v>
      </c>
      <c r="AJ259" s="105">
        <v>17.61</v>
      </c>
      <c r="AK259" s="105">
        <v>16.649999999999999</v>
      </c>
      <c r="AL259" s="105">
        <v>77.040000000000006</v>
      </c>
      <c r="AM259" s="105">
        <v>152.6</v>
      </c>
      <c r="AN259" s="105">
        <v>121.03</v>
      </c>
      <c r="AO259" s="105">
        <v>55.38</v>
      </c>
      <c r="AP259" s="105">
        <v>38.634999999999998</v>
      </c>
      <c r="AQ259" s="105">
        <v>54.87</v>
      </c>
      <c r="AR259" s="105">
        <v>39.9634432</v>
      </c>
      <c r="AS259" s="105">
        <v>43.7</v>
      </c>
      <c r="AT259" s="105">
        <v>51.19</v>
      </c>
      <c r="AU259" s="105">
        <v>173.17</v>
      </c>
      <c r="AV259" s="105">
        <v>94.63</v>
      </c>
      <c r="AW259" s="105">
        <v>44.85</v>
      </c>
      <c r="AX259" s="105">
        <v>16</v>
      </c>
      <c r="AY259" s="105">
        <v>26.205626639999998</v>
      </c>
      <c r="AZ259" s="105">
        <v>45.496790359999999</v>
      </c>
      <c r="BA259" s="105">
        <v>26.258328089999999</v>
      </c>
      <c r="BB259" s="105">
        <v>65.38</v>
      </c>
      <c r="BC259" s="105">
        <v>145.68</v>
      </c>
      <c r="BD259" s="105">
        <v>84.42</v>
      </c>
    </row>
    <row r="260" spans="3:56" x14ac:dyDescent="0.25">
      <c r="C260" s="38">
        <v>42551</v>
      </c>
      <c r="D260" s="105">
        <v>74.17</v>
      </c>
      <c r="E260" s="105">
        <v>97.82</v>
      </c>
      <c r="F260" s="105">
        <v>55.2</v>
      </c>
      <c r="G260" s="105">
        <v>40.93</v>
      </c>
      <c r="H260" s="105">
        <v>75.81</v>
      </c>
      <c r="I260" s="105">
        <v>114.28</v>
      </c>
      <c r="J260" s="105">
        <v>23.9</v>
      </c>
      <c r="K260" s="105">
        <v>715.62</v>
      </c>
      <c r="L260" s="105">
        <v>91.48</v>
      </c>
      <c r="M260" s="105">
        <v>51.17</v>
      </c>
      <c r="N260" s="105">
        <v>703.53</v>
      </c>
      <c r="O260" s="105">
        <v>113.49</v>
      </c>
      <c r="P260" s="105">
        <v>165.4</v>
      </c>
      <c r="Q260" s="105">
        <v>80.55</v>
      </c>
      <c r="R260" s="105">
        <v>44.78</v>
      </c>
      <c r="S260" s="105">
        <v>37.75</v>
      </c>
      <c r="T260" s="105">
        <v>66.459999999999994</v>
      </c>
      <c r="U260" s="105">
        <v>43.49</v>
      </c>
      <c r="V260" s="105">
        <v>45.3141794</v>
      </c>
      <c r="W260" s="105">
        <v>30.6</v>
      </c>
      <c r="X260" s="105">
        <v>39.21</v>
      </c>
      <c r="Y260" s="105">
        <v>20.927144534</v>
      </c>
      <c r="Z260" s="105">
        <v>9.33</v>
      </c>
      <c r="AA260" s="105">
        <v>26.95</v>
      </c>
      <c r="AB260" s="105">
        <v>2.4900000000000002</v>
      </c>
      <c r="AC260" s="105">
        <v>67.8</v>
      </c>
      <c r="AD260" s="105">
        <v>26.26</v>
      </c>
      <c r="AE260" s="105">
        <v>11.23</v>
      </c>
      <c r="AF260" s="105">
        <v>26.18</v>
      </c>
      <c r="AG260" s="105">
        <v>24.89</v>
      </c>
      <c r="AH260" s="105">
        <v>45.06</v>
      </c>
      <c r="AI260" s="105">
        <v>13.83</v>
      </c>
      <c r="AJ260" s="105">
        <v>18</v>
      </c>
      <c r="AK260" s="105">
        <v>16.559999999999999</v>
      </c>
      <c r="AL260" s="105">
        <v>77.67</v>
      </c>
      <c r="AM260" s="105">
        <v>151.78</v>
      </c>
      <c r="AN260" s="105">
        <v>119.83</v>
      </c>
      <c r="AO260" s="105">
        <v>55.84</v>
      </c>
      <c r="AP260" s="105">
        <v>38.615000000000002</v>
      </c>
      <c r="AQ260" s="105">
        <v>54.18</v>
      </c>
      <c r="AR260" s="105">
        <v>38.1682104</v>
      </c>
      <c r="AS260" s="105">
        <v>43.24</v>
      </c>
      <c r="AT260" s="105">
        <v>50.74</v>
      </c>
      <c r="AU260" s="105">
        <v>169.59</v>
      </c>
      <c r="AV260" s="105">
        <v>94.24</v>
      </c>
      <c r="AW260" s="105">
        <v>43.21</v>
      </c>
      <c r="AX260" s="105">
        <v>16.47</v>
      </c>
      <c r="AY260" s="105">
        <v>26.437449359999999</v>
      </c>
      <c r="AZ260" s="105">
        <v>45.925545720000002</v>
      </c>
      <c r="BA260" s="105">
        <v>26.394532829999999</v>
      </c>
      <c r="BB260" s="105">
        <v>66.59</v>
      </c>
      <c r="BC260" s="105">
        <v>151.5</v>
      </c>
      <c r="BD260" s="105">
        <v>86.31</v>
      </c>
    </row>
    <row r="261" spans="3:56" x14ac:dyDescent="0.25">
      <c r="C261" s="38">
        <v>42544</v>
      </c>
      <c r="D261" s="105">
        <v>78.23</v>
      </c>
      <c r="E261" s="105">
        <v>99.02</v>
      </c>
      <c r="F261" s="105">
        <v>54.12</v>
      </c>
      <c r="G261" s="105">
        <v>40.83</v>
      </c>
      <c r="H261" s="105">
        <v>78.22</v>
      </c>
      <c r="I261" s="105">
        <v>115.08</v>
      </c>
      <c r="J261" s="105">
        <v>24.024999999999999</v>
      </c>
      <c r="K261" s="105">
        <v>722.08</v>
      </c>
      <c r="L261" s="105">
        <v>91.66</v>
      </c>
      <c r="M261" s="105">
        <v>51.91</v>
      </c>
      <c r="N261" s="105">
        <v>714.87</v>
      </c>
      <c r="O261" s="105">
        <v>97.12</v>
      </c>
      <c r="P261" s="105">
        <v>155.99</v>
      </c>
      <c r="Q261" s="105">
        <v>81.819999999999993</v>
      </c>
      <c r="R261" s="105">
        <v>42.7</v>
      </c>
      <c r="S261" s="105">
        <v>39.44</v>
      </c>
      <c r="T261" s="105">
        <v>68.95</v>
      </c>
      <c r="U261" s="105">
        <v>46.16</v>
      </c>
      <c r="V261" s="105">
        <v>45.78599732</v>
      </c>
      <c r="W261" s="105">
        <v>30.43</v>
      </c>
      <c r="X261" s="105">
        <v>39.590000000000003</v>
      </c>
      <c r="Y261" s="105">
        <v>21.042339824999999</v>
      </c>
      <c r="Z261" s="105">
        <v>9.73</v>
      </c>
      <c r="AA261" s="105">
        <v>29</v>
      </c>
      <c r="AB261" s="105">
        <v>2.5499999999999998</v>
      </c>
      <c r="AC261" s="105">
        <v>69.11</v>
      </c>
      <c r="AD261" s="105">
        <v>28.42</v>
      </c>
      <c r="AE261" s="105">
        <v>10.907500000000001</v>
      </c>
      <c r="AF261" s="105">
        <v>28</v>
      </c>
      <c r="AG261" s="105">
        <v>24.42</v>
      </c>
      <c r="AH261" s="105">
        <v>40.79</v>
      </c>
      <c r="AI261" s="105">
        <v>15.092499999999999</v>
      </c>
      <c r="AJ261" s="105">
        <v>17.670000000000002</v>
      </c>
      <c r="AK261" s="105">
        <v>16.29</v>
      </c>
      <c r="AL261" s="105">
        <v>73.989999999999995</v>
      </c>
      <c r="AM261" s="105">
        <v>155.35</v>
      </c>
      <c r="AN261" s="105">
        <v>118.38</v>
      </c>
      <c r="AO261" s="105">
        <v>54.67</v>
      </c>
      <c r="AP261" s="105">
        <v>38.44</v>
      </c>
      <c r="AQ261" s="105">
        <v>59.98</v>
      </c>
      <c r="AR261" s="105">
        <v>34.528961299999999</v>
      </c>
      <c r="AS261" s="105">
        <v>46.16</v>
      </c>
      <c r="AT261" s="105">
        <v>50.29</v>
      </c>
      <c r="AU261" s="105">
        <v>172.19</v>
      </c>
      <c r="AV261" s="105">
        <v>92.38</v>
      </c>
      <c r="AW261" s="105">
        <v>43.16</v>
      </c>
      <c r="AX261" s="105">
        <v>16.88</v>
      </c>
      <c r="AY261" s="105">
        <v>26.456767920000001</v>
      </c>
      <c r="AZ261" s="105">
        <v>50.914698999999999</v>
      </c>
      <c r="BA261" s="105">
        <v>26.968538519999999</v>
      </c>
      <c r="BB261" s="105">
        <v>63.05</v>
      </c>
      <c r="BC261" s="105">
        <v>143.51</v>
      </c>
      <c r="BD261" s="105">
        <v>86.58</v>
      </c>
    </row>
    <row r="262" spans="3:56" x14ac:dyDescent="0.25">
      <c r="C262" s="38">
        <v>42537</v>
      </c>
      <c r="D262" s="105">
        <v>78.349999999999994</v>
      </c>
      <c r="E262" s="105">
        <v>98.38</v>
      </c>
      <c r="F262" s="105">
        <v>53.47</v>
      </c>
      <c r="G262" s="105">
        <v>38.64</v>
      </c>
      <c r="H262" s="105">
        <v>74.989999999999995</v>
      </c>
      <c r="I262" s="105">
        <v>114.39</v>
      </c>
      <c r="J262" s="105">
        <v>24.387499999999999</v>
      </c>
      <c r="K262" s="105">
        <v>717.51</v>
      </c>
      <c r="L262" s="105">
        <v>95.44</v>
      </c>
      <c r="M262" s="105">
        <v>50.39</v>
      </c>
      <c r="N262" s="105">
        <v>724.25</v>
      </c>
      <c r="O262" s="105">
        <v>96.78</v>
      </c>
      <c r="P262" s="105">
        <v>156.76</v>
      </c>
      <c r="Q262" s="105">
        <v>79.349999999999994</v>
      </c>
      <c r="R262" s="105">
        <v>42.83</v>
      </c>
      <c r="S262" s="105">
        <v>39</v>
      </c>
      <c r="T262" s="105">
        <v>65.59</v>
      </c>
      <c r="U262" s="105">
        <v>46.48</v>
      </c>
      <c r="V262" s="105">
        <v>44.862020559999998</v>
      </c>
      <c r="W262" s="105">
        <v>29.67</v>
      </c>
      <c r="X262" s="105">
        <v>39.78</v>
      </c>
      <c r="Y262" s="105">
        <v>21.410964756999999</v>
      </c>
      <c r="Z262" s="105">
        <v>9.25</v>
      </c>
      <c r="AA262" s="105">
        <v>28.34</v>
      </c>
      <c r="AB262" s="105">
        <v>2.54</v>
      </c>
      <c r="AC262" s="105">
        <v>68.760000000000005</v>
      </c>
      <c r="AD262" s="105">
        <v>26.67</v>
      </c>
      <c r="AE262" s="105">
        <v>10.327500000000001</v>
      </c>
      <c r="AF262" s="105">
        <v>25.9</v>
      </c>
      <c r="AG262" s="105">
        <v>23.26</v>
      </c>
      <c r="AH262" s="105">
        <v>40.479999999999997</v>
      </c>
      <c r="AI262" s="105">
        <v>14.34</v>
      </c>
      <c r="AJ262" s="105">
        <v>17.84</v>
      </c>
      <c r="AK262" s="105">
        <v>16.47</v>
      </c>
      <c r="AL262" s="105">
        <v>73.92</v>
      </c>
      <c r="AM262" s="105">
        <v>151.06</v>
      </c>
      <c r="AN262" s="105">
        <v>114.62</v>
      </c>
      <c r="AO262" s="105">
        <v>53.46</v>
      </c>
      <c r="AP262" s="105">
        <v>37.945</v>
      </c>
      <c r="AQ262" s="105">
        <v>58.01</v>
      </c>
      <c r="AR262" s="105">
        <v>34.743608700000003</v>
      </c>
      <c r="AS262" s="105">
        <v>45.05</v>
      </c>
      <c r="AT262" s="105">
        <v>49.76</v>
      </c>
      <c r="AU262" s="105">
        <v>167.3</v>
      </c>
      <c r="AV262" s="105">
        <v>91.84</v>
      </c>
      <c r="AW262" s="105">
        <v>41.98</v>
      </c>
      <c r="AX262" s="105">
        <v>16.739999999999998</v>
      </c>
      <c r="AY262" s="105">
        <v>25.394247119999999</v>
      </c>
      <c r="AZ262" s="105">
        <v>50.55415472</v>
      </c>
      <c r="BA262" s="105">
        <v>26.550195389999999</v>
      </c>
      <c r="BB262" s="105">
        <v>62.75</v>
      </c>
      <c r="BC262" s="105">
        <v>146.13</v>
      </c>
      <c r="BD262" s="105">
        <v>85.25</v>
      </c>
    </row>
    <row r="263" spans="3:56" x14ac:dyDescent="0.25">
      <c r="C263" s="38">
        <v>42530</v>
      </c>
      <c r="D263" s="105">
        <v>81.260000000000005</v>
      </c>
      <c r="E263" s="105">
        <v>97.84</v>
      </c>
      <c r="F263" s="105">
        <v>54.94</v>
      </c>
      <c r="G263" s="105">
        <v>39.049999999999997</v>
      </c>
      <c r="H263" s="105">
        <v>77.16</v>
      </c>
      <c r="I263" s="105">
        <v>118.56</v>
      </c>
      <c r="J263" s="105">
        <v>24.912500000000001</v>
      </c>
      <c r="K263" s="105">
        <v>727.65</v>
      </c>
      <c r="L263" s="105">
        <v>97.09</v>
      </c>
      <c r="M263" s="105">
        <v>51.62</v>
      </c>
      <c r="N263" s="105">
        <v>742.52</v>
      </c>
      <c r="O263" s="105">
        <v>96.42</v>
      </c>
      <c r="P263" s="105">
        <v>154.1</v>
      </c>
      <c r="Q263" s="105">
        <v>79.69</v>
      </c>
      <c r="R263" s="105">
        <v>42.7</v>
      </c>
      <c r="S263" s="105">
        <v>39.25</v>
      </c>
      <c r="T263" s="105">
        <v>67.22</v>
      </c>
      <c r="U263" s="105">
        <v>47.27</v>
      </c>
      <c r="V263" s="105">
        <v>46.84758764</v>
      </c>
      <c r="W263" s="105">
        <v>30.1</v>
      </c>
      <c r="X263" s="105">
        <v>44.19</v>
      </c>
      <c r="Y263" s="105">
        <v>21.257371034999998</v>
      </c>
      <c r="Z263" s="105">
        <v>10</v>
      </c>
      <c r="AA263" s="105">
        <v>27.64</v>
      </c>
      <c r="AB263" s="105">
        <v>2.62</v>
      </c>
      <c r="AC263" s="105">
        <v>70.84</v>
      </c>
      <c r="AD263" s="105">
        <v>29.96</v>
      </c>
      <c r="AE263" s="105">
        <v>10.945</v>
      </c>
      <c r="AF263" s="105">
        <v>27.53</v>
      </c>
      <c r="AG263" s="105">
        <v>25.16</v>
      </c>
      <c r="AH263" s="105">
        <v>42.43</v>
      </c>
      <c r="AI263" s="105">
        <v>15.244999999999999</v>
      </c>
      <c r="AJ263" s="105">
        <v>17.66</v>
      </c>
      <c r="AK263" s="105">
        <v>18.43</v>
      </c>
      <c r="AL263" s="105">
        <v>73.66</v>
      </c>
      <c r="AM263" s="105">
        <v>153.41999999999999</v>
      </c>
      <c r="AN263" s="105">
        <v>115.33</v>
      </c>
      <c r="AO263" s="105">
        <v>51.95</v>
      </c>
      <c r="AP263" s="105">
        <v>38.655000000000001</v>
      </c>
      <c r="AQ263" s="105">
        <v>59.01</v>
      </c>
      <c r="AR263" s="105">
        <v>35.026553</v>
      </c>
      <c r="AS263" s="105">
        <v>45.76</v>
      </c>
      <c r="AT263" s="105">
        <v>49</v>
      </c>
      <c r="AU263" s="105">
        <v>170.23</v>
      </c>
      <c r="AV263" s="105">
        <v>91.97</v>
      </c>
      <c r="AW263" s="105">
        <v>41.41</v>
      </c>
      <c r="AX263" s="105">
        <v>16.579999999999998</v>
      </c>
      <c r="AY263" s="105">
        <v>26.18630808</v>
      </c>
      <c r="AZ263" s="105">
        <v>53.146175759999998</v>
      </c>
      <c r="BA263" s="105">
        <v>27.017183070000002</v>
      </c>
      <c r="BB263" s="105">
        <v>62.99</v>
      </c>
      <c r="BC263" s="105">
        <v>150.74</v>
      </c>
      <c r="BD263" s="105">
        <v>85.04</v>
      </c>
    </row>
    <row r="264" spans="3:56" x14ac:dyDescent="0.25">
      <c r="C264" s="38">
        <v>42523</v>
      </c>
      <c r="D264" s="105">
        <v>79.95</v>
      </c>
      <c r="E264" s="105">
        <v>98.72</v>
      </c>
      <c r="F264" s="105">
        <v>54.53</v>
      </c>
      <c r="G264" s="105">
        <v>38.659999999999997</v>
      </c>
      <c r="H264" s="105">
        <v>73.62</v>
      </c>
      <c r="I264" s="105">
        <v>118.93</v>
      </c>
      <c r="J264" s="105">
        <v>24.43</v>
      </c>
      <c r="K264" s="105">
        <v>728.24</v>
      </c>
      <c r="L264" s="105">
        <v>101.25</v>
      </c>
      <c r="M264" s="105">
        <v>52.48</v>
      </c>
      <c r="N264" s="105">
        <v>744.27</v>
      </c>
      <c r="O264" s="105">
        <v>92.76</v>
      </c>
      <c r="P264" s="105">
        <v>154.15</v>
      </c>
      <c r="Q264" s="105">
        <v>79.63</v>
      </c>
      <c r="R264" s="105">
        <v>41.4</v>
      </c>
      <c r="S264" s="105">
        <v>38.57</v>
      </c>
      <c r="T264" s="105">
        <v>68.52</v>
      </c>
      <c r="U264" s="105">
        <v>46.77</v>
      </c>
      <c r="V264" s="105">
        <v>44.999634120000003</v>
      </c>
      <c r="W264" s="105">
        <v>32.46</v>
      </c>
      <c r="X264" s="105">
        <v>42.17</v>
      </c>
      <c r="Y264" s="105">
        <v>21.948542781</v>
      </c>
      <c r="Z264" s="105">
        <v>9.3800000000000008</v>
      </c>
      <c r="AA264" s="105">
        <v>27.49</v>
      </c>
      <c r="AB264" s="105">
        <v>2.62</v>
      </c>
      <c r="AC264" s="105">
        <v>69.8</v>
      </c>
      <c r="AD264" s="105">
        <v>28.27</v>
      </c>
      <c r="AE264" s="105">
        <v>10.82</v>
      </c>
      <c r="AF264" s="105">
        <v>25.65</v>
      </c>
      <c r="AG264" s="105">
        <v>25</v>
      </c>
      <c r="AH264" s="105">
        <v>43.24</v>
      </c>
      <c r="AI264" s="105">
        <v>15.487500000000001</v>
      </c>
      <c r="AJ264" s="105">
        <v>18.14</v>
      </c>
      <c r="AK264" s="105">
        <v>17.97</v>
      </c>
      <c r="AL264" s="105">
        <v>71.760000000000005</v>
      </c>
      <c r="AM264" s="105">
        <v>153.5</v>
      </c>
      <c r="AN264" s="105">
        <v>112.66</v>
      </c>
      <c r="AO264" s="105">
        <v>50.77</v>
      </c>
      <c r="AP264" s="105">
        <v>38.5</v>
      </c>
      <c r="AQ264" s="105">
        <v>58.47</v>
      </c>
      <c r="AR264" s="105">
        <v>31.562924500000001</v>
      </c>
      <c r="AS264" s="105">
        <v>44.96</v>
      </c>
      <c r="AT264" s="105">
        <v>48.76</v>
      </c>
      <c r="AU264" s="105">
        <v>168.75</v>
      </c>
      <c r="AV264" s="105">
        <v>91.05</v>
      </c>
      <c r="AW264" s="105">
        <v>41.1</v>
      </c>
      <c r="AX264" s="105">
        <v>16.89</v>
      </c>
      <c r="AY264" s="105">
        <v>23.7618288</v>
      </c>
      <c r="AZ264" s="105">
        <v>51.246009960000002</v>
      </c>
      <c r="BA264" s="105">
        <v>26.550195389999999</v>
      </c>
      <c r="BB264" s="105">
        <v>58.85</v>
      </c>
      <c r="BC264" s="105">
        <v>140.38999999999999</v>
      </c>
      <c r="BD264" s="105">
        <v>85.67</v>
      </c>
    </row>
    <row r="265" spans="3:56" x14ac:dyDescent="0.25">
      <c r="C265" s="38">
        <v>42516</v>
      </c>
      <c r="D265" s="105">
        <v>79</v>
      </c>
      <c r="E265" s="105">
        <v>99.81</v>
      </c>
      <c r="F265" s="105">
        <v>55.84</v>
      </c>
      <c r="G265" s="105">
        <v>39.950000000000003</v>
      </c>
      <c r="H265" s="105">
        <v>72.08</v>
      </c>
      <c r="I265" s="105">
        <v>119.47</v>
      </c>
      <c r="J265" s="105">
        <v>25.102499999999999</v>
      </c>
      <c r="K265" s="105">
        <v>714.91</v>
      </c>
      <c r="L265" s="105">
        <v>102.81</v>
      </c>
      <c r="M265" s="105">
        <v>51.89</v>
      </c>
      <c r="N265" s="105">
        <v>736.93</v>
      </c>
      <c r="O265" s="105">
        <v>92.15</v>
      </c>
      <c r="P265" s="105">
        <v>157.94999999999999</v>
      </c>
      <c r="Q265" s="105">
        <v>78.739999999999995</v>
      </c>
      <c r="R265" s="105">
        <v>40.89</v>
      </c>
      <c r="S265" s="105">
        <v>38.549999999999997</v>
      </c>
      <c r="T265" s="105">
        <v>65.56</v>
      </c>
      <c r="U265" s="105">
        <v>45.42</v>
      </c>
      <c r="V265" s="105">
        <v>44.685088839999999</v>
      </c>
      <c r="W265" s="105">
        <v>31.95</v>
      </c>
      <c r="X265" s="105">
        <v>41.79</v>
      </c>
      <c r="Y265" s="105">
        <v>21.226652291000001</v>
      </c>
      <c r="Z265" s="105">
        <v>9.42</v>
      </c>
      <c r="AA265" s="105">
        <v>26.1</v>
      </c>
      <c r="AB265" s="105">
        <v>2.61</v>
      </c>
      <c r="AC265" s="105">
        <v>67.91</v>
      </c>
      <c r="AD265" s="105">
        <v>28.99</v>
      </c>
      <c r="AE265" s="105">
        <v>11.164999999999999</v>
      </c>
      <c r="AF265" s="105">
        <v>26.13</v>
      </c>
      <c r="AG265" s="105">
        <v>25.33</v>
      </c>
      <c r="AH265" s="105">
        <v>42.71</v>
      </c>
      <c r="AI265" s="105">
        <v>14.585000000000001</v>
      </c>
      <c r="AJ265" s="105">
        <v>17.55</v>
      </c>
      <c r="AK265" s="105">
        <v>17.670000000000002</v>
      </c>
      <c r="AL265" s="105">
        <v>70.84</v>
      </c>
      <c r="AM265" s="105">
        <v>152.44</v>
      </c>
      <c r="AN265" s="105">
        <v>111.58</v>
      </c>
      <c r="AO265" s="105">
        <v>50.16</v>
      </c>
      <c r="AP265" s="105">
        <v>37.96</v>
      </c>
      <c r="AQ265" s="105">
        <v>54.93</v>
      </c>
      <c r="AR265" s="105">
        <v>31.660491499999999</v>
      </c>
      <c r="AS265" s="105">
        <v>42.86</v>
      </c>
      <c r="AT265" s="105">
        <v>48.84</v>
      </c>
      <c r="AU265" s="105">
        <v>167.19</v>
      </c>
      <c r="AV265" s="105">
        <v>88.37</v>
      </c>
      <c r="AW265" s="105">
        <v>41.25</v>
      </c>
      <c r="AX265" s="105">
        <v>15.76</v>
      </c>
      <c r="AY265" s="105">
        <v>22.61237448</v>
      </c>
      <c r="AZ265" s="105">
        <v>50.19361044</v>
      </c>
      <c r="BA265" s="105">
        <v>26.141581169999998</v>
      </c>
      <c r="BB265" s="105">
        <v>58.69</v>
      </c>
      <c r="BC265" s="105">
        <v>136.49</v>
      </c>
      <c r="BD265" s="105">
        <v>86.6</v>
      </c>
    </row>
    <row r="266" spans="3:56" x14ac:dyDescent="0.25">
      <c r="C266" s="38">
        <v>42509</v>
      </c>
      <c r="D266" s="105">
        <v>76.88</v>
      </c>
      <c r="E266" s="105">
        <v>98.41</v>
      </c>
      <c r="F266" s="105">
        <v>57.04</v>
      </c>
      <c r="G266" s="105">
        <v>38.840000000000003</v>
      </c>
      <c r="H266" s="105">
        <v>69.430000000000007</v>
      </c>
      <c r="I266" s="105">
        <v>116.81</v>
      </c>
      <c r="J266" s="105">
        <v>23.55</v>
      </c>
      <c r="K266" s="105">
        <v>698.52</v>
      </c>
      <c r="L266" s="105">
        <v>89.55</v>
      </c>
      <c r="M266" s="105">
        <v>50.32</v>
      </c>
      <c r="N266" s="105">
        <v>715.31</v>
      </c>
      <c r="O266" s="105">
        <v>90.64</v>
      </c>
      <c r="P266" s="105">
        <v>156.09</v>
      </c>
      <c r="Q266" s="105">
        <v>75.97</v>
      </c>
      <c r="R266" s="105">
        <v>40.51</v>
      </c>
      <c r="S266" s="105">
        <v>37.9</v>
      </c>
      <c r="T266" s="105">
        <v>64.97</v>
      </c>
      <c r="U266" s="105">
        <v>44.32</v>
      </c>
      <c r="V266" s="105">
        <v>42.748669460000002</v>
      </c>
      <c r="W266" s="105">
        <v>31.53</v>
      </c>
      <c r="X266" s="105">
        <v>42.17</v>
      </c>
      <c r="Y266" s="105">
        <v>19.905746286999999</v>
      </c>
      <c r="Z266" s="105">
        <v>8.59</v>
      </c>
      <c r="AA266" s="105">
        <v>25</v>
      </c>
      <c r="AB266" s="105">
        <v>2.54</v>
      </c>
      <c r="AC266" s="105">
        <v>53.36</v>
      </c>
      <c r="AD266" s="105">
        <v>25.97</v>
      </c>
      <c r="AE266" s="105">
        <v>10.4725</v>
      </c>
      <c r="AF266" s="105">
        <v>25.67</v>
      </c>
      <c r="AG266" s="105">
        <v>23.45</v>
      </c>
      <c r="AH266" s="105">
        <v>41.36</v>
      </c>
      <c r="AI266" s="105">
        <v>14.335000000000001</v>
      </c>
      <c r="AJ266" s="105">
        <v>17.190000000000001</v>
      </c>
      <c r="AK266" s="105">
        <v>17.920000000000002</v>
      </c>
      <c r="AL266" s="105">
        <v>69.58</v>
      </c>
      <c r="AM266" s="105">
        <v>144.93</v>
      </c>
      <c r="AN266" s="105">
        <v>109.49</v>
      </c>
      <c r="AO266" s="105">
        <v>49.63</v>
      </c>
      <c r="AP266" s="105">
        <v>37.9</v>
      </c>
      <c r="AQ266" s="105">
        <v>50.51</v>
      </c>
      <c r="AR266" s="105">
        <v>33.309373800000003</v>
      </c>
      <c r="AS266" s="105">
        <v>41.12</v>
      </c>
      <c r="AT266" s="105">
        <v>49.07</v>
      </c>
      <c r="AU266" s="105">
        <v>163.94</v>
      </c>
      <c r="AV266" s="105">
        <v>76.91</v>
      </c>
      <c r="AW266" s="105">
        <v>40.11</v>
      </c>
      <c r="AX266" s="105">
        <v>13.41</v>
      </c>
      <c r="AY266" s="105">
        <v>21.617468639999998</v>
      </c>
      <c r="AZ266" s="105">
        <v>49.716132880000004</v>
      </c>
      <c r="BA266" s="105">
        <v>25.285437089999999</v>
      </c>
      <c r="BB266" s="105">
        <v>57.19</v>
      </c>
      <c r="BC266" s="105">
        <v>140.71</v>
      </c>
      <c r="BD266" s="105">
        <v>87.16</v>
      </c>
    </row>
    <row r="267" spans="3:56" x14ac:dyDescent="0.25">
      <c r="C267" s="38">
        <v>42502</v>
      </c>
      <c r="D267" s="105">
        <v>77.89</v>
      </c>
      <c r="E267" s="105">
        <v>101.71</v>
      </c>
      <c r="F267" s="105">
        <v>57.99</v>
      </c>
      <c r="G267" s="105">
        <v>39.82</v>
      </c>
      <c r="H267" s="105">
        <v>71.7</v>
      </c>
      <c r="I267" s="105">
        <v>120.28</v>
      </c>
      <c r="J267" s="105">
        <v>22.585000000000001</v>
      </c>
      <c r="K267" s="105">
        <v>717.93</v>
      </c>
      <c r="L267" s="105">
        <v>87.74</v>
      </c>
      <c r="M267" s="105">
        <v>51.51</v>
      </c>
      <c r="N267" s="105">
        <v>728.07</v>
      </c>
      <c r="O267" s="105">
        <v>93.16</v>
      </c>
      <c r="P267" s="105">
        <v>161.9</v>
      </c>
      <c r="Q267" s="105">
        <v>75.72</v>
      </c>
      <c r="R267" s="105">
        <v>41.85</v>
      </c>
      <c r="S267" s="105">
        <v>38.909999999999997</v>
      </c>
      <c r="T267" s="105">
        <v>67.97</v>
      </c>
      <c r="U267" s="105">
        <v>45.64</v>
      </c>
      <c r="V267" s="105">
        <v>42.955089800000003</v>
      </c>
      <c r="W267" s="105">
        <v>31.25</v>
      </c>
      <c r="X267" s="105">
        <v>41.22</v>
      </c>
      <c r="Y267" s="105">
        <v>19.921105658999998</v>
      </c>
      <c r="Z267" s="105">
        <v>9.02</v>
      </c>
      <c r="AA267" s="105">
        <v>25.7</v>
      </c>
      <c r="AB267" s="105">
        <v>2.5499999999999998</v>
      </c>
      <c r="AC267" s="105">
        <v>52.89</v>
      </c>
      <c r="AD267" s="105">
        <v>27.18</v>
      </c>
      <c r="AE267" s="105">
        <v>10.5525</v>
      </c>
      <c r="AF267" s="105">
        <v>25.44</v>
      </c>
      <c r="AG267" s="105">
        <v>24.45</v>
      </c>
      <c r="AH267" s="105">
        <v>42.06</v>
      </c>
      <c r="AI267" s="105">
        <v>14.5025</v>
      </c>
      <c r="AJ267" s="105">
        <v>17.899999999999999</v>
      </c>
      <c r="AK267" s="105">
        <v>18.170000000000002</v>
      </c>
      <c r="AL267" s="105">
        <v>71.94</v>
      </c>
      <c r="AM267" s="105">
        <v>148.84</v>
      </c>
      <c r="AN267" s="105">
        <v>111.82</v>
      </c>
      <c r="AO267" s="105">
        <v>51.47</v>
      </c>
      <c r="AP267" s="105">
        <v>37.14</v>
      </c>
      <c r="AQ267" s="105">
        <v>47.04</v>
      </c>
      <c r="AR267" s="105">
        <v>32.402000700000002</v>
      </c>
      <c r="AS267" s="105">
        <v>38.619999999999997</v>
      </c>
      <c r="AT267" s="105">
        <v>50.18</v>
      </c>
      <c r="AU267" s="105">
        <v>167.15</v>
      </c>
      <c r="AV267" s="105">
        <v>80.290000000000006</v>
      </c>
      <c r="AW267" s="105">
        <v>38.840000000000003</v>
      </c>
      <c r="AX267" s="105">
        <v>12.66</v>
      </c>
      <c r="AY267" s="105">
        <v>22.8441972</v>
      </c>
      <c r="AZ267" s="105">
        <v>51.090098920000003</v>
      </c>
      <c r="BA267" s="105">
        <v>25.94700297</v>
      </c>
      <c r="BB267" s="105">
        <v>60.32</v>
      </c>
      <c r="BC267" s="105">
        <v>140.41999999999999</v>
      </c>
      <c r="BD267" s="105">
        <v>87.29</v>
      </c>
    </row>
    <row r="268" spans="3:56" x14ac:dyDescent="0.25">
      <c r="C268" s="38">
        <v>42495</v>
      </c>
      <c r="D268" s="105">
        <v>77.36</v>
      </c>
      <c r="E268" s="105">
        <v>104.93</v>
      </c>
      <c r="F268" s="105">
        <v>58.19</v>
      </c>
      <c r="G268" s="105">
        <v>39.229999999999997</v>
      </c>
      <c r="H268" s="105">
        <v>72.790000000000006</v>
      </c>
      <c r="I268" s="105">
        <v>117.81</v>
      </c>
      <c r="J268" s="105">
        <v>23.31</v>
      </c>
      <c r="K268" s="105">
        <v>659.09</v>
      </c>
      <c r="L268" s="105">
        <v>89.37</v>
      </c>
      <c r="M268" s="105">
        <v>49.94</v>
      </c>
      <c r="N268" s="105">
        <v>714.71</v>
      </c>
      <c r="O268" s="105">
        <v>91.9</v>
      </c>
      <c r="P268" s="105">
        <v>159.19</v>
      </c>
      <c r="Q268" s="105">
        <v>75.56</v>
      </c>
      <c r="R268" s="105">
        <v>40.840000000000003</v>
      </c>
      <c r="S268" s="105">
        <v>38.32</v>
      </c>
      <c r="T268" s="105">
        <v>69.27</v>
      </c>
      <c r="U268" s="105">
        <v>44.45</v>
      </c>
      <c r="V268" s="105">
        <v>43.259805540000002</v>
      </c>
      <c r="W268" s="105">
        <v>31.61</v>
      </c>
      <c r="X268" s="105">
        <v>41.53</v>
      </c>
      <c r="Y268" s="105">
        <v>19.414246379000001</v>
      </c>
      <c r="Z268" s="105">
        <v>8.49</v>
      </c>
      <c r="AA268" s="105">
        <v>26.07</v>
      </c>
      <c r="AB268" s="105">
        <v>2.5499999999999998</v>
      </c>
      <c r="AC268" s="105">
        <v>56.25</v>
      </c>
      <c r="AD268" s="105">
        <v>26.13</v>
      </c>
      <c r="AE268" s="105">
        <v>11.6675</v>
      </c>
      <c r="AF268" s="105">
        <v>26.08</v>
      </c>
      <c r="AG268" s="105">
        <v>24.8</v>
      </c>
      <c r="AH268" s="105">
        <v>44.87</v>
      </c>
      <c r="AI268" s="105">
        <v>15.074999999999999</v>
      </c>
      <c r="AJ268" s="105">
        <v>18.739999999999998</v>
      </c>
      <c r="AK268" s="105">
        <v>19.329999999999998</v>
      </c>
      <c r="AL268" s="105">
        <v>72.3</v>
      </c>
      <c r="AM268" s="105">
        <v>146.47</v>
      </c>
      <c r="AN268" s="105">
        <v>110.12</v>
      </c>
      <c r="AO268" s="105">
        <v>50.84</v>
      </c>
      <c r="AP268" s="105">
        <v>38.270000000000003</v>
      </c>
      <c r="AQ268" s="105">
        <v>47.74</v>
      </c>
      <c r="AR268" s="105">
        <v>32.060516200000002</v>
      </c>
      <c r="AS268" s="105">
        <v>41.4</v>
      </c>
      <c r="AT268" s="105">
        <v>48.87</v>
      </c>
      <c r="AU268" s="105">
        <v>165.21</v>
      </c>
      <c r="AV268" s="105">
        <v>80.62</v>
      </c>
      <c r="AW268" s="105">
        <v>38.69</v>
      </c>
      <c r="AX268" s="105">
        <v>15.98</v>
      </c>
      <c r="AY268" s="105">
        <v>22.593055920000001</v>
      </c>
      <c r="AZ268" s="105">
        <v>49.530988520000001</v>
      </c>
      <c r="BA268" s="105">
        <v>27.017183070000002</v>
      </c>
      <c r="BB268" s="105">
        <v>60.1</v>
      </c>
      <c r="BC268" s="105">
        <v>153.82</v>
      </c>
      <c r="BD268" s="105">
        <v>86.25</v>
      </c>
    </row>
    <row r="269" spans="3:56" x14ac:dyDescent="0.25">
      <c r="C269" s="38">
        <v>42488</v>
      </c>
      <c r="D269" s="105">
        <v>77.680000000000007</v>
      </c>
      <c r="E269" s="105">
        <v>104.03</v>
      </c>
      <c r="F269" s="105">
        <v>58.54</v>
      </c>
      <c r="G269" s="105">
        <v>40.33</v>
      </c>
      <c r="H269" s="105">
        <v>77.75</v>
      </c>
      <c r="I269" s="105">
        <v>116.73</v>
      </c>
      <c r="J269" s="105">
        <v>23.7075</v>
      </c>
      <c r="K269" s="105">
        <v>602</v>
      </c>
      <c r="L269" s="105">
        <v>90.28</v>
      </c>
      <c r="M269" s="105">
        <v>49.9</v>
      </c>
      <c r="N269" s="105">
        <v>705.06</v>
      </c>
      <c r="O269" s="105">
        <v>91.66</v>
      </c>
      <c r="P269" s="105">
        <v>155.58000000000001</v>
      </c>
      <c r="Q269" s="105">
        <v>73.7</v>
      </c>
      <c r="R269" s="105">
        <v>39.94</v>
      </c>
      <c r="S269" s="105">
        <v>37.270000000000003</v>
      </c>
      <c r="T269" s="105">
        <v>69.239999999999995</v>
      </c>
      <c r="U269" s="105">
        <v>45.86</v>
      </c>
      <c r="V269" s="105">
        <v>45.0192932</v>
      </c>
      <c r="W269" s="105">
        <v>32.65</v>
      </c>
      <c r="X269" s="105">
        <v>44.06</v>
      </c>
      <c r="Y269" s="105">
        <v>18.684676201999999</v>
      </c>
      <c r="Z269" s="105">
        <v>8.2100000000000009</v>
      </c>
      <c r="AA269" s="105">
        <v>26.33</v>
      </c>
      <c r="AB269" s="105">
        <v>2.4</v>
      </c>
      <c r="AC269" s="105">
        <v>58.18</v>
      </c>
      <c r="AD269" s="105">
        <v>31.11</v>
      </c>
      <c r="AE269" s="105">
        <v>12.1</v>
      </c>
      <c r="AF269" s="105">
        <v>28.57</v>
      </c>
      <c r="AG269" s="105">
        <v>26.72</v>
      </c>
      <c r="AH269" s="105">
        <v>46.66</v>
      </c>
      <c r="AI269" s="105">
        <v>14.62</v>
      </c>
      <c r="AJ269" s="105">
        <v>20.93</v>
      </c>
      <c r="AK269" s="105">
        <v>20.12</v>
      </c>
      <c r="AL269" s="105">
        <v>70.11</v>
      </c>
      <c r="AM269" s="105">
        <v>147.07</v>
      </c>
      <c r="AN269" s="105">
        <v>109.56</v>
      </c>
      <c r="AO269" s="105">
        <v>51.02</v>
      </c>
      <c r="AP269" s="105">
        <v>38.445</v>
      </c>
      <c r="AQ269" s="105">
        <v>52.41</v>
      </c>
      <c r="AR269" s="105">
        <v>32.187353299999998</v>
      </c>
      <c r="AS269" s="105">
        <v>42.6</v>
      </c>
      <c r="AT269" s="105">
        <v>46.26</v>
      </c>
      <c r="AU269" s="105">
        <v>161.93</v>
      </c>
      <c r="AV269" s="105">
        <v>80.069999999999993</v>
      </c>
      <c r="AW269" s="105">
        <v>38.26</v>
      </c>
      <c r="AX269" s="105">
        <v>17.739999999999998</v>
      </c>
      <c r="AY269" s="105">
        <v>22.91181216</v>
      </c>
      <c r="AZ269" s="105">
        <v>51.996331840000003</v>
      </c>
      <c r="BA269" s="105">
        <v>26.987996339999999</v>
      </c>
      <c r="BB269" s="105">
        <v>58.33</v>
      </c>
      <c r="BC269" s="105">
        <v>165.9</v>
      </c>
      <c r="BD269" s="105">
        <v>84.59</v>
      </c>
    </row>
    <row r="270" spans="3:56" x14ac:dyDescent="0.25">
      <c r="C270" s="38">
        <v>42481</v>
      </c>
      <c r="D270" s="105">
        <v>80.790000000000006</v>
      </c>
      <c r="E270" s="105">
        <v>102.91</v>
      </c>
      <c r="F270" s="105">
        <v>60.08</v>
      </c>
      <c r="G270" s="105">
        <v>40.99</v>
      </c>
      <c r="H270" s="105">
        <v>78.66</v>
      </c>
      <c r="I270" s="105">
        <v>113.44</v>
      </c>
      <c r="J270" s="105">
        <v>26.4925</v>
      </c>
      <c r="K270" s="105">
        <v>631</v>
      </c>
      <c r="L270" s="105">
        <v>94.98</v>
      </c>
      <c r="M270" s="105">
        <v>55.78</v>
      </c>
      <c r="N270" s="105">
        <v>780</v>
      </c>
      <c r="O270" s="105">
        <v>89.78</v>
      </c>
      <c r="P270" s="105">
        <v>155.16</v>
      </c>
      <c r="Q270" s="105">
        <v>73.3</v>
      </c>
      <c r="R270" s="105">
        <v>38.61</v>
      </c>
      <c r="S270" s="105">
        <v>36.270000000000003</v>
      </c>
      <c r="T270" s="105">
        <v>68.23</v>
      </c>
      <c r="U270" s="105">
        <v>47.39</v>
      </c>
      <c r="V270" s="105">
        <v>47.329235099999998</v>
      </c>
      <c r="W270" s="105">
        <v>32.86</v>
      </c>
      <c r="X270" s="105">
        <v>47.73</v>
      </c>
      <c r="Y270" s="105">
        <v>18.630918399999999</v>
      </c>
      <c r="Z270" s="105">
        <v>7.71</v>
      </c>
      <c r="AA270" s="105">
        <v>26.32</v>
      </c>
      <c r="AB270" s="105">
        <v>2.5299999999999998</v>
      </c>
      <c r="AC270" s="105">
        <v>61.08</v>
      </c>
      <c r="AD270" s="105">
        <v>32.83</v>
      </c>
      <c r="AE270" s="105">
        <v>12.225</v>
      </c>
      <c r="AF270" s="105">
        <v>28.71</v>
      </c>
      <c r="AG270" s="105">
        <v>27.13</v>
      </c>
      <c r="AH270" s="105">
        <v>46.08</v>
      </c>
      <c r="AI270" s="105">
        <v>15.1775</v>
      </c>
      <c r="AJ270" s="105">
        <v>21.56</v>
      </c>
      <c r="AK270" s="105">
        <v>20.53</v>
      </c>
      <c r="AL270" s="105">
        <v>68</v>
      </c>
      <c r="AM270" s="105">
        <v>149.30000000000001</v>
      </c>
      <c r="AN270" s="105">
        <v>109.31</v>
      </c>
      <c r="AO270" s="105">
        <v>50.03</v>
      </c>
      <c r="AP270" s="105">
        <v>38.505000000000003</v>
      </c>
      <c r="AQ270" s="105">
        <v>51.57</v>
      </c>
      <c r="AR270" s="105">
        <v>31.4068173</v>
      </c>
      <c r="AS270" s="105">
        <v>48.8</v>
      </c>
      <c r="AT270" s="105">
        <v>45.58</v>
      </c>
      <c r="AU270" s="105">
        <v>158.72999999999999</v>
      </c>
      <c r="AV270" s="105">
        <v>81.900000000000006</v>
      </c>
      <c r="AW270" s="105">
        <v>37.47</v>
      </c>
      <c r="AX270" s="105">
        <v>16.850000000000001</v>
      </c>
      <c r="AY270" s="105">
        <v>22.786241520000001</v>
      </c>
      <c r="AZ270" s="105">
        <v>51.187543320000003</v>
      </c>
      <c r="BA270" s="105">
        <v>26.880978330000001</v>
      </c>
      <c r="BB270" s="105">
        <v>56.95</v>
      </c>
      <c r="BC270" s="105">
        <v>174.29</v>
      </c>
      <c r="BD270" s="105">
        <v>78.98</v>
      </c>
    </row>
    <row r="271" spans="3:56" x14ac:dyDescent="0.25">
      <c r="C271" s="38">
        <v>42474</v>
      </c>
      <c r="D271" s="105">
        <v>80.33</v>
      </c>
      <c r="E271" s="105">
        <v>98.63</v>
      </c>
      <c r="F271" s="105">
        <v>59.49</v>
      </c>
      <c r="G271" s="105">
        <v>41.24</v>
      </c>
      <c r="H271" s="105">
        <v>79.05</v>
      </c>
      <c r="I271" s="105">
        <v>110.84</v>
      </c>
      <c r="J271" s="105">
        <v>28.024999999999999</v>
      </c>
      <c r="K271" s="105">
        <v>620.75</v>
      </c>
      <c r="L271" s="105">
        <v>110.42</v>
      </c>
      <c r="M271" s="105">
        <v>55.36</v>
      </c>
      <c r="N271" s="105">
        <v>775.39</v>
      </c>
      <c r="O271" s="105">
        <v>92.19</v>
      </c>
      <c r="P271" s="105">
        <v>156.84</v>
      </c>
      <c r="Q271" s="105">
        <v>73.13</v>
      </c>
      <c r="R271" s="105">
        <v>40.58</v>
      </c>
      <c r="S271" s="105">
        <v>37.049999999999997</v>
      </c>
      <c r="T271" s="105">
        <v>67.84</v>
      </c>
      <c r="U271" s="105">
        <v>50.7</v>
      </c>
      <c r="V271" s="105">
        <v>47.48650774</v>
      </c>
      <c r="W271" s="105">
        <v>32.33</v>
      </c>
      <c r="X271" s="105">
        <v>46.71</v>
      </c>
      <c r="Y271" s="105">
        <v>18.646277772000001</v>
      </c>
      <c r="Z271" s="105">
        <v>7.26</v>
      </c>
      <c r="AA271" s="105">
        <v>24.7</v>
      </c>
      <c r="AB271" s="105">
        <v>2.4300000000000002</v>
      </c>
      <c r="AC271" s="105">
        <v>57.88</v>
      </c>
      <c r="AD271" s="105">
        <v>32.299999999999997</v>
      </c>
      <c r="AE271" s="105">
        <v>12.615</v>
      </c>
      <c r="AF271" s="105">
        <v>25.47</v>
      </c>
      <c r="AG271" s="105">
        <v>26.11</v>
      </c>
      <c r="AH271" s="105">
        <v>45.08</v>
      </c>
      <c r="AI271" s="105">
        <v>14.965</v>
      </c>
      <c r="AJ271" s="105">
        <v>21.01</v>
      </c>
      <c r="AK271" s="105">
        <v>20.6</v>
      </c>
      <c r="AL271" s="105">
        <v>70.040000000000006</v>
      </c>
      <c r="AM271" s="105">
        <v>151.16</v>
      </c>
      <c r="AN271" s="105">
        <v>110.1</v>
      </c>
      <c r="AO271" s="105">
        <v>51.36</v>
      </c>
      <c r="AP271" s="105">
        <v>38.164999999999999</v>
      </c>
      <c r="AQ271" s="105">
        <v>49.42</v>
      </c>
      <c r="AR271" s="105">
        <v>27.9822156</v>
      </c>
      <c r="AS271" s="105">
        <v>47.59</v>
      </c>
      <c r="AT271" s="105">
        <v>46.61</v>
      </c>
      <c r="AU271" s="105">
        <v>158.19</v>
      </c>
      <c r="AV271" s="105">
        <v>80.25</v>
      </c>
      <c r="AW271" s="105">
        <v>35.049999999999997</v>
      </c>
      <c r="AX271" s="105">
        <v>18.329999999999998</v>
      </c>
      <c r="AY271" s="105">
        <v>22.689648720000001</v>
      </c>
      <c r="AZ271" s="105">
        <v>48.897599919999998</v>
      </c>
      <c r="BA271" s="105">
        <v>26.676671219999999</v>
      </c>
      <c r="BB271" s="105">
        <v>59.56</v>
      </c>
      <c r="BC271" s="105">
        <v>181.07</v>
      </c>
      <c r="BD271" s="105">
        <v>80.88</v>
      </c>
    </row>
    <row r="272" spans="3:56" x14ac:dyDescent="0.25">
      <c r="C272" s="38">
        <v>42467</v>
      </c>
      <c r="D272" s="105">
        <v>77.58</v>
      </c>
      <c r="E272" s="105">
        <v>96.16</v>
      </c>
      <c r="F272" s="105">
        <v>60.3</v>
      </c>
      <c r="G272" s="105">
        <v>39.97</v>
      </c>
      <c r="H272" s="105">
        <v>74.17</v>
      </c>
      <c r="I272" s="105">
        <v>113.64</v>
      </c>
      <c r="J272" s="105">
        <v>27.135000000000002</v>
      </c>
      <c r="K272" s="105">
        <v>591.42999999999995</v>
      </c>
      <c r="L272" s="105">
        <v>104.45</v>
      </c>
      <c r="M272" s="105">
        <v>54.46</v>
      </c>
      <c r="N272" s="105">
        <v>760.12</v>
      </c>
      <c r="O272" s="105">
        <v>91.04</v>
      </c>
      <c r="P272" s="105">
        <v>157.37</v>
      </c>
      <c r="Q272" s="105">
        <v>72.489999999999995</v>
      </c>
      <c r="R272" s="105">
        <v>40.79</v>
      </c>
      <c r="S272" s="105">
        <v>37.36</v>
      </c>
      <c r="T272" s="105">
        <v>65.53</v>
      </c>
      <c r="U272" s="105">
        <v>50.22</v>
      </c>
      <c r="V272" s="105">
        <v>46.827928559999997</v>
      </c>
      <c r="W272" s="105">
        <v>30.22</v>
      </c>
      <c r="X272" s="105">
        <v>43.65</v>
      </c>
      <c r="Y272" s="105">
        <v>18.377488759999999</v>
      </c>
      <c r="Z272" s="105">
        <v>7.03</v>
      </c>
      <c r="AA272" s="105">
        <v>24.63</v>
      </c>
      <c r="AB272" s="105">
        <v>2.36</v>
      </c>
      <c r="AC272" s="105">
        <v>53.82</v>
      </c>
      <c r="AD272" s="105">
        <v>28.57</v>
      </c>
      <c r="AE272" s="105">
        <v>12.0625</v>
      </c>
      <c r="AF272" s="105">
        <v>24.75</v>
      </c>
      <c r="AG272" s="105">
        <v>25.04</v>
      </c>
      <c r="AH272" s="105">
        <v>44.98</v>
      </c>
      <c r="AI272" s="105">
        <v>14.515000000000001</v>
      </c>
      <c r="AJ272" s="105">
        <v>21.51</v>
      </c>
      <c r="AK272" s="105">
        <v>19.440000000000001</v>
      </c>
      <c r="AL272" s="105">
        <v>70.2</v>
      </c>
      <c r="AM272" s="105">
        <v>148.25</v>
      </c>
      <c r="AN272" s="105">
        <v>107.95</v>
      </c>
      <c r="AO272" s="105">
        <v>52</v>
      </c>
      <c r="AP272" s="105">
        <v>38.094999999999999</v>
      </c>
      <c r="AQ272" s="105">
        <v>48.39</v>
      </c>
      <c r="AR272" s="105">
        <v>27.279733199999999</v>
      </c>
      <c r="AS272" s="105">
        <v>48.07</v>
      </c>
      <c r="AT272" s="105">
        <v>46.76</v>
      </c>
      <c r="AU272" s="105">
        <v>155.03</v>
      </c>
      <c r="AV272" s="105">
        <v>80.64</v>
      </c>
      <c r="AW272" s="105">
        <v>34.15</v>
      </c>
      <c r="AX272" s="105">
        <v>17.88</v>
      </c>
      <c r="AY272" s="105">
        <v>21.9265656</v>
      </c>
      <c r="AZ272" s="105">
        <v>46.987689680000003</v>
      </c>
      <c r="BA272" s="105">
        <v>26.49182193</v>
      </c>
      <c r="BB272" s="105">
        <v>59.72</v>
      </c>
      <c r="BC272" s="105">
        <v>172.22</v>
      </c>
      <c r="BD272" s="105">
        <v>77.09</v>
      </c>
    </row>
    <row r="273" spans="3:56" x14ac:dyDescent="0.25">
      <c r="C273" s="38">
        <v>42460</v>
      </c>
      <c r="D273" s="105">
        <v>76.48</v>
      </c>
      <c r="E273" s="105">
        <v>99.31</v>
      </c>
      <c r="F273" s="105">
        <v>61.47</v>
      </c>
      <c r="G273" s="105">
        <v>40.909999999999997</v>
      </c>
      <c r="H273" s="105">
        <v>76.540000000000006</v>
      </c>
      <c r="I273" s="105">
        <v>114.1</v>
      </c>
      <c r="J273" s="105">
        <v>27.247499999999999</v>
      </c>
      <c r="K273" s="105">
        <v>593.64</v>
      </c>
      <c r="L273" s="105">
        <v>102.23</v>
      </c>
      <c r="M273" s="105">
        <v>55.23</v>
      </c>
      <c r="N273" s="105">
        <v>762.9</v>
      </c>
      <c r="O273" s="105">
        <v>92.09</v>
      </c>
      <c r="P273" s="105">
        <v>151.09</v>
      </c>
      <c r="Q273" s="105">
        <v>72.69</v>
      </c>
      <c r="R273" s="105">
        <v>41.82</v>
      </c>
      <c r="S273" s="105">
        <v>38.07</v>
      </c>
      <c r="T273" s="105">
        <v>71.180000000000007</v>
      </c>
      <c r="U273" s="105">
        <v>51.68</v>
      </c>
      <c r="V273" s="105">
        <v>47.535655439999999</v>
      </c>
      <c r="W273" s="105">
        <v>32.44</v>
      </c>
      <c r="X273" s="105">
        <v>44.8</v>
      </c>
      <c r="Y273" s="105">
        <v>17.417528001000001</v>
      </c>
      <c r="Z273" s="105">
        <v>7.33</v>
      </c>
      <c r="AA273" s="105">
        <v>25.38</v>
      </c>
      <c r="AB273" s="105">
        <v>2.2799999999999998</v>
      </c>
      <c r="AC273" s="105">
        <v>54.1</v>
      </c>
      <c r="AD273" s="105">
        <v>30.7</v>
      </c>
      <c r="AE273" s="105">
        <v>11.9825</v>
      </c>
      <c r="AF273" s="105">
        <v>27</v>
      </c>
      <c r="AG273" s="105">
        <v>23.43</v>
      </c>
      <c r="AH273" s="105">
        <v>46.75</v>
      </c>
      <c r="AI273" s="105">
        <v>15.1975</v>
      </c>
      <c r="AJ273" s="105">
        <v>22.11</v>
      </c>
      <c r="AK273" s="105">
        <v>21.12</v>
      </c>
      <c r="AL273" s="105">
        <v>71.89</v>
      </c>
      <c r="AM273" s="105">
        <v>151.44999999999999</v>
      </c>
      <c r="AN273" s="105">
        <v>107.29</v>
      </c>
      <c r="AO273" s="105">
        <v>54.08</v>
      </c>
      <c r="AP273" s="105">
        <v>39.174999999999997</v>
      </c>
      <c r="AQ273" s="105">
        <v>48.93</v>
      </c>
      <c r="AR273" s="105">
        <v>25.9333086</v>
      </c>
      <c r="AS273" s="105">
        <v>46.35</v>
      </c>
      <c r="AT273" s="105">
        <v>46.73</v>
      </c>
      <c r="AU273" s="105">
        <v>151.82</v>
      </c>
      <c r="AV273" s="105">
        <v>82.46</v>
      </c>
      <c r="AW273" s="105">
        <v>35.6</v>
      </c>
      <c r="AX273" s="105">
        <v>17.989999999999998</v>
      </c>
      <c r="AY273" s="105">
        <v>20.574266399999999</v>
      </c>
      <c r="AZ273" s="105">
        <v>48.429866799999999</v>
      </c>
      <c r="BA273" s="105">
        <v>27.007454160000002</v>
      </c>
      <c r="BB273" s="105">
        <v>61.1</v>
      </c>
      <c r="BC273" s="105">
        <v>178.06</v>
      </c>
      <c r="BD273" s="105">
        <v>77.150000000000006</v>
      </c>
    </row>
    <row r="274" spans="3:56" x14ac:dyDescent="0.25">
      <c r="C274" s="38">
        <v>42453</v>
      </c>
      <c r="D274" s="105">
        <v>74.14</v>
      </c>
      <c r="E274" s="105">
        <v>97.22</v>
      </c>
      <c r="F274" s="105">
        <v>61.65</v>
      </c>
      <c r="G274" s="105">
        <v>40.97</v>
      </c>
      <c r="H274" s="105">
        <v>75.290000000000006</v>
      </c>
      <c r="I274" s="105">
        <v>113.05</v>
      </c>
      <c r="J274" s="105">
        <v>26.4175</v>
      </c>
      <c r="K274" s="105">
        <v>582.95000000000005</v>
      </c>
      <c r="L274" s="105">
        <v>98.36</v>
      </c>
      <c r="M274" s="105">
        <v>54.21</v>
      </c>
      <c r="N274" s="105">
        <v>754.84</v>
      </c>
      <c r="O274" s="105">
        <v>90.07</v>
      </c>
      <c r="P274" s="105">
        <v>149.9</v>
      </c>
      <c r="Q274" s="105">
        <v>70.23</v>
      </c>
      <c r="R274" s="105">
        <v>41.23</v>
      </c>
      <c r="S274" s="105">
        <v>37.19</v>
      </c>
      <c r="T274" s="105">
        <v>68.64</v>
      </c>
      <c r="U274" s="105">
        <v>52.47</v>
      </c>
      <c r="V274" s="105">
        <v>45.559917900000002</v>
      </c>
      <c r="W274" s="105">
        <v>31.29</v>
      </c>
      <c r="X274" s="105">
        <v>44.06</v>
      </c>
      <c r="Y274" s="105">
        <v>16.895309349000001</v>
      </c>
      <c r="Z274" s="105">
        <v>7.15</v>
      </c>
      <c r="AA274" s="105">
        <v>24.43</v>
      </c>
      <c r="AB274" s="105">
        <v>2.2000000000000002</v>
      </c>
      <c r="AC274" s="105">
        <v>51.68</v>
      </c>
      <c r="AD274" s="105">
        <v>32.01</v>
      </c>
      <c r="AE274" s="105">
        <v>11.5025</v>
      </c>
      <c r="AF274" s="105">
        <v>27.26</v>
      </c>
      <c r="AG274" s="105">
        <v>22.01</v>
      </c>
      <c r="AH274" s="105">
        <v>46.71</v>
      </c>
      <c r="AI274" s="105">
        <v>14.452500000000001</v>
      </c>
      <c r="AJ274" s="105">
        <v>22.33</v>
      </c>
      <c r="AK274" s="105">
        <v>20.239999999999998</v>
      </c>
      <c r="AL274" s="105">
        <v>71.34</v>
      </c>
      <c r="AM274" s="105">
        <v>147.94999999999999</v>
      </c>
      <c r="AN274" s="105">
        <v>105.22</v>
      </c>
      <c r="AO274" s="105">
        <v>53.56</v>
      </c>
      <c r="AP274" s="105">
        <v>38.56</v>
      </c>
      <c r="AQ274" s="105">
        <v>47.77</v>
      </c>
      <c r="AR274" s="105">
        <v>24.782018000000001</v>
      </c>
      <c r="AS274" s="105">
        <v>45.88</v>
      </c>
      <c r="AT274" s="105">
        <v>46.24</v>
      </c>
      <c r="AU274" s="105">
        <v>149.13</v>
      </c>
      <c r="AV274" s="105">
        <v>78.52</v>
      </c>
      <c r="AW274" s="105">
        <v>33.700000000000003</v>
      </c>
      <c r="AX274" s="105">
        <v>17.8</v>
      </c>
      <c r="AY274" s="105">
        <v>20.216873039999999</v>
      </c>
      <c r="AZ274" s="105">
        <v>49.706388439999998</v>
      </c>
      <c r="BA274" s="105">
        <v>26.696129039999999</v>
      </c>
      <c r="BB274" s="105">
        <v>59.98</v>
      </c>
      <c r="BC274" s="105">
        <v>172.85</v>
      </c>
      <c r="BD274" s="105">
        <v>77.180000000000007</v>
      </c>
    </row>
    <row r="275" spans="3:56" x14ac:dyDescent="0.25">
      <c r="C275" s="38">
        <v>42446</v>
      </c>
      <c r="D275" s="105">
        <v>73.14</v>
      </c>
      <c r="E275" s="105">
        <v>99.6</v>
      </c>
      <c r="F275" s="105">
        <v>63.18</v>
      </c>
      <c r="G275" s="105">
        <v>40.61</v>
      </c>
      <c r="H275" s="105">
        <v>75.900000000000006</v>
      </c>
      <c r="I275" s="105">
        <v>111.02</v>
      </c>
      <c r="J275" s="105">
        <v>26.45</v>
      </c>
      <c r="K275" s="105">
        <v>559.44000000000005</v>
      </c>
      <c r="L275" s="105">
        <v>99.72</v>
      </c>
      <c r="M275" s="105">
        <v>54.66</v>
      </c>
      <c r="N275" s="105">
        <v>758.48</v>
      </c>
      <c r="O275" s="105">
        <v>92.64</v>
      </c>
      <c r="P275" s="105">
        <v>146.84</v>
      </c>
      <c r="Q275" s="105">
        <v>68.47</v>
      </c>
      <c r="R275" s="105">
        <v>41.5</v>
      </c>
      <c r="S275" s="105">
        <v>37.57</v>
      </c>
      <c r="T275" s="105">
        <v>71.8</v>
      </c>
      <c r="U275" s="105">
        <v>54.09</v>
      </c>
      <c r="V275" s="105">
        <v>46.42491742</v>
      </c>
      <c r="W275" s="105">
        <v>32.24</v>
      </c>
      <c r="X275" s="105">
        <v>43.6</v>
      </c>
      <c r="Y275" s="105">
        <v>17.640238897</v>
      </c>
      <c r="Z275" s="105">
        <v>7.5</v>
      </c>
      <c r="AA275" s="105">
        <v>24.96</v>
      </c>
      <c r="AB275" s="105">
        <v>2.23</v>
      </c>
      <c r="AC275" s="105">
        <v>53.67</v>
      </c>
      <c r="AD275" s="105">
        <v>31.02</v>
      </c>
      <c r="AE275" s="105">
        <v>11.385</v>
      </c>
      <c r="AF275" s="105">
        <v>29.87</v>
      </c>
      <c r="AG275" s="105">
        <v>21.8</v>
      </c>
      <c r="AH275" s="105">
        <v>46.69</v>
      </c>
      <c r="AI275" s="105">
        <v>15.4925</v>
      </c>
      <c r="AJ275" s="105">
        <v>23.49</v>
      </c>
      <c r="AK275" s="105">
        <v>19.87</v>
      </c>
      <c r="AL275" s="105">
        <v>71.25</v>
      </c>
      <c r="AM275" s="105">
        <v>147.04</v>
      </c>
      <c r="AN275" s="105">
        <v>103.3</v>
      </c>
      <c r="AO275" s="105">
        <v>53.63</v>
      </c>
      <c r="AP275" s="105">
        <v>38.61</v>
      </c>
      <c r="AQ275" s="105">
        <v>47.27</v>
      </c>
      <c r="AR275" s="105">
        <v>26.791898199999999</v>
      </c>
      <c r="AS275" s="105">
        <v>44.22</v>
      </c>
      <c r="AT275" s="105">
        <v>46.11</v>
      </c>
      <c r="AU275" s="105">
        <v>147.71</v>
      </c>
      <c r="AV275" s="105">
        <v>80.42</v>
      </c>
      <c r="AW275" s="105">
        <v>33.47</v>
      </c>
      <c r="AX275" s="105">
        <v>17.96</v>
      </c>
      <c r="AY275" s="105">
        <v>21.066889679999999</v>
      </c>
      <c r="AZ275" s="105">
        <v>51.255754400000001</v>
      </c>
      <c r="BA275" s="105">
        <v>26.550195389999999</v>
      </c>
      <c r="BB275" s="105">
        <v>60.12</v>
      </c>
      <c r="BC275" s="105">
        <v>169.19</v>
      </c>
      <c r="BD275" s="105">
        <v>78.5</v>
      </c>
    </row>
    <row r="276" spans="3:56" x14ac:dyDescent="0.25">
      <c r="C276" s="38">
        <v>42439</v>
      </c>
      <c r="D276" s="105">
        <v>70.22</v>
      </c>
      <c r="E276" s="105">
        <v>97.04</v>
      </c>
      <c r="F276" s="105">
        <v>58.88</v>
      </c>
      <c r="G276" s="105">
        <v>38.049999999999997</v>
      </c>
      <c r="H276" s="105">
        <v>71.36</v>
      </c>
      <c r="I276" s="105">
        <v>107.32</v>
      </c>
      <c r="J276" s="105">
        <v>25.2925</v>
      </c>
      <c r="K276" s="105">
        <v>558.92999999999995</v>
      </c>
      <c r="L276" s="105">
        <v>97.36</v>
      </c>
      <c r="M276" s="105">
        <v>52.05</v>
      </c>
      <c r="N276" s="105">
        <v>732.17</v>
      </c>
      <c r="O276" s="105">
        <v>91.95</v>
      </c>
      <c r="P276" s="105">
        <v>140.5</v>
      </c>
      <c r="Q276" s="105">
        <v>70.42</v>
      </c>
      <c r="R276" s="105">
        <v>40.74</v>
      </c>
      <c r="S276" s="105">
        <v>36.549999999999997</v>
      </c>
      <c r="T276" s="105">
        <v>67.959999999999994</v>
      </c>
      <c r="U276" s="105">
        <v>50.6</v>
      </c>
      <c r="V276" s="105">
        <v>44.095316439999998</v>
      </c>
      <c r="W276" s="105">
        <v>33.897754919999997</v>
      </c>
      <c r="X276" s="105">
        <v>42.26</v>
      </c>
      <c r="Y276" s="105">
        <v>18.239254411000001</v>
      </c>
      <c r="Z276" s="105">
        <v>7.8</v>
      </c>
      <c r="AA276" s="105">
        <v>24.84</v>
      </c>
      <c r="AB276" s="105">
        <v>2.19</v>
      </c>
      <c r="AC276" s="105">
        <v>49.97</v>
      </c>
      <c r="AD276" s="105">
        <v>26.11</v>
      </c>
      <c r="AE276" s="105">
        <v>10.612500000000001</v>
      </c>
      <c r="AF276" s="105">
        <v>29.46</v>
      </c>
      <c r="AG276" s="105">
        <v>21.26</v>
      </c>
      <c r="AH276" s="105">
        <v>45.47</v>
      </c>
      <c r="AI276" s="105">
        <v>14.262499999999999</v>
      </c>
      <c r="AJ276" s="105">
        <v>22.44</v>
      </c>
      <c r="AK276" s="105">
        <v>20</v>
      </c>
      <c r="AL276" s="105">
        <v>69.760000000000005</v>
      </c>
      <c r="AM276" s="105">
        <v>140.19</v>
      </c>
      <c r="AN276" s="105">
        <v>103.75</v>
      </c>
      <c r="AO276" s="105">
        <v>52.32</v>
      </c>
      <c r="AP276" s="105">
        <v>37.75</v>
      </c>
      <c r="AQ276" s="105">
        <v>46.1</v>
      </c>
      <c r="AR276" s="105">
        <v>26.6845745</v>
      </c>
      <c r="AS276" s="105">
        <v>47.29</v>
      </c>
      <c r="AT276" s="105">
        <v>45.1</v>
      </c>
      <c r="AU276" s="105">
        <v>148.51</v>
      </c>
      <c r="AV276" s="105">
        <v>79.819999999999993</v>
      </c>
      <c r="AW276" s="105">
        <v>31.58</v>
      </c>
      <c r="AX276" s="105">
        <v>17.47</v>
      </c>
      <c r="AY276" s="105">
        <v>19.656634799999999</v>
      </c>
      <c r="AZ276" s="105">
        <v>50.125399360000003</v>
      </c>
      <c r="BA276" s="105">
        <v>27.114472169999999</v>
      </c>
      <c r="BB276" s="105">
        <v>59.92</v>
      </c>
      <c r="BC276" s="105">
        <v>167.4</v>
      </c>
      <c r="BD276" s="105">
        <v>76.78</v>
      </c>
    </row>
    <row r="277" spans="3:56" x14ac:dyDescent="0.25">
      <c r="C277" s="38">
        <v>42432</v>
      </c>
      <c r="D277" s="105">
        <v>73.91</v>
      </c>
      <c r="E277" s="105">
        <v>98.82</v>
      </c>
      <c r="F277" s="105">
        <v>61.47</v>
      </c>
      <c r="G277" s="105">
        <v>37.89</v>
      </c>
      <c r="H277" s="105">
        <v>71.75</v>
      </c>
      <c r="I277" s="105">
        <v>109.58</v>
      </c>
      <c r="J277" s="105">
        <v>25.375</v>
      </c>
      <c r="K277" s="105">
        <v>577.49</v>
      </c>
      <c r="L277" s="105">
        <v>97.93</v>
      </c>
      <c r="M277" s="105">
        <v>52.35</v>
      </c>
      <c r="N277" s="105">
        <v>731.59</v>
      </c>
      <c r="O277" s="105">
        <v>93.36</v>
      </c>
      <c r="P277" s="105">
        <v>144.44999999999999</v>
      </c>
      <c r="Q277" s="105">
        <v>69.44</v>
      </c>
      <c r="R277" s="105">
        <v>39.6</v>
      </c>
      <c r="S277" s="105">
        <v>35.26</v>
      </c>
      <c r="T277" s="105">
        <v>68.680000000000007</v>
      </c>
      <c r="U277" s="105">
        <v>52.6</v>
      </c>
      <c r="V277" s="105">
        <v>44.862020559999998</v>
      </c>
      <c r="W277" s="105">
        <v>33.06905544</v>
      </c>
      <c r="X277" s="105">
        <v>42.03</v>
      </c>
      <c r="Y277" s="105">
        <v>19.322090146000001</v>
      </c>
      <c r="Z277" s="105">
        <v>7.08</v>
      </c>
      <c r="AA277" s="105">
        <v>25.4</v>
      </c>
      <c r="AB277" s="105">
        <v>2.27</v>
      </c>
      <c r="AC277" s="105">
        <v>49.09</v>
      </c>
      <c r="AD277" s="105">
        <v>24.45</v>
      </c>
      <c r="AE277" s="105">
        <v>11.0075</v>
      </c>
      <c r="AF277" s="105">
        <v>28.49</v>
      </c>
      <c r="AG277" s="105">
        <v>20.29</v>
      </c>
      <c r="AH277" s="105">
        <v>43.49</v>
      </c>
      <c r="AI277" s="105">
        <v>15.435</v>
      </c>
      <c r="AJ277" s="105">
        <v>22.35</v>
      </c>
      <c r="AK277" s="105">
        <v>22.25</v>
      </c>
      <c r="AL277" s="105">
        <v>67.42</v>
      </c>
      <c r="AM277" s="105">
        <v>137.80000000000001</v>
      </c>
      <c r="AN277" s="105">
        <v>102.9</v>
      </c>
      <c r="AO277" s="105">
        <v>51.89</v>
      </c>
      <c r="AP277" s="105">
        <v>37.61</v>
      </c>
      <c r="AQ277" s="105">
        <v>46.14</v>
      </c>
      <c r="AR277" s="105">
        <v>26.167469400000002</v>
      </c>
      <c r="AS277" s="105">
        <v>45.73</v>
      </c>
      <c r="AT277" s="105">
        <v>45</v>
      </c>
      <c r="AU277" s="105">
        <v>149.5</v>
      </c>
      <c r="AV277" s="105">
        <v>77.45</v>
      </c>
      <c r="AW277" s="105">
        <v>32.630000000000003</v>
      </c>
      <c r="AX277" s="105">
        <v>18.2</v>
      </c>
      <c r="AY277" s="105">
        <v>19.424812079999999</v>
      </c>
      <c r="AZ277" s="105">
        <v>49.755110639999998</v>
      </c>
      <c r="BA277" s="105">
        <v>27.77603805</v>
      </c>
      <c r="BB277" s="105">
        <v>58.48</v>
      </c>
      <c r="BC277" s="105">
        <v>172.73</v>
      </c>
      <c r="BD277" s="105">
        <v>74.150000000000006</v>
      </c>
    </row>
    <row r="278" spans="3:56" x14ac:dyDescent="0.25">
      <c r="C278" s="38">
        <v>42425</v>
      </c>
      <c r="D278" s="105">
        <v>73.27</v>
      </c>
      <c r="E278" s="105">
        <v>95.65</v>
      </c>
      <c r="F278" s="105">
        <v>62.38</v>
      </c>
      <c r="G278" s="105">
        <v>37.29</v>
      </c>
      <c r="H278" s="105">
        <v>66.47</v>
      </c>
      <c r="I278" s="105">
        <v>108.07</v>
      </c>
      <c r="J278" s="105">
        <v>24.19</v>
      </c>
      <c r="K278" s="105">
        <v>555.15</v>
      </c>
      <c r="L278" s="105">
        <v>94.53</v>
      </c>
      <c r="M278" s="105">
        <v>52.1</v>
      </c>
      <c r="N278" s="105">
        <v>729.12</v>
      </c>
      <c r="O278" s="105">
        <v>91.94</v>
      </c>
      <c r="P278" s="105">
        <v>143.63999999999999</v>
      </c>
      <c r="Q278" s="105">
        <v>64.459999999999994</v>
      </c>
      <c r="R278" s="105">
        <v>40.200000000000003</v>
      </c>
      <c r="S278" s="105">
        <v>36.35</v>
      </c>
      <c r="T278" s="105">
        <v>68.3</v>
      </c>
      <c r="U278" s="105">
        <v>47.44</v>
      </c>
      <c r="V278" s="105">
        <v>41.519976960000001</v>
      </c>
      <c r="W278" s="105">
        <v>31.806275280000001</v>
      </c>
      <c r="X278" s="105">
        <v>42.59</v>
      </c>
      <c r="Y278" s="105">
        <v>17.73239513</v>
      </c>
      <c r="Z278" s="105">
        <v>6.7</v>
      </c>
      <c r="AA278" s="105">
        <v>23.11</v>
      </c>
      <c r="AB278" s="105">
        <v>2.14</v>
      </c>
      <c r="AC278" s="105">
        <v>49.68</v>
      </c>
      <c r="AD278" s="105">
        <v>25.82</v>
      </c>
      <c r="AE278" s="105">
        <v>10.65</v>
      </c>
      <c r="AF278" s="105">
        <v>25.42</v>
      </c>
      <c r="AG278" s="105">
        <v>20.7</v>
      </c>
      <c r="AH278" s="105">
        <v>42.82</v>
      </c>
      <c r="AI278" s="105">
        <v>14.484999999999999</v>
      </c>
      <c r="AJ278" s="105">
        <v>21.82</v>
      </c>
      <c r="AK278" s="105">
        <v>23.2</v>
      </c>
      <c r="AL278" s="105">
        <v>68.790000000000006</v>
      </c>
      <c r="AM278" s="105">
        <v>134.5</v>
      </c>
      <c r="AN278" s="105">
        <v>101.8</v>
      </c>
      <c r="AO278" s="105">
        <v>51.11</v>
      </c>
      <c r="AP278" s="105">
        <v>37.54</v>
      </c>
      <c r="AQ278" s="105">
        <v>38.53</v>
      </c>
      <c r="AR278" s="105">
        <v>25.221069499999999</v>
      </c>
      <c r="AS278" s="105">
        <v>47.42</v>
      </c>
      <c r="AT278" s="105">
        <v>43.56</v>
      </c>
      <c r="AU278" s="105">
        <v>148.66999999999999</v>
      </c>
      <c r="AV278" s="105">
        <v>82.3</v>
      </c>
      <c r="AW278" s="105">
        <v>30.26</v>
      </c>
      <c r="AX278" s="105">
        <v>15.78</v>
      </c>
      <c r="AY278" s="105">
        <v>18.140127840000002</v>
      </c>
      <c r="AZ278" s="105">
        <v>46.685612040000002</v>
      </c>
      <c r="BA278" s="105">
        <v>27.425797289999998</v>
      </c>
      <c r="BB278" s="105">
        <v>59.75</v>
      </c>
      <c r="BC278" s="105">
        <v>169.3</v>
      </c>
      <c r="BD278" s="105">
        <v>72.47</v>
      </c>
    </row>
    <row r="279" spans="3:56" x14ac:dyDescent="0.25">
      <c r="C279" s="38">
        <v>42418</v>
      </c>
      <c r="D279" s="105">
        <v>71.239999999999995</v>
      </c>
      <c r="E279" s="105">
        <v>95.17</v>
      </c>
      <c r="F279" s="105">
        <v>58.6</v>
      </c>
      <c r="G279" s="105">
        <v>36.630000000000003</v>
      </c>
      <c r="H279" s="105">
        <v>66.12</v>
      </c>
      <c r="I279" s="105">
        <v>103.47</v>
      </c>
      <c r="J279" s="105">
        <v>24.065000000000001</v>
      </c>
      <c r="K279" s="105">
        <v>525</v>
      </c>
      <c r="L279" s="105">
        <v>90.49</v>
      </c>
      <c r="M279" s="105">
        <v>52.19</v>
      </c>
      <c r="N279" s="105">
        <v>717.51</v>
      </c>
      <c r="O279" s="105">
        <v>90.49</v>
      </c>
      <c r="P279" s="105">
        <v>140.33000000000001</v>
      </c>
      <c r="Q279" s="105">
        <v>62.88</v>
      </c>
      <c r="R279" s="105">
        <v>39.64</v>
      </c>
      <c r="S279" s="105">
        <v>36.520000000000003</v>
      </c>
      <c r="T279" s="105">
        <v>64.94</v>
      </c>
      <c r="U279" s="105">
        <v>46.02</v>
      </c>
      <c r="V279" s="105">
        <v>39.318159999999999</v>
      </c>
      <c r="W279" s="105">
        <v>30.33632025</v>
      </c>
      <c r="X279" s="105">
        <v>39</v>
      </c>
      <c r="Y279" s="105">
        <v>17.471285804000001</v>
      </c>
      <c r="Z279" s="105">
        <v>7.03</v>
      </c>
      <c r="AA279" s="105">
        <v>21.5</v>
      </c>
      <c r="AB279" s="105">
        <v>1.86</v>
      </c>
      <c r="AC279" s="105">
        <v>48.54</v>
      </c>
      <c r="AD279" s="105">
        <v>26.41</v>
      </c>
      <c r="AE279" s="105">
        <v>8.625</v>
      </c>
      <c r="AF279" s="105">
        <v>25.72</v>
      </c>
      <c r="AG279" s="105">
        <v>20.89</v>
      </c>
      <c r="AH279" s="105">
        <v>39.450000000000003</v>
      </c>
      <c r="AI279" s="105">
        <v>13.887499999999999</v>
      </c>
      <c r="AJ279" s="105">
        <v>21.17</v>
      </c>
      <c r="AK279" s="105">
        <v>21.3</v>
      </c>
      <c r="AL279" s="105">
        <v>63.7</v>
      </c>
      <c r="AM279" s="105">
        <v>132.44999999999999</v>
      </c>
      <c r="AN279" s="105">
        <v>96.94</v>
      </c>
      <c r="AO279" s="105">
        <v>50.94</v>
      </c>
      <c r="AP279" s="105">
        <v>35.805</v>
      </c>
      <c r="AQ279" s="105">
        <v>33.74</v>
      </c>
      <c r="AR279" s="105">
        <v>24.460046899999998</v>
      </c>
      <c r="AS279" s="105">
        <v>44.71</v>
      </c>
      <c r="AT279" s="105">
        <v>44.52</v>
      </c>
      <c r="AU279" s="105">
        <v>143.18</v>
      </c>
      <c r="AV279" s="105">
        <v>79.290000000000006</v>
      </c>
      <c r="AW279" s="105">
        <v>27.81</v>
      </c>
      <c r="AX279" s="105">
        <v>13.47</v>
      </c>
      <c r="AY279" s="105">
        <v>17.724778799999999</v>
      </c>
      <c r="AZ279" s="105">
        <v>46.539445440000001</v>
      </c>
      <c r="BA279" s="105">
        <v>25.538388749999999</v>
      </c>
      <c r="BB279" s="105">
        <v>58.58</v>
      </c>
      <c r="BC279" s="105">
        <v>157.44999999999999</v>
      </c>
      <c r="BD279" s="105">
        <v>68.430000000000007</v>
      </c>
    </row>
    <row r="280" spans="3:56" x14ac:dyDescent="0.25">
      <c r="C280" s="38">
        <v>42411</v>
      </c>
      <c r="D280" s="105">
        <v>68.47</v>
      </c>
      <c r="E280" s="105">
        <v>90.31</v>
      </c>
      <c r="F280" s="105">
        <v>56</v>
      </c>
      <c r="G280" s="105">
        <v>34.840000000000003</v>
      </c>
      <c r="H280" s="105">
        <v>61.41</v>
      </c>
      <c r="I280" s="105">
        <v>101.91</v>
      </c>
      <c r="J280" s="105">
        <v>23.425000000000001</v>
      </c>
      <c r="K280" s="105">
        <v>503.82</v>
      </c>
      <c r="L280" s="105">
        <v>86.35</v>
      </c>
      <c r="M280" s="105">
        <v>49.69</v>
      </c>
      <c r="N280" s="105">
        <v>706.36</v>
      </c>
      <c r="O280" s="105">
        <v>88.49</v>
      </c>
      <c r="P280" s="105">
        <v>135.61000000000001</v>
      </c>
      <c r="Q280" s="105">
        <v>58.79</v>
      </c>
      <c r="R280" s="105">
        <v>38.99</v>
      </c>
      <c r="S280" s="105">
        <v>35.9</v>
      </c>
      <c r="T280" s="105">
        <v>61.59</v>
      </c>
      <c r="U280" s="105">
        <v>40.25</v>
      </c>
      <c r="V280" s="105">
        <v>37.155661199999997</v>
      </c>
      <c r="W280" s="105">
        <v>26.56771071</v>
      </c>
      <c r="X280" s="105">
        <v>35.340000000000003</v>
      </c>
      <c r="Y280" s="105">
        <v>16.926028092999999</v>
      </c>
      <c r="Z280" s="105">
        <v>6.37</v>
      </c>
      <c r="AA280" s="105">
        <v>20.73</v>
      </c>
      <c r="AB280" s="105">
        <v>1.81</v>
      </c>
      <c r="AC280" s="105">
        <v>43.28</v>
      </c>
      <c r="AD280" s="105">
        <v>22.47</v>
      </c>
      <c r="AE280" s="105">
        <v>8.125</v>
      </c>
      <c r="AF280" s="105">
        <v>24.75</v>
      </c>
      <c r="AG280" s="105">
        <v>19.82</v>
      </c>
      <c r="AH280" s="105">
        <v>36.57</v>
      </c>
      <c r="AI280" s="105">
        <v>13.3475</v>
      </c>
      <c r="AJ280" s="105">
        <v>20.190000000000001</v>
      </c>
      <c r="AK280" s="105">
        <v>20.49</v>
      </c>
      <c r="AL280" s="105">
        <v>62.35</v>
      </c>
      <c r="AM280" s="105">
        <v>117.85</v>
      </c>
      <c r="AN280" s="105">
        <v>96.16</v>
      </c>
      <c r="AO280" s="105">
        <v>49.39</v>
      </c>
      <c r="AP280" s="105">
        <v>33.954999999999998</v>
      </c>
      <c r="AQ280" s="105">
        <v>30.86</v>
      </c>
      <c r="AR280" s="105">
        <v>24.4307768</v>
      </c>
      <c r="AS280" s="105">
        <v>41.42</v>
      </c>
      <c r="AT280" s="105">
        <v>42.61</v>
      </c>
      <c r="AU280" s="105">
        <v>135.33000000000001</v>
      </c>
      <c r="AV280" s="105">
        <v>73.430000000000007</v>
      </c>
      <c r="AW280" s="105">
        <v>24.36</v>
      </c>
      <c r="AX280" s="105">
        <v>12.41</v>
      </c>
      <c r="AY280" s="105">
        <v>17.715119519999998</v>
      </c>
      <c r="AZ280" s="105">
        <v>44.512601920000002</v>
      </c>
      <c r="BA280" s="105">
        <v>23.826100589999999</v>
      </c>
      <c r="BB280" s="105">
        <v>57.44</v>
      </c>
      <c r="BC280" s="105">
        <v>152.94999999999999</v>
      </c>
      <c r="BD280" s="105">
        <v>66.91</v>
      </c>
    </row>
    <row r="281" spans="3:56" x14ac:dyDescent="0.25">
      <c r="C281" s="38">
        <v>42404</v>
      </c>
      <c r="D281" s="105">
        <v>73.680000000000007</v>
      </c>
      <c r="E281" s="105">
        <v>95.43</v>
      </c>
      <c r="F281" s="105">
        <v>60.17</v>
      </c>
      <c r="G281" s="105">
        <v>36.450000000000003</v>
      </c>
      <c r="H281" s="105">
        <v>65.959999999999994</v>
      </c>
      <c r="I281" s="105">
        <v>110.49</v>
      </c>
      <c r="J281" s="105">
        <v>24.15</v>
      </c>
      <c r="K281" s="105">
        <v>536.26</v>
      </c>
      <c r="L281" s="105">
        <v>89.71</v>
      </c>
      <c r="M281" s="105">
        <v>52</v>
      </c>
      <c r="N281" s="105">
        <v>730.03</v>
      </c>
      <c r="O281" s="105">
        <v>88.64</v>
      </c>
      <c r="P281" s="105">
        <v>146.94999999999999</v>
      </c>
      <c r="Q281" s="105">
        <v>67.38</v>
      </c>
      <c r="R281" s="105">
        <v>39.07</v>
      </c>
      <c r="S281" s="105">
        <v>36.659999999999997</v>
      </c>
      <c r="T281" s="105">
        <v>60.71</v>
      </c>
      <c r="U281" s="105">
        <v>42.68</v>
      </c>
      <c r="V281" s="105">
        <v>39.829296079999999</v>
      </c>
      <c r="W281" s="105">
        <v>27.978472920000002</v>
      </c>
      <c r="X281" s="105">
        <v>37.549999999999997</v>
      </c>
      <c r="Y281" s="105">
        <v>18.630918399999999</v>
      </c>
      <c r="Z281" s="105">
        <v>6.1</v>
      </c>
      <c r="AA281" s="105">
        <v>23.51</v>
      </c>
      <c r="AB281" s="105">
        <v>2.38</v>
      </c>
      <c r="AC281" s="105">
        <v>48.24</v>
      </c>
      <c r="AD281" s="105">
        <v>23.27</v>
      </c>
      <c r="AE281" s="105">
        <v>9.1775000000000002</v>
      </c>
      <c r="AF281" s="105">
        <v>24.8</v>
      </c>
      <c r="AG281" s="105">
        <v>20.73</v>
      </c>
      <c r="AH281" s="105">
        <v>38.979999999999997</v>
      </c>
      <c r="AI281" s="105">
        <v>14.015000000000001</v>
      </c>
      <c r="AJ281" s="105">
        <v>21.67</v>
      </c>
      <c r="AK281" s="105">
        <v>20.76</v>
      </c>
      <c r="AL281" s="105">
        <v>63.07</v>
      </c>
      <c r="AM281" s="105">
        <v>127.65</v>
      </c>
      <c r="AN281" s="105">
        <v>99.54</v>
      </c>
      <c r="AO281" s="105">
        <v>50.43</v>
      </c>
      <c r="AP281" s="105">
        <v>35.380000000000003</v>
      </c>
      <c r="AQ281" s="105">
        <v>47.09</v>
      </c>
      <c r="AR281" s="105">
        <v>22.811164600000001</v>
      </c>
      <c r="AS281" s="105">
        <v>52.31</v>
      </c>
      <c r="AT281" s="105">
        <v>43.44</v>
      </c>
      <c r="AU281" s="105">
        <v>137.91</v>
      </c>
      <c r="AV281" s="105">
        <v>76.67</v>
      </c>
      <c r="AW281" s="105">
        <v>30.97</v>
      </c>
      <c r="AX281" s="105">
        <v>14.71</v>
      </c>
      <c r="AY281" s="105">
        <v>20.39074008</v>
      </c>
      <c r="AZ281" s="105">
        <v>45.974267920000003</v>
      </c>
      <c r="BA281" s="105">
        <v>25.470286380000001</v>
      </c>
      <c r="BB281" s="105">
        <v>56.74</v>
      </c>
      <c r="BC281" s="105">
        <v>158.43</v>
      </c>
      <c r="BD281" s="105">
        <v>78.64</v>
      </c>
    </row>
    <row r="282" spans="3:56" x14ac:dyDescent="0.25">
      <c r="C282" s="38">
        <v>42397</v>
      </c>
      <c r="D282" s="105">
        <v>69.33</v>
      </c>
      <c r="E282" s="105">
        <v>93.53</v>
      </c>
      <c r="F282" s="105">
        <v>61.2</v>
      </c>
      <c r="G282" s="105">
        <v>35.33</v>
      </c>
      <c r="H282" s="105">
        <v>61.08</v>
      </c>
      <c r="I282" s="105">
        <v>109.11</v>
      </c>
      <c r="J282" s="105">
        <v>23.522500000000001</v>
      </c>
      <c r="K282" s="105">
        <v>635.35</v>
      </c>
      <c r="L282" s="105">
        <v>94.41</v>
      </c>
      <c r="M282" s="105">
        <v>52.055</v>
      </c>
      <c r="N282" s="105">
        <v>748.3</v>
      </c>
      <c r="O282" s="105">
        <v>87</v>
      </c>
      <c r="P282" s="105">
        <v>151.82</v>
      </c>
      <c r="Q282" s="105">
        <v>59.51</v>
      </c>
      <c r="R282" s="105">
        <v>37.57</v>
      </c>
      <c r="S282" s="105">
        <v>34.32</v>
      </c>
      <c r="T282" s="105">
        <v>59.21</v>
      </c>
      <c r="U282" s="105">
        <v>42.79</v>
      </c>
      <c r="V282" s="105">
        <v>40.576341120000002</v>
      </c>
      <c r="W282" s="105">
        <v>26.607172590000001</v>
      </c>
      <c r="X282" s="105">
        <v>36.19</v>
      </c>
      <c r="Y282" s="105">
        <v>18.623238713999999</v>
      </c>
      <c r="Z282" s="105">
        <v>5.89</v>
      </c>
      <c r="AA282" s="105">
        <v>23.1</v>
      </c>
      <c r="AB282" s="105">
        <v>2.42</v>
      </c>
      <c r="AC282" s="105">
        <v>44.3</v>
      </c>
      <c r="AD282" s="105">
        <v>21.17</v>
      </c>
      <c r="AE282" s="105">
        <v>8.8949999999999996</v>
      </c>
      <c r="AF282" s="105">
        <v>23</v>
      </c>
      <c r="AG282" s="105">
        <v>21.38</v>
      </c>
      <c r="AH282" s="105">
        <v>37.770000000000003</v>
      </c>
      <c r="AI282" s="105">
        <v>14.487500000000001</v>
      </c>
      <c r="AJ282" s="105">
        <v>22.5</v>
      </c>
      <c r="AK282" s="105">
        <v>19.920000000000002</v>
      </c>
      <c r="AL282" s="105">
        <v>61.56</v>
      </c>
      <c r="AM282" s="105">
        <v>122.22</v>
      </c>
      <c r="AN282" s="105">
        <v>97.31</v>
      </c>
      <c r="AO282" s="105">
        <v>49.01</v>
      </c>
      <c r="AP282" s="105">
        <v>34.695</v>
      </c>
      <c r="AQ282" s="105">
        <v>44.34</v>
      </c>
      <c r="AR282" s="105">
        <v>19.054835099999998</v>
      </c>
      <c r="AS282" s="105">
        <v>50.43</v>
      </c>
      <c r="AT282" s="105">
        <v>39.5</v>
      </c>
      <c r="AU282" s="105">
        <v>142.28</v>
      </c>
      <c r="AV282" s="105">
        <v>78.91</v>
      </c>
      <c r="AW282" s="105">
        <v>29.22</v>
      </c>
      <c r="AX282" s="105">
        <v>13.77</v>
      </c>
      <c r="AY282" s="105">
        <v>20.342443679999999</v>
      </c>
      <c r="AZ282" s="105">
        <v>45.9450346</v>
      </c>
      <c r="BA282" s="105">
        <v>25.36326837</v>
      </c>
      <c r="BB282" s="105">
        <v>54.69</v>
      </c>
      <c r="BC282" s="105">
        <v>152.77000000000001</v>
      </c>
      <c r="BD282" s="105">
        <v>79.45</v>
      </c>
    </row>
    <row r="283" spans="3:56" x14ac:dyDescent="0.25">
      <c r="C283" s="38">
        <v>42390</v>
      </c>
      <c r="D283" s="105">
        <v>71.56</v>
      </c>
      <c r="E283" s="105">
        <v>94.02</v>
      </c>
      <c r="F283" s="105">
        <v>60.56</v>
      </c>
      <c r="G283" s="105">
        <v>34.119999999999997</v>
      </c>
      <c r="H283" s="105">
        <v>59.69</v>
      </c>
      <c r="I283" s="105">
        <v>94.16</v>
      </c>
      <c r="J283" s="105">
        <v>24.074999999999999</v>
      </c>
      <c r="K283" s="105">
        <v>575.02</v>
      </c>
      <c r="L283" s="105">
        <v>102.35</v>
      </c>
      <c r="M283" s="105">
        <v>50.48</v>
      </c>
      <c r="N283" s="105">
        <v>726.67</v>
      </c>
      <c r="O283" s="105">
        <v>84.66</v>
      </c>
      <c r="P283" s="105">
        <v>143.44999999999999</v>
      </c>
      <c r="Q283" s="105">
        <v>60.73</v>
      </c>
      <c r="R283" s="105">
        <v>36.130000000000003</v>
      </c>
      <c r="S283" s="105">
        <v>33.229999999999997</v>
      </c>
      <c r="T283" s="105">
        <v>61.65</v>
      </c>
      <c r="U283" s="105">
        <v>37.64</v>
      </c>
      <c r="V283" s="105">
        <v>40.487875260000003</v>
      </c>
      <c r="W283" s="105">
        <v>26.913002160000001</v>
      </c>
      <c r="X283" s="105">
        <v>39.5</v>
      </c>
      <c r="Y283" s="105">
        <v>19.613918216999998</v>
      </c>
      <c r="Z283" s="105">
        <v>6.86</v>
      </c>
      <c r="AA283" s="105">
        <v>23.74</v>
      </c>
      <c r="AB283" s="105">
        <v>2.33</v>
      </c>
      <c r="AC283" s="105">
        <v>44.7</v>
      </c>
      <c r="AD283" s="105">
        <v>20.57</v>
      </c>
      <c r="AE283" s="105">
        <v>8.4350000000000005</v>
      </c>
      <c r="AF283" s="105">
        <v>24.62</v>
      </c>
      <c r="AG283" s="105">
        <v>18.72</v>
      </c>
      <c r="AH283" s="105">
        <v>36.93</v>
      </c>
      <c r="AI283" s="105">
        <v>14.1775</v>
      </c>
      <c r="AJ283" s="105">
        <v>22.26</v>
      </c>
      <c r="AK283" s="105">
        <v>20.82</v>
      </c>
      <c r="AL283" s="105">
        <v>58.72</v>
      </c>
      <c r="AM283" s="105">
        <v>122.91</v>
      </c>
      <c r="AN283" s="105">
        <v>91.89</v>
      </c>
      <c r="AO283" s="105">
        <v>45.87</v>
      </c>
      <c r="AP283" s="105">
        <v>33.924999999999997</v>
      </c>
      <c r="AQ283" s="105">
        <v>48.49</v>
      </c>
      <c r="AR283" s="105">
        <v>16.2839323</v>
      </c>
      <c r="AS283" s="105">
        <v>51.44</v>
      </c>
      <c r="AT283" s="105">
        <v>39.4</v>
      </c>
      <c r="AU283" s="105">
        <v>141.65</v>
      </c>
      <c r="AV283" s="105">
        <v>77.03</v>
      </c>
      <c r="AW283" s="105">
        <v>31.42</v>
      </c>
      <c r="AX283" s="105">
        <v>14.79</v>
      </c>
      <c r="AY283" s="105">
        <v>20.004368880000001</v>
      </c>
      <c r="AZ283" s="105">
        <v>43.099658120000001</v>
      </c>
      <c r="BA283" s="105">
        <v>25.38272619</v>
      </c>
      <c r="BB283" s="105">
        <v>51.2</v>
      </c>
      <c r="BC283" s="105">
        <v>158.15</v>
      </c>
      <c r="BD283" s="105">
        <v>77.2</v>
      </c>
    </row>
    <row r="284" spans="3:56" x14ac:dyDescent="0.25">
      <c r="C284" s="38">
        <v>42383</v>
      </c>
      <c r="D284" s="105">
        <v>73.8</v>
      </c>
      <c r="E284" s="105">
        <v>99.11</v>
      </c>
      <c r="F284" s="105">
        <v>58.51</v>
      </c>
      <c r="G284" s="105">
        <v>34.79</v>
      </c>
      <c r="H284" s="105">
        <v>62.27</v>
      </c>
      <c r="I284" s="105">
        <v>98.37</v>
      </c>
      <c r="J284" s="105">
        <v>24.88</v>
      </c>
      <c r="K284" s="105">
        <v>593</v>
      </c>
      <c r="L284" s="105">
        <v>107.06</v>
      </c>
      <c r="M284" s="105">
        <v>53.11</v>
      </c>
      <c r="N284" s="105">
        <v>731.39</v>
      </c>
      <c r="O284" s="105">
        <v>84.57</v>
      </c>
      <c r="P284" s="105">
        <v>143.25</v>
      </c>
      <c r="Q284" s="105">
        <v>59.99</v>
      </c>
      <c r="R284" s="105">
        <v>36.71</v>
      </c>
      <c r="S284" s="105">
        <v>34.159999999999997</v>
      </c>
      <c r="T284" s="105">
        <v>60.74</v>
      </c>
      <c r="U284" s="105">
        <v>37.450000000000003</v>
      </c>
      <c r="V284" s="105">
        <v>40.350261699999997</v>
      </c>
      <c r="W284" s="105">
        <v>26.074437209999999</v>
      </c>
      <c r="X284" s="105">
        <v>40.47</v>
      </c>
      <c r="Y284" s="105">
        <v>18.346770016000001</v>
      </c>
      <c r="Z284" s="105">
        <v>6.96</v>
      </c>
      <c r="AA284" s="105">
        <v>24.39</v>
      </c>
      <c r="AB284" s="105">
        <v>2.4</v>
      </c>
      <c r="AC284" s="105">
        <v>49.95</v>
      </c>
      <c r="AD284" s="105">
        <v>20.86</v>
      </c>
      <c r="AE284" s="105">
        <v>8.2725000000000009</v>
      </c>
      <c r="AF284" s="105">
        <v>25.06</v>
      </c>
      <c r="AG284" s="105">
        <v>17.73</v>
      </c>
      <c r="AH284" s="105">
        <v>34.32</v>
      </c>
      <c r="AI284" s="105">
        <v>15.505000000000001</v>
      </c>
      <c r="AJ284" s="105">
        <v>21.9</v>
      </c>
      <c r="AK284" s="105">
        <v>20.68</v>
      </c>
      <c r="AL284" s="105">
        <v>59.55</v>
      </c>
      <c r="AM284" s="105">
        <v>132.91</v>
      </c>
      <c r="AN284" s="105">
        <v>90.92</v>
      </c>
      <c r="AO284" s="105">
        <v>44.87</v>
      </c>
      <c r="AP284" s="105">
        <v>34.234999999999999</v>
      </c>
      <c r="AQ284" s="105">
        <v>50.76</v>
      </c>
      <c r="AR284" s="105">
        <v>16.849820900000001</v>
      </c>
      <c r="AS284" s="105">
        <v>50.7</v>
      </c>
      <c r="AT284" s="105">
        <v>40.130000000000003</v>
      </c>
      <c r="AU284" s="105">
        <v>145.41</v>
      </c>
      <c r="AV284" s="105">
        <v>75.7</v>
      </c>
      <c r="AW284" s="105">
        <v>31.81</v>
      </c>
      <c r="AX284" s="105">
        <v>16.7</v>
      </c>
      <c r="AY284" s="105">
        <v>19.675953360000001</v>
      </c>
      <c r="AZ284" s="105">
        <v>43.96691328</v>
      </c>
      <c r="BA284" s="105">
        <v>24.94492524</v>
      </c>
      <c r="BB284" s="105">
        <v>51.41</v>
      </c>
      <c r="BC284" s="105">
        <v>161.32</v>
      </c>
      <c r="BD284" s="105">
        <v>79.33</v>
      </c>
    </row>
    <row r="285" spans="3:56" x14ac:dyDescent="0.25">
      <c r="C285" s="38">
        <v>42376</v>
      </c>
      <c r="D285" s="105">
        <v>73.790000000000006</v>
      </c>
      <c r="E285" s="105">
        <v>99.5</v>
      </c>
      <c r="F285" s="105">
        <v>59.85</v>
      </c>
      <c r="G285" s="105">
        <v>35.04</v>
      </c>
      <c r="H285" s="105">
        <v>63.94</v>
      </c>
      <c r="I285" s="105">
        <v>97.92</v>
      </c>
      <c r="J285" s="105">
        <v>24.112500000000001</v>
      </c>
      <c r="K285" s="105">
        <v>607.94000000000005</v>
      </c>
      <c r="L285" s="105">
        <v>114.56</v>
      </c>
      <c r="M285" s="105">
        <v>52.17</v>
      </c>
      <c r="N285" s="105">
        <v>741</v>
      </c>
      <c r="O285" s="105">
        <v>85.7</v>
      </c>
      <c r="P285" s="105">
        <v>149.61000000000001</v>
      </c>
      <c r="Q285" s="105">
        <v>63.5</v>
      </c>
      <c r="R285" s="105">
        <v>36.58</v>
      </c>
      <c r="S285" s="105">
        <v>33.54</v>
      </c>
      <c r="T285" s="105">
        <v>61.82</v>
      </c>
      <c r="U285" s="105">
        <v>38.78</v>
      </c>
      <c r="V285" s="105">
        <v>42.689692219999998</v>
      </c>
      <c r="W285" s="105">
        <v>29.82331581</v>
      </c>
      <c r="X285" s="105">
        <v>41.95</v>
      </c>
      <c r="Y285" s="105">
        <v>16.895309349000001</v>
      </c>
      <c r="Z285" s="105">
        <v>8.15</v>
      </c>
      <c r="AA285" s="105">
        <v>25.7</v>
      </c>
      <c r="AB285" s="105">
        <v>2.48</v>
      </c>
      <c r="AC285" s="105">
        <v>49.61</v>
      </c>
      <c r="AD285" s="105">
        <v>23.28</v>
      </c>
      <c r="AE285" s="105">
        <v>8.6024999999999991</v>
      </c>
      <c r="AF285" s="105">
        <v>25.53</v>
      </c>
      <c r="AG285" s="105">
        <v>18.34</v>
      </c>
      <c r="AH285" s="105">
        <v>35.83</v>
      </c>
      <c r="AI285" s="105">
        <v>16.425000000000001</v>
      </c>
      <c r="AJ285" s="105">
        <v>22.44</v>
      </c>
      <c r="AK285" s="105">
        <v>20.78</v>
      </c>
      <c r="AL285" s="105">
        <v>58.29</v>
      </c>
      <c r="AM285" s="105">
        <v>132.86000000000001</v>
      </c>
      <c r="AN285" s="105">
        <v>88.44</v>
      </c>
      <c r="AO285" s="105">
        <v>45.27</v>
      </c>
      <c r="AP285" s="105">
        <v>34.994999999999997</v>
      </c>
      <c r="AQ285" s="105">
        <v>52.98</v>
      </c>
      <c r="AR285" s="105">
        <v>18.4011362</v>
      </c>
      <c r="AS285" s="105">
        <v>51.61</v>
      </c>
      <c r="AT285" s="105">
        <v>39.79</v>
      </c>
      <c r="AU285" s="105">
        <v>144.53</v>
      </c>
      <c r="AV285" s="105">
        <v>78.45</v>
      </c>
      <c r="AW285" s="105">
        <v>35.54</v>
      </c>
      <c r="AX285" s="105">
        <v>19.010000000000002</v>
      </c>
      <c r="AY285" s="105">
        <v>20.699837039999998</v>
      </c>
      <c r="AZ285" s="105">
        <v>44.103335440000002</v>
      </c>
      <c r="BA285" s="105">
        <v>24.740618130000001</v>
      </c>
      <c r="BB285" s="105">
        <v>48.4</v>
      </c>
      <c r="BC285" s="105">
        <v>150.53</v>
      </c>
      <c r="BD285" s="105">
        <v>77.010000000000005</v>
      </c>
    </row>
    <row r="286" spans="3:56" x14ac:dyDescent="0.25">
      <c r="C286" s="38">
        <v>42369</v>
      </c>
      <c r="D286" s="105">
        <v>77.55</v>
      </c>
      <c r="E286" s="105">
        <v>105.08</v>
      </c>
      <c r="F286" s="105">
        <v>62.5</v>
      </c>
      <c r="G286" s="105">
        <v>36.53</v>
      </c>
      <c r="H286" s="105">
        <v>67.959999999999994</v>
      </c>
      <c r="I286" s="105">
        <v>104.66</v>
      </c>
      <c r="J286" s="105">
        <v>26.315000000000001</v>
      </c>
      <c r="K286" s="105">
        <v>675.89</v>
      </c>
      <c r="L286" s="105">
        <v>114.38</v>
      </c>
      <c r="M286" s="105">
        <v>55.48</v>
      </c>
      <c r="N286" s="105">
        <v>778.01</v>
      </c>
      <c r="O286" s="105">
        <v>89.27</v>
      </c>
      <c r="P286" s="105">
        <v>142.44</v>
      </c>
      <c r="Q286" s="105">
        <v>65.849999999999994</v>
      </c>
      <c r="R286" s="105">
        <v>35.909999999999997</v>
      </c>
      <c r="S286" s="105">
        <v>34.130000000000003</v>
      </c>
      <c r="T286" s="105">
        <v>67.040000000000006</v>
      </c>
      <c r="U286" s="105">
        <v>43.84</v>
      </c>
      <c r="V286" s="105">
        <v>48.076280140000001</v>
      </c>
      <c r="W286" s="105">
        <v>30.040356150000001</v>
      </c>
      <c r="X286" s="105">
        <v>43.06</v>
      </c>
      <c r="Y286" s="105">
        <v>17.517363920000001</v>
      </c>
      <c r="Z286" s="105">
        <v>8.49</v>
      </c>
      <c r="AA286" s="105">
        <v>27.5</v>
      </c>
      <c r="AB286" s="105">
        <v>2.68</v>
      </c>
      <c r="AC286" s="105">
        <v>54.44</v>
      </c>
      <c r="AD286" s="105">
        <v>27.25</v>
      </c>
      <c r="AE286" s="105">
        <v>9.51</v>
      </c>
      <c r="AF286" s="105">
        <v>27.59</v>
      </c>
      <c r="AG286" s="105">
        <v>17.010000000000002</v>
      </c>
      <c r="AH286" s="105">
        <v>35.35</v>
      </c>
      <c r="AI286" s="105">
        <v>17.614999999999998</v>
      </c>
      <c r="AJ286" s="105">
        <v>22.64</v>
      </c>
      <c r="AK286" s="105">
        <v>22.65</v>
      </c>
      <c r="AL286" s="105">
        <v>59.21</v>
      </c>
      <c r="AM286" s="105">
        <v>137.62</v>
      </c>
      <c r="AN286" s="105">
        <v>92.94</v>
      </c>
      <c r="AO286" s="105">
        <v>46.22</v>
      </c>
      <c r="AP286" s="105">
        <v>35.454999999999998</v>
      </c>
      <c r="AQ286" s="105">
        <v>58.81</v>
      </c>
      <c r="AR286" s="105">
        <v>17.552303299999998</v>
      </c>
      <c r="AS286" s="105">
        <v>54.07</v>
      </c>
      <c r="AT286" s="105">
        <v>41</v>
      </c>
      <c r="AU286" s="105">
        <v>154.09</v>
      </c>
      <c r="AV286" s="105">
        <v>77.22</v>
      </c>
      <c r="AW286" s="105">
        <v>37.630000000000003</v>
      </c>
      <c r="AX286" s="105">
        <v>20.74</v>
      </c>
      <c r="AY286" s="105">
        <v>23.211249840000001</v>
      </c>
      <c r="AZ286" s="105">
        <v>44.230013159999999</v>
      </c>
      <c r="BA286" s="105">
        <v>27.153387810000002</v>
      </c>
      <c r="BB286" s="105">
        <v>50.17</v>
      </c>
      <c r="BC286" s="105">
        <v>167.83</v>
      </c>
      <c r="BD286" s="105">
        <v>80.540000000000006</v>
      </c>
    </row>
    <row r="287" spans="3:56" x14ac:dyDescent="0.25">
      <c r="C287" s="38">
        <v>42362</v>
      </c>
      <c r="D287" s="105">
        <v>78.260000000000005</v>
      </c>
      <c r="E287" s="105">
        <v>105.86</v>
      </c>
      <c r="F287" s="105">
        <v>63.18</v>
      </c>
      <c r="G287" s="105">
        <v>37.01</v>
      </c>
      <c r="H287" s="105">
        <v>69.38</v>
      </c>
      <c r="I287" s="105">
        <v>105.02</v>
      </c>
      <c r="J287" s="105">
        <v>27.0075</v>
      </c>
      <c r="K287" s="105">
        <v>662.79</v>
      </c>
      <c r="L287" s="105">
        <v>117.33</v>
      </c>
      <c r="M287" s="105">
        <v>55.67</v>
      </c>
      <c r="N287" s="105">
        <v>765.84</v>
      </c>
      <c r="O287" s="105">
        <v>90.32</v>
      </c>
      <c r="P287" s="105">
        <v>143.03</v>
      </c>
      <c r="Q287" s="105">
        <v>65.39</v>
      </c>
      <c r="R287" s="105">
        <v>35.74</v>
      </c>
      <c r="S287" s="105">
        <v>34.26</v>
      </c>
      <c r="T287" s="105">
        <v>68.77</v>
      </c>
      <c r="U287" s="105">
        <v>44.36</v>
      </c>
      <c r="V287" s="105">
        <v>48.046791519999999</v>
      </c>
      <c r="W287" s="105">
        <v>30.0896835</v>
      </c>
      <c r="X287" s="105">
        <v>43.9</v>
      </c>
      <c r="Y287" s="105">
        <v>17.325371769</v>
      </c>
      <c r="Z287" s="105">
        <v>8.89</v>
      </c>
      <c r="AA287" s="105">
        <v>28.1</v>
      </c>
      <c r="AB287" s="105">
        <v>2.71</v>
      </c>
      <c r="AC287" s="105">
        <v>52.64</v>
      </c>
      <c r="AD287" s="105">
        <v>27.87</v>
      </c>
      <c r="AE287" s="105">
        <v>9.7274999999999991</v>
      </c>
      <c r="AF287" s="105">
        <v>29.75</v>
      </c>
      <c r="AG287" s="105">
        <v>16.940000000000001</v>
      </c>
      <c r="AH287" s="105">
        <v>36.909999999999997</v>
      </c>
      <c r="AI287" s="105">
        <v>17.91</v>
      </c>
      <c r="AJ287" s="105">
        <v>22.21</v>
      </c>
      <c r="AK287" s="105">
        <v>23.33</v>
      </c>
      <c r="AL287" s="105">
        <v>60.36</v>
      </c>
      <c r="AM287" s="105">
        <v>138.25</v>
      </c>
      <c r="AN287" s="105">
        <v>94.36</v>
      </c>
      <c r="AO287" s="105">
        <v>46.71</v>
      </c>
      <c r="AP287" s="105">
        <v>35.445</v>
      </c>
      <c r="AQ287" s="105">
        <v>56.78</v>
      </c>
      <c r="AR287" s="105">
        <v>18.088921800000001</v>
      </c>
      <c r="AS287" s="105">
        <v>54.82</v>
      </c>
      <c r="AT287" s="105">
        <v>41.3</v>
      </c>
      <c r="AU287" s="105">
        <v>155.91</v>
      </c>
      <c r="AV287" s="105">
        <v>76.680000000000007</v>
      </c>
      <c r="AW287" s="105">
        <v>38.5</v>
      </c>
      <c r="AX287" s="105">
        <v>21.58</v>
      </c>
      <c r="AY287" s="105">
        <v>23.259546239999999</v>
      </c>
      <c r="AZ287" s="105">
        <v>44.873146200000001</v>
      </c>
      <c r="BA287" s="105">
        <v>27.435526200000002</v>
      </c>
      <c r="BB287" s="105">
        <v>50.35</v>
      </c>
      <c r="BC287" s="105">
        <v>173.24</v>
      </c>
      <c r="BD287" s="105">
        <v>80.88</v>
      </c>
    </row>
    <row r="288" spans="3:56" x14ac:dyDescent="0.25">
      <c r="C288" s="38">
        <v>42355</v>
      </c>
      <c r="D288" s="105">
        <v>78.69</v>
      </c>
      <c r="E288" s="105">
        <v>112.01</v>
      </c>
      <c r="F288" s="105">
        <v>65.11</v>
      </c>
      <c r="G288" s="105">
        <v>36.93</v>
      </c>
      <c r="H288" s="105">
        <v>64.900000000000006</v>
      </c>
      <c r="I288" s="105">
        <v>106.22</v>
      </c>
      <c r="J288" s="105">
        <v>27.245000000000001</v>
      </c>
      <c r="K288" s="105">
        <v>670.65</v>
      </c>
      <c r="L288" s="105">
        <v>122.51</v>
      </c>
      <c r="M288" s="105">
        <v>55.7</v>
      </c>
      <c r="N288" s="105">
        <v>769.83</v>
      </c>
      <c r="O288" s="105">
        <v>89.83</v>
      </c>
      <c r="P288" s="105">
        <v>139.88999999999999</v>
      </c>
      <c r="Q288" s="105">
        <v>64.77</v>
      </c>
      <c r="R288" s="105">
        <v>36.4</v>
      </c>
      <c r="S288" s="105">
        <v>33.92</v>
      </c>
      <c r="T288" s="105">
        <v>66.03</v>
      </c>
      <c r="U288" s="105">
        <v>41.82</v>
      </c>
      <c r="V288" s="105">
        <v>47.850200719999997</v>
      </c>
      <c r="W288" s="105">
        <v>29.399100600000001</v>
      </c>
      <c r="X288" s="105">
        <v>43.51</v>
      </c>
      <c r="Y288" s="105">
        <v>17.217856164000001</v>
      </c>
      <c r="Z288" s="105">
        <v>8.1199999999999992</v>
      </c>
      <c r="AA288" s="105">
        <v>27.45</v>
      </c>
      <c r="AB288" s="105">
        <v>2.6</v>
      </c>
      <c r="AC288" s="105">
        <v>50.96</v>
      </c>
      <c r="AD288" s="105">
        <v>27.49</v>
      </c>
      <c r="AE288" s="105">
        <v>9.8650000000000002</v>
      </c>
      <c r="AF288" s="105">
        <v>28.84</v>
      </c>
      <c r="AG288" s="105">
        <v>16.940000000000001</v>
      </c>
      <c r="AH288" s="105">
        <v>36.19</v>
      </c>
      <c r="AI288" s="105">
        <v>18.47</v>
      </c>
      <c r="AJ288" s="105">
        <v>21.81</v>
      </c>
      <c r="AK288" s="105">
        <v>22.75</v>
      </c>
      <c r="AL288" s="105">
        <v>60.9</v>
      </c>
      <c r="AM288" s="105">
        <v>136.75</v>
      </c>
      <c r="AN288" s="105">
        <v>92.71</v>
      </c>
      <c r="AO288" s="105">
        <v>46.1</v>
      </c>
      <c r="AP288" s="105">
        <v>35.325000000000003</v>
      </c>
      <c r="AQ288" s="105">
        <v>54.3</v>
      </c>
      <c r="AR288" s="105">
        <v>17.1815487</v>
      </c>
      <c r="AS288" s="105">
        <v>52.97</v>
      </c>
      <c r="AT288" s="105">
        <v>41.25</v>
      </c>
      <c r="AU288" s="105">
        <v>155.91</v>
      </c>
      <c r="AV288" s="105">
        <v>76.58</v>
      </c>
      <c r="AW288" s="105">
        <v>37.909999999999997</v>
      </c>
      <c r="AX288" s="105">
        <v>21.15</v>
      </c>
      <c r="AY288" s="105">
        <v>22.081114079999999</v>
      </c>
      <c r="AZ288" s="105">
        <v>43.440713520000003</v>
      </c>
      <c r="BA288" s="105">
        <v>27.80522478</v>
      </c>
      <c r="BB288" s="105">
        <v>49.08</v>
      </c>
      <c r="BC288" s="105">
        <v>172.3</v>
      </c>
      <c r="BD288" s="105">
        <v>80.89</v>
      </c>
    </row>
    <row r="289" spans="3:56" x14ac:dyDescent="0.25">
      <c r="C289" s="38">
        <v>42348</v>
      </c>
      <c r="D289" s="105">
        <v>78.12</v>
      </c>
      <c r="E289" s="105">
        <v>110.76</v>
      </c>
      <c r="F289" s="105">
        <v>64.319999999999993</v>
      </c>
      <c r="G289" s="105">
        <v>38.19</v>
      </c>
      <c r="H289" s="105">
        <v>66.38</v>
      </c>
      <c r="I289" s="105">
        <v>105.42</v>
      </c>
      <c r="J289" s="105">
        <v>29.0425</v>
      </c>
      <c r="K289" s="105">
        <v>662.32</v>
      </c>
      <c r="L289" s="105">
        <v>122.91</v>
      </c>
      <c r="M289" s="105">
        <v>55.27</v>
      </c>
      <c r="N289" s="105">
        <v>760.04</v>
      </c>
      <c r="O289" s="105">
        <v>86.77</v>
      </c>
      <c r="P289" s="105">
        <v>139.97999999999999</v>
      </c>
      <c r="Q289" s="105">
        <v>65.03</v>
      </c>
      <c r="R289" s="105">
        <v>34.79</v>
      </c>
      <c r="S289" s="105">
        <v>32.93</v>
      </c>
      <c r="T289" s="105">
        <v>68.23</v>
      </c>
      <c r="U289" s="105">
        <v>42.8</v>
      </c>
      <c r="V289" s="105">
        <v>48.931450120000001</v>
      </c>
      <c r="W289" s="105">
        <v>29.91210504</v>
      </c>
      <c r="X289" s="105">
        <v>45.25</v>
      </c>
      <c r="Y289" s="105">
        <v>17.302332710000002</v>
      </c>
      <c r="Z289" s="105">
        <v>8.0500000000000007</v>
      </c>
      <c r="AA289" s="105">
        <v>28.23</v>
      </c>
      <c r="AB289" s="105">
        <v>2.57</v>
      </c>
      <c r="AC289" s="105">
        <v>55.43</v>
      </c>
      <c r="AD289" s="105">
        <v>28.52</v>
      </c>
      <c r="AE289" s="105">
        <v>10.145</v>
      </c>
      <c r="AF289" s="105">
        <v>30.07</v>
      </c>
      <c r="AG289" s="105">
        <v>17.079999999999998</v>
      </c>
      <c r="AH289" s="105">
        <v>37.799999999999997</v>
      </c>
      <c r="AI289" s="105">
        <v>18.899999999999999</v>
      </c>
      <c r="AJ289" s="105">
        <v>21.34</v>
      </c>
      <c r="AK289" s="105">
        <v>25.44</v>
      </c>
      <c r="AL289" s="105">
        <v>59.02</v>
      </c>
      <c r="AM289" s="105">
        <v>136.78</v>
      </c>
      <c r="AN289" s="105">
        <v>92.93</v>
      </c>
      <c r="AO289" s="105">
        <v>45.32</v>
      </c>
      <c r="AP289" s="105">
        <v>35.74</v>
      </c>
      <c r="AQ289" s="105">
        <v>56.82</v>
      </c>
      <c r="AR289" s="105">
        <v>18.9572681</v>
      </c>
      <c r="AS289" s="105">
        <v>52.93</v>
      </c>
      <c r="AT289" s="105">
        <v>41.11</v>
      </c>
      <c r="AU289" s="105">
        <v>154.35</v>
      </c>
      <c r="AV289" s="105">
        <v>77.81</v>
      </c>
      <c r="AW289" s="105">
        <v>38.68</v>
      </c>
      <c r="AX289" s="105">
        <v>22.36</v>
      </c>
      <c r="AY289" s="105">
        <v>21.781676399999998</v>
      </c>
      <c r="AZ289" s="105">
        <v>49.150955359999998</v>
      </c>
      <c r="BA289" s="105">
        <v>27.49389966</v>
      </c>
      <c r="BB289" s="105">
        <v>47.68</v>
      </c>
      <c r="BC289" s="105">
        <v>175.44872988</v>
      </c>
      <c r="BD289" s="105">
        <v>84.11</v>
      </c>
    </row>
    <row r="290" spans="3:56" x14ac:dyDescent="0.25">
      <c r="C290" s="38">
        <v>42341</v>
      </c>
      <c r="D290" s="105">
        <v>78.290000000000006</v>
      </c>
      <c r="E290" s="105">
        <v>111.89</v>
      </c>
      <c r="F290" s="105">
        <v>64.56</v>
      </c>
      <c r="G290" s="105">
        <v>37.81</v>
      </c>
      <c r="H290" s="105">
        <v>69.64</v>
      </c>
      <c r="I290" s="105">
        <v>104.38</v>
      </c>
      <c r="J290" s="105">
        <v>28.8</v>
      </c>
      <c r="K290" s="105">
        <v>666.25</v>
      </c>
      <c r="L290" s="105">
        <v>126.81</v>
      </c>
      <c r="M290" s="105">
        <v>54.2</v>
      </c>
      <c r="N290" s="105">
        <v>768.2</v>
      </c>
      <c r="O290" s="105">
        <v>84.56</v>
      </c>
      <c r="P290" s="105">
        <v>140.5</v>
      </c>
      <c r="Q290" s="105">
        <v>65.819999999999993</v>
      </c>
      <c r="R290" s="105">
        <v>34.42</v>
      </c>
      <c r="S290" s="105">
        <v>33.01</v>
      </c>
      <c r="T290" s="105">
        <v>68.78</v>
      </c>
      <c r="U290" s="105">
        <v>43.54</v>
      </c>
      <c r="V290" s="105">
        <v>49.23616586</v>
      </c>
      <c r="W290" s="105">
        <v>30.878921099999999</v>
      </c>
      <c r="X290" s="105">
        <v>47.29</v>
      </c>
      <c r="Y290" s="105">
        <v>16.449887557</v>
      </c>
      <c r="Z290" s="105">
        <v>6.99</v>
      </c>
      <c r="AA290" s="105">
        <v>28.75</v>
      </c>
      <c r="AB290" s="105">
        <v>2.58</v>
      </c>
      <c r="AC290" s="105">
        <v>53.22</v>
      </c>
      <c r="AD290" s="105">
        <v>29.45</v>
      </c>
      <c r="AE290" s="105">
        <v>10.32</v>
      </c>
      <c r="AF290" s="105">
        <v>31.03</v>
      </c>
      <c r="AG290" s="105">
        <v>16.7</v>
      </c>
      <c r="AH290" s="105">
        <v>38.049999999999997</v>
      </c>
      <c r="AI290" s="105">
        <v>19.337499999999999</v>
      </c>
      <c r="AJ290" s="105">
        <v>21.96</v>
      </c>
      <c r="AK290" s="105">
        <v>24.7</v>
      </c>
      <c r="AL290" s="105">
        <v>58.64</v>
      </c>
      <c r="AM290" s="105">
        <v>138.91999999999999</v>
      </c>
      <c r="AN290" s="105">
        <v>92.58</v>
      </c>
      <c r="AO290" s="105">
        <v>44.56</v>
      </c>
      <c r="AP290" s="105">
        <v>34.92</v>
      </c>
      <c r="AQ290" s="105">
        <v>58.27</v>
      </c>
      <c r="AR290" s="105">
        <v>18.2742991</v>
      </c>
      <c r="AS290" s="105">
        <v>51.07</v>
      </c>
      <c r="AT290" s="105">
        <v>40.51</v>
      </c>
      <c r="AU290" s="105">
        <v>149.93</v>
      </c>
      <c r="AV290" s="105">
        <v>74.09</v>
      </c>
      <c r="AW290" s="105">
        <v>40.11</v>
      </c>
      <c r="AX290" s="105">
        <v>21.56</v>
      </c>
      <c r="AY290" s="105">
        <v>23.59762104</v>
      </c>
      <c r="AZ290" s="105">
        <v>48.722200000000001</v>
      </c>
      <c r="BA290" s="105">
        <v>27.591188760000001</v>
      </c>
      <c r="BB290" s="105">
        <v>47.74</v>
      </c>
      <c r="BC290" s="105">
        <v>171.46598724</v>
      </c>
      <c r="BD290" s="105">
        <v>82.99</v>
      </c>
    </row>
    <row r="291" spans="3:56" x14ac:dyDescent="0.25">
      <c r="C291" s="38">
        <v>42333</v>
      </c>
      <c r="D291" s="105">
        <v>79.56</v>
      </c>
      <c r="E291" s="105">
        <v>118.67</v>
      </c>
      <c r="F291" s="105">
        <v>67.064999999999998</v>
      </c>
      <c r="G291" s="105">
        <v>39.26</v>
      </c>
      <c r="H291" s="105">
        <v>71.489999999999995</v>
      </c>
      <c r="I291" s="105">
        <v>105.41</v>
      </c>
      <c r="J291" s="105">
        <v>29.5075</v>
      </c>
      <c r="K291" s="105">
        <v>675.34</v>
      </c>
      <c r="L291" s="105">
        <v>124.16</v>
      </c>
      <c r="M291" s="105">
        <v>53.69</v>
      </c>
      <c r="N291" s="105">
        <v>769.26</v>
      </c>
      <c r="O291" s="105">
        <v>86.91</v>
      </c>
      <c r="P291" s="105">
        <v>143.19</v>
      </c>
      <c r="Q291" s="105">
        <v>67.760000000000005</v>
      </c>
      <c r="R291" s="105">
        <v>35.5</v>
      </c>
      <c r="S291" s="105">
        <v>33.65</v>
      </c>
      <c r="T291" s="105">
        <v>71.84</v>
      </c>
      <c r="U291" s="105">
        <v>44.82</v>
      </c>
      <c r="V291" s="105">
        <v>51.044801219999997</v>
      </c>
      <c r="W291" s="105">
        <v>31.52017665</v>
      </c>
      <c r="X291" s="105">
        <v>45.88</v>
      </c>
      <c r="Y291" s="105">
        <v>16.695637511000001</v>
      </c>
      <c r="Z291" s="105">
        <v>8.33</v>
      </c>
      <c r="AA291" s="105">
        <v>29.03</v>
      </c>
      <c r="AB291" s="105">
        <v>2.5950000000000002</v>
      </c>
      <c r="AC291" s="105">
        <v>51.95</v>
      </c>
      <c r="AD291" s="105">
        <v>30.98</v>
      </c>
      <c r="AE291" s="105">
        <v>10.7675</v>
      </c>
      <c r="AF291" s="105">
        <v>31.46</v>
      </c>
      <c r="AG291" s="105">
        <v>17.77</v>
      </c>
      <c r="AH291" s="105">
        <v>39.450000000000003</v>
      </c>
      <c r="AI291" s="105">
        <v>20.262499999999999</v>
      </c>
      <c r="AJ291" s="105">
        <v>21.98</v>
      </c>
      <c r="AK291" s="105">
        <v>25.08</v>
      </c>
      <c r="AL291" s="105">
        <v>59.18</v>
      </c>
      <c r="AM291" s="105">
        <v>138</v>
      </c>
      <c r="AN291" s="105">
        <v>97.22</v>
      </c>
      <c r="AO291" s="105">
        <v>44.92</v>
      </c>
      <c r="AP291" s="105">
        <v>35.825000000000003</v>
      </c>
      <c r="AQ291" s="105">
        <v>59.14</v>
      </c>
      <c r="AR291" s="105">
        <v>17.474249700000001</v>
      </c>
      <c r="AS291" s="105">
        <v>51.8</v>
      </c>
      <c r="AT291" s="105">
        <v>41.5</v>
      </c>
      <c r="AU291" s="105">
        <v>150.12</v>
      </c>
      <c r="AV291" s="105">
        <v>74.930000000000007</v>
      </c>
      <c r="AW291" s="105">
        <v>43.22</v>
      </c>
      <c r="AX291" s="105">
        <v>23.27</v>
      </c>
      <c r="AY291" s="105">
        <v>26.959050479999998</v>
      </c>
      <c r="AZ291" s="105">
        <v>48.5273112</v>
      </c>
      <c r="BA291" s="105">
        <v>28.281941369999998</v>
      </c>
      <c r="BB291" s="105">
        <v>48.7</v>
      </c>
      <c r="BC291" s="105">
        <v>188.67500208000001</v>
      </c>
      <c r="BD291" s="105">
        <v>84.81</v>
      </c>
    </row>
    <row r="292" spans="3:56" x14ac:dyDescent="0.25">
      <c r="C292" s="38">
        <v>42327</v>
      </c>
      <c r="D292" s="105">
        <v>80.150000000000006</v>
      </c>
      <c r="E292" s="105">
        <v>118.71</v>
      </c>
      <c r="F292" s="105">
        <v>62.89</v>
      </c>
      <c r="G292" s="105">
        <v>39.020000000000003</v>
      </c>
      <c r="H292" s="105">
        <v>70.02</v>
      </c>
      <c r="I292" s="105">
        <v>106.26</v>
      </c>
      <c r="J292" s="105">
        <v>29.695</v>
      </c>
      <c r="K292" s="105">
        <v>661.27</v>
      </c>
      <c r="L292" s="105">
        <v>120.22</v>
      </c>
      <c r="M292" s="105">
        <v>53.94</v>
      </c>
      <c r="N292" s="105">
        <v>759.94</v>
      </c>
      <c r="O292" s="105">
        <v>85.09</v>
      </c>
      <c r="P292" s="105">
        <v>137.46</v>
      </c>
      <c r="Q292" s="105">
        <v>67.39</v>
      </c>
      <c r="R292" s="105">
        <v>35.72</v>
      </c>
      <c r="S292" s="105">
        <v>34.11</v>
      </c>
      <c r="T292" s="105">
        <v>72.569999999999993</v>
      </c>
      <c r="U292" s="105">
        <v>46.07</v>
      </c>
      <c r="V292" s="105">
        <v>49.727642860000003</v>
      </c>
      <c r="W292" s="105">
        <v>30.257396490000001</v>
      </c>
      <c r="X292" s="105">
        <v>46.87</v>
      </c>
      <c r="Y292" s="105">
        <v>15.797114240999999</v>
      </c>
      <c r="Z292" s="105">
        <v>6.56</v>
      </c>
      <c r="AA292" s="105">
        <v>28.9</v>
      </c>
      <c r="AB292" s="105">
        <v>2.5299999999999998</v>
      </c>
      <c r="AC292" s="105">
        <v>48.18</v>
      </c>
      <c r="AD292" s="105">
        <v>31.51</v>
      </c>
      <c r="AE292" s="105">
        <v>10.265000000000001</v>
      </c>
      <c r="AF292" s="105">
        <v>32.31</v>
      </c>
      <c r="AG292" s="105">
        <v>16.98</v>
      </c>
      <c r="AH292" s="105">
        <v>37.61</v>
      </c>
      <c r="AI292" s="105">
        <v>19.9575</v>
      </c>
      <c r="AJ292" s="105">
        <v>21.9</v>
      </c>
      <c r="AK292" s="105">
        <v>25.67</v>
      </c>
      <c r="AL292" s="105">
        <v>60.3</v>
      </c>
      <c r="AM292" s="105">
        <v>136.74</v>
      </c>
      <c r="AN292" s="105">
        <v>95.41</v>
      </c>
      <c r="AO292" s="105">
        <v>45.76</v>
      </c>
      <c r="AP292" s="105">
        <v>33.85</v>
      </c>
      <c r="AQ292" s="105">
        <v>62.76</v>
      </c>
      <c r="AR292" s="105">
        <v>17.610843500000001</v>
      </c>
      <c r="AS292" s="105">
        <v>51.22</v>
      </c>
      <c r="AT292" s="105">
        <v>41.4</v>
      </c>
      <c r="AU292" s="105">
        <v>149.96</v>
      </c>
      <c r="AV292" s="105">
        <v>67.16</v>
      </c>
      <c r="AW292" s="105">
        <v>42.63</v>
      </c>
      <c r="AX292" s="105">
        <v>22.92</v>
      </c>
      <c r="AY292" s="105">
        <v>29.383529759999998</v>
      </c>
      <c r="AZ292" s="105">
        <v>46.977945239999997</v>
      </c>
      <c r="BA292" s="105">
        <v>27.532815299999999</v>
      </c>
      <c r="BB292" s="105">
        <v>48.16</v>
      </c>
      <c r="BC292" s="105">
        <v>189.81434388</v>
      </c>
      <c r="BD292" s="105">
        <v>85.67</v>
      </c>
    </row>
    <row r="293" spans="3:56" x14ac:dyDescent="0.25">
      <c r="C293" s="38">
        <v>42320</v>
      </c>
      <c r="D293" s="105">
        <v>78.31</v>
      </c>
      <c r="E293" s="105">
        <v>116.21</v>
      </c>
      <c r="F293" s="105">
        <v>62.99</v>
      </c>
      <c r="G293" s="105">
        <v>38.630000000000003</v>
      </c>
      <c r="H293" s="105">
        <v>68.66</v>
      </c>
      <c r="I293" s="105">
        <v>108.02</v>
      </c>
      <c r="J293" s="105">
        <v>28.93</v>
      </c>
      <c r="K293" s="105">
        <v>665.6</v>
      </c>
      <c r="L293" s="105">
        <v>108.92</v>
      </c>
      <c r="M293" s="105">
        <v>53.32</v>
      </c>
      <c r="N293" s="105">
        <v>756.53</v>
      </c>
      <c r="O293" s="105">
        <v>85.16</v>
      </c>
      <c r="P293" s="105">
        <v>133.38</v>
      </c>
      <c r="Q293" s="105">
        <v>64</v>
      </c>
      <c r="R293" s="105">
        <v>35.31</v>
      </c>
      <c r="S293" s="105">
        <v>33.31</v>
      </c>
      <c r="T293" s="105">
        <v>74.52</v>
      </c>
      <c r="U293" s="105">
        <v>46.03</v>
      </c>
      <c r="V293" s="105">
        <v>47.8698598</v>
      </c>
      <c r="W293" s="105">
        <v>33.532732529999997</v>
      </c>
      <c r="X293" s="105">
        <v>46.69</v>
      </c>
      <c r="Y293" s="105">
        <v>16.442207871000001</v>
      </c>
      <c r="Z293" s="105">
        <v>6.28</v>
      </c>
      <c r="AA293" s="105">
        <v>28.9</v>
      </c>
      <c r="AB293" s="105">
        <v>2.4700000000000002</v>
      </c>
      <c r="AC293" s="105">
        <v>40.39</v>
      </c>
      <c r="AD293" s="105">
        <v>31.7</v>
      </c>
      <c r="AE293" s="105">
        <v>9.6125000000000007</v>
      </c>
      <c r="AF293" s="105">
        <v>31.66</v>
      </c>
      <c r="AG293" s="105">
        <v>16.98</v>
      </c>
      <c r="AH293" s="105">
        <v>42.78</v>
      </c>
      <c r="AI293" s="105">
        <v>19.927499999999998</v>
      </c>
      <c r="AJ293" s="105">
        <v>22.15</v>
      </c>
      <c r="AK293" s="105">
        <v>25.76</v>
      </c>
      <c r="AL293" s="105">
        <v>60.05</v>
      </c>
      <c r="AM293" s="105">
        <v>133.04</v>
      </c>
      <c r="AN293" s="105">
        <v>95.61</v>
      </c>
      <c r="AO293" s="105">
        <v>44.83</v>
      </c>
      <c r="AP293" s="105">
        <v>34.125</v>
      </c>
      <c r="AQ293" s="105">
        <v>58.78</v>
      </c>
      <c r="AR293" s="105">
        <v>16.9083611</v>
      </c>
      <c r="AS293" s="105">
        <v>43.2</v>
      </c>
      <c r="AT293" s="105">
        <v>40.22</v>
      </c>
      <c r="AU293" s="105">
        <v>148.43</v>
      </c>
      <c r="AV293" s="105">
        <v>66.569999999999993</v>
      </c>
      <c r="AW293" s="105">
        <v>44.35</v>
      </c>
      <c r="AX293" s="105">
        <v>22.23</v>
      </c>
      <c r="AY293" s="105">
        <v>28.861928639999999</v>
      </c>
      <c r="AZ293" s="105">
        <v>44.288479799999998</v>
      </c>
      <c r="BA293" s="105">
        <v>27.581459850000002</v>
      </c>
      <c r="BB293" s="105">
        <v>47.02</v>
      </c>
      <c r="BC293" s="105">
        <v>183.23588340000001</v>
      </c>
      <c r="BD293" s="105">
        <v>82.76</v>
      </c>
    </row>
    <row r="294" spans="3:56" x14ac:dyDescent="0.25">
      <c r="C294" s="38">
        <v>42313</v>
      </c>
      <c r="D294" s="105">
        <v>79.260000000000005</v>
      </c>
      <c r="E294" s="105">
        <v>113</v>
      </c>
      <c r="F294" s="105">
        <v>65.930000000000007</v>
      </c>
      <c r="G294" s="105">
        <v>40.35</v>
      </c>
      <c r="H294" s="105">
        <v>74.22</v>
      </c>
      <c r="I294" s="105">
        <v>108.76</v>
      </c>
      <c r="J294" s="105">
        <v>30.23</v>
      </c>
      <c r="K294" s="105">
        <v>655.65</v>
      </c>
      <c r="L294" s="105">
        <v>113.5</v>
      </c>
      <c r="M294" s="105">
        <v>54.38</v>
      </c>
      <c r="N294" s="105">
        <v>760.67</v>
      </c>
      <c r="O294" s="105">
        <v>87.71</v>
      </c>
      <c r="P294" s="105">
        <v>133.26</v>
      </c>
      <c r="Q294" s="105">
        <v>66.39</v>
      </c>
      <c r="R294" s="105">
        <v>36.11</v>
      </c>
      <c r="S294" s="105">
        <v>34.22</v>
      </c>
      <c r="T294" s="105">
        <v>76.72</v>
      </c>
      <c r="U294" s="105">
        <v>49.55</v>
      </c>
      <c r="V294" s="105">
        <v>48.233552779999997</v>
      </c>
      <c r="W294" s="105">
        <v>34.548875940000002</v>
      </c>
      <c r="X294" s="105">
        <v>46.67</v>
      </c>
      <c r="Y294" s="105">
        <v>18.085660689000001</v>
      </c>
      <c r="Z294" s="105">
        <v>9.0500000000000007</v>
      </c>
      <c r="AA294" s="105">
        <v>29.52</v>
      </c>
      <c r="AB294" s="105">
        <v>2.58</v>
      </c>
      <c r="AC294" s="105">
        <v>35.93</v>
      </c>
      <c r="AD294" s="105">
        <v>31.46</v>
      </c>
      <c r="AE294" s="105">
        <v>9.7750000000000004</v>
      </c>
      <c r="AF294" s="105">
        <v>32.67</v>
      </c>
      <c r="AG294" s="105">
        <v>16.54</v>
      </c>
      <c r="AH294" s="105">
        <v>44.2</v>
      </c>
      <c r="AI294" s="105">
        <v>20.462499999999999</v>
      </c>
      <c r="AJ294" s="105">
        <v>23.86</v>
      </c>
      <c r="AK294" s="105">
        <v>25.74</v>
      </c>
      <c r="AL294" s="105">
        <v>60.18</v>
      </c>
      <c r="AM294" s="105">
        <v>139.88999999999999</v>
      </c>
      <c r="AN294" s="105">
        <v>97.59</v>
      </c>
      <c r="AO294" s="105">
        <v>46.2</v>
      </c>
      <c r="AP294" s="105">
        <v>37.159999999999997</v>
      </c>
      <c r="AQ294" s="105">
        <v>55.35</v>
      </c>
      <c r="AR294" s="105">
        <v>17.074224999999998</v>
      </c>
      <c r="AS294" s="105">
        <v>44.79</v>
      </c>
      <c r="AT294" s="105">
        <v>41.06</v>
      </c>
      <c r="AU294" s="105">
        <v>152.24</v>
      </c>
      <c r="AV294" s="105">
        <v>67.709999999999994</v>
      </c>
      <c r="AW294" s="105">
        <v>44.3</v>
      </c>
      <c r="AX294" s="105">
        <v>22.46</v>
      </c>
      <c r="AY294" s="105">
        <v>30.426732000000001</v>
      </c>
      <c r="AZ294" s="105">
        <v>47.406700600000001</v>
      </c>
      <c r="BA294" s="105">
        <v>28.94350725</v>
      </c>
      <c r="BB294" s="105">
        <v>48.49</v>
      </c>
      <c r="BC294" s="105">
        <v>197.11603872000001</v>
      </c>
      <c r="BD294" s="105">
        <v>83.83</v>
      </c>
    </row>
    <row r="295" spans="3:56" x14ac:dyDescent="0.25">
      <c r="C295" s="38">
        <v>42306</v>
      </c>
      <c r="D295" s="105">
        <v>78.510000000000005</v>
      </c>
      <c r="E295" s="105">
        <v>115.04</v>
      </c>
      <c r="F295" s="105">
        <v>65.56</v>
      </c>
      <c r="G295" s="105">
        <v>38.86</v>
      </c>
      <c r="H295" s="105">
        <v>71.97</v>
      </c>
      <c r="I295" s="105">
        <v>104.88</v>
      </c>
      <c r="J295" s="105">
        <v>30.1325</v>
      </c>
      <c r="K295" s="105">
        <v>626.54999999999995</v>
      </c>
      <c r="L295" s="105">
        <v>105.12</v>
      </c>
      <c r="M295" s="105">
        <v>53.36</v>
      </c>
      <c r="N295" s="105">
        <v>744.85</v>
      </c>
      <c r="O295" s="105">
        <v>88.96</v>
      </c>
      <c r="P295" s="105">
        <v>135.11000000000001</v>
      </c>
      <c r="Q295" s="105">
        <v>65.7</v>
      </c>
      <c r="R295" s="105">
        <v>35.54</v>
      </c>
      <c r="S295" s="105">
        <v>33.79</v>
      </c>
      <c r="T295" s="105">
        <v>76.98</v>
      </c>
      <c r="U295" s="105">
        <v>48.85</v>
      </c>
      <c r="V295" s="105">
        <v>48.420314040000001</v>
      </c>
      <c r="W295" s="105">
        <v>33.996409620000001</v>
      </c>
      <c r="X295" s="105">
        <v>45.82</v>
      </c>
      <c r="Y295" s="105">
        <v>18.730754318999999</v>
      </c>
      <c r="Z295" s="105">
        <v>9.9600000000000009</v>
      </c>
      <c r="AA295" s="105">
        <v>27.89</v>
      </c>
      <c r="AB295" s="105">
        <v>2.375</v>
      </c>
      <c r="AC295" s="105">
        <v>35.33</v>
      </c>
      <c r="AD295" s="105">
        <v>26.02</v>
      </c>
      <c r="AE295" s="105">
        <v>9.74</v>
      </c>
      <c r="AF295" s="105">
        <v>34.659999999999997</v>
      </c>
      <c r="AG295" s="105">
        <v>15.92</v>
      </c>
      <c r="AH295" s="105">
        <v>43.93</v>
      </c>
      <c r="AI295" s="105">
        <v>19.155000000000001</v>
      </c>
      <c r="AJ295" s="105">
        <v>24.33</v>
      </c>
      <c r="AK295" s="105">
        <v>24.93</v>
      </c>
      <c r="AL295" s="105">
        <v>60.64</v>
      </c>
      <c r="AM295" s="105">
        <v>140.55000000000001</v>
      </c>
      <c r="AN295" s="105">
        <v>95.85</v>
      </c>
      <c r="AO295" s="105">
        <v>46.4</v>
      </c>
      <c r="AP295" s="105">
        <v>36.54</v>
      </c>
      <c r="AQ295" s="105">
        <v>55.98</v>
      </c>
      <c r="AR295" s="105">
        <v>19.406076299999999</v>
      </c>
      <c r="AS295" s="105">
        <v>45.78</v>
      </c>
      <c r="AT295" s="105">
        <v>41.79</v>
      </c>
      <c r="AU295" s="105">
        <v>143.22999999999999</v>
      </c>
      <c r="AV295" s="105">
        <v>64.86</v>
      </c>
      <c r="AW295" s="105">
        <v>38.89</v>
      </c>
      <c r="AX295" s="105">
        <v>26.9</v>
      </c>
      <c r="AY295" s="105">
        <v>30.426732000000001</v>
      </c>
      <c r="AZ295" s="105">
        <v>47.406700600000001</v>
      </c>
      <c r="BA295" s="105">
        <v>28.739200140000001</v>
      </c>
      <c r="BB295" s="105">
        <v>48.81</v>
      </c>
      <c r="BC295" s="105">
        <v>195.93706764000001</v>
      </c>
      <c r="BD295" s="105">
        <v>82.44</v>
      </c>
    </row>
    <row r="296" spans="3:56" x14ac:dyDescent="0.25">
      <c r="C296" s="38">
        <v>42299</v>
      </c>
      <c r="D296" s="105">
        <v>76.42</v>
      </c>
      <c r="E296" s="105">
        <v>113.25</v>
      </c>
      <c r="F296" s="105">
        <v>66.204999999999998</v>
      </c>
      <c r="G296" s="105">
        <v>37.79</v>
      </c>
      <c r="H296" s="105">
        <v>70.88</v>
      </c>
      <c r="I296" s="105">
        <v>99.67</v>
      </c>
      <c r="J296" s="105">
        <v>28.875</v>
      </c>
      <c r="K296" s="105">
        <v>563.91</v>
      </c>
      <c r="L296" s="105">
        <v>97.32</v>
      </c>
      <c r="M296" s="105">
        <v>48.03</v>
      </c>
      <c r="N296" s="105">
        <v>681.14</v>
      </c>
      <c r="O296" s="105">
        <v>95.93</v>
      </c>
      <c r="P296" s="105">
        <v>137.81</v>
      </c>
      <c r="Q296" s="105">
        <v>60.78</v>
      </c>
      <c r="R296" s="105">
        <v>37.14</v>
      </c>
      <c r="S296" s="105">
        <v>34.75</v>
      </c>
      <c r="T296" s="105">
        <v>76.87</v>
      </c>
      <c r="U296" s="105">
        <v>46.6</v>
      </c>
      <c r="V296" s="105">
        <v>50.956335359999997</v>
      </c>
      <c r="W296" s="105">
        <v>34.686992519999997</v>
      </c>
      <c r="X296" s="105">
        <v>44.08</v>
      </c>
      <c r="Y296" s="105">
        <v>19.575519786000001</v>
      </c>
      <c r="Z296" s="105">
        <v>10.85</v>
      </c>
      <c r="AA296" s="105">
        <v>26.3</v>
      </c>
      <c r="AB296" s="105">
        <v>2.42</v>
      </c>
      <c r="AC296" s="105">
        <v>33.71</v>
      </c>
      <c r="AD296" s="105">
        <v>27.58</v>
      </c>
      <c r="AE296" s="105">
        <v>10.3</v>
      </c>
      <c r="AF296" s="105">
        <v>35.159999999999997</v>
      </c>
      <c r="AG296" s="105">
        <v>15.55</v>
      </c>
      <c r="AH296" s="105">
        <v>43.55</v>
      </c>
      <c r="AI296" s="105">
        <v>18.07</v>
      </c>
      <c r="AJ296" s="105">
        <v>24.53</v>
      </c>
      <c r="AK296" s="105">
        <v>24.62</v>
      </c>
      <c r="AL296" s="105">
        <v>66.09</v>
      </c>
      <c r="AM296" s="105">
        <v>144.09</v>
      </c>
      <c r="AN296" s="105">
        <v>98.53</v>
      </c>
      <c r="AO296" s="105">
        <v>45.89</v>
      </c>
      <c r="AP296" s="105">
        <v>36.950000000000003</v>
      </c>
      <c r="AQ296" s="105">
        <v>57.06</v>
      </c>
      <c r="AR296" s="105">
        <v>18.567000100000001</v>
      </c>
      <c r="AS296" s="105">
        <v>39.159999999999997</v>
      </c>
      <c r="AT296" s="105">
        <v>41.71</v>
      </c>
      <c r="AU296" s="105">
        <v>138.44999999999999</v>
      </c>
      <c r="AV296" s="105">
        <v>64.8</v>
      </c>
      <c r="AW296" s="105">
        <v>38.630000000000003</v>
      </c>
      <c r="AX296" s="105">
        <v>29.37</v>
      </c>
      <c r="AY296" s="105">
        <v>30.069338640000002</v>
      </c>
      <c r="AZ296" s="105">
        <v>45.068035000000002</v>
      </c>
      <c r="BA296" s="105">
        <v>28.213839</v>
      </c>
      <c r="BB296" s="105">
        <v>49.01</v>
      </c>
      <c r="BC296" s="105">
        <v>199.14703932</v>
      </c>
      <c r="BD296" s="105">
        <v>80.790000000000006</v>
      </c>
    </row>
    <row r="297" spans="3:56" x14ac:dyDescent="0.25">
      <c r="C297" s="38">
        <v>42292</v>
      </c>
      <c r="D297" s="105">
        <v>75.34</v>
      </c>
      <c r="E297" s="105">
        <v>107.89</v>
      </c>
      <c r="F297" s="105">
        <v>64.394999999999996</v>
      </c>
      <c r="G297" s="105">
        <v>37.549999999999997</v>
      </c>
      <c r="H297" s="105">
        <v>70.83</v>
      </c>
      <c r="I297" s="105">
        <v>95.96</v>
      </c>
      <c r="J297" s="105">
        <v>27.965</v>
      </c>
      <c r="K297" s="105">
        <v>562.44000000000005</v>
      </c>
      <c r="L297" s="105">
        <v>101.09</v>
      </c>
      <c r="M297" s="105">
        <v>47.01</v>
      </c>
      <c r="N297" s="105">
        <v>693.02</v>
      </c>
      <c r="O297" s="105">
        <v>94.73</v>
      </c>
      <c r="P297" s="105">
        <v>134.93</v>
      </c>
      <c r="Q297" s="105">
        <v>60.65</v>
      </c>
      <c r="R297" s="105">
        <v>36.35</v>
      </c>
      <c r="S297" s="105">
        <v>34.19</v>
      </c>
      <c r="T297" s="105">
        <v>74.84</v>
      </c>
      <c r="U297" s="105">
        <v>49.46</v>
      </c>
      <c r="V297" s="105">
        <v>48.941279659999999</v>
      </c>
      <c r="W297" s="105">
        <v>35.002687559999998</v>
      </c>
      <c r="X297" s="105">
        <v>41.24</v>
      </c>
      <c r="Y297" s="105">
        <v>20.619957092</v>
      </c>
      <c r="Z297" s="105">
        <v>10.26</v>
      </c>
      <c r="AA297" s="105">
        <v>26.11</v>
      </c>
      <c r="AB297" s="105">
        <v>2.5099999999999998</v>
      </c>
      <c r="AC297" s="105">
        <v>39.29</v>
      </c>
      <c r="AD297" s="105">
        <v>28.77</v>
      </c>
      <c r="AE297" s="105">
        <v>10.17</v>
      </c>
      <c r="AF297" s="105">
        <v>34.93</v>
      </c>
      <c r="AG297" s="105">
        <v>16.18</v>
      </c>
      <c r="AH297" s="105">
        <v>46.75</v>
      </c>
      <c r="AI297" s="105">
        <v>18.2075</v>
      </c>
      <c r="AJ297" s="105">
        <v>24.98</v>
      </c>
      <c r="AK297" s="105">
        <v>24.38</v>
      </c>
      <c r="AL297" s="105">
        <v>64.430000000000007</v>
      </c>
      <c r="AM297" s="105">
        <v>150.09</v>
      </c>
      <c r="AN297" s="105">
        <v>98.69</v>
      </c>
      <c r="AO297" s="105">
        <v>44.67</v>
      </c>
      <c r="AP297" s="105">
        <v>35.865000000000002</v>
      </c>
      <c r="AQ297" s="105">
        <v>56.21</v>
      </c>
      <c r="AR297" s="105">
        <v>18.830431000000001</v>
      </c>
      <c r="AS297" s="105">
        <v>42.73</v>
      </c>
      <c r="AT297" s="105">
        <v>40.79</v>
      </c>
      <c r="AU297" s="105">
        <v>137.07</v>
      </c>
      <c r="AV297" s="105">
        <v>62.8</v>
      </c>
      <c r="AW297" s="105">
        <v>40.39</v>
      </c>
      <c r="AX297" s="105">
        <v>29.92</v>
      </c>
      <c r="AY297" s="105">
        <v>29.78921952</v>
      </c>
      <c r="AZ297" s="105">
        <v>43.567391239999999</v>
      </c>
      <c r="BA297" s="105">
        <v>28.155465540000002</v>
      </c>
      <c r="BB297" s="105">
        <v>47.77</v>
      </c>
      <c r="BC297" s="105">
        <v>214.51329264</v>
      </c>
      <c r="BD297" s="105">
        <v>80</v>
      </c>
    </row>
    <row r="298" spans="3:56" x14ac:dyDescent="0.25">
      <c r="C298" s="38">
        <v>42285</v>
      </c>
      <c r="D298" s="105">
        <v>73.900000000000006</v>
      </c>
      <c r="E298" s="105">
        <v>104.61</v>
      </c>
      <c r="F298" s="105">
        <v>62.454999999999998</v>
      </c>
      <c r="G298" s="105">
        <v>37.89</v>
      </c>
      <c r="H298" s="105">
        <v>71.84</v>
      </c>
      <c r="I298" s="105">
        <v>92.47</v>
      </c>
      <c r="J298" s="105">
        <v>27.375</v>
      </c>
      <c r="K298" s="105">
        <v>533.16</v>
      </c>
      <c r="L298" s="105">
        <v>114.93</v>
      </c>
      <c r="M298" s="105">
        <v>47.45</v>
      </c>
      <c r="N298" s="105">
        <v>667</v>
      </c>
      <c r="O298" s="105">
        <v>97</v>
      </c>
      <c r="P298" s="105">
        <v>136.69</v>
      </c>
      <c r="Q298" s="105">
        <v>56.23</v>
      </c>
      <c r="R298" s="105">
        <v>35.51</v>
      </c>
      <c r="S298" s="105">
        <v>33.090000000000003</v>
      </c>
      <c r="T298" s="105">
        <v>76.56</v>
      </c>
      <c r="U298" s="105">
        <v>47.09</v>
      </c>
      <c r="V298" s="105">
        <v>50.199460780000003</v>
      </c>
      <c r="W298" s="105">
        <v>36.748875750000003</v>
      </c>
      <c r="X298" s="105">
        <v>38.76</v>
      </c>
      <c r="Y298" s="105">
        <v>21.887105293000001</v>
      </c>
      <c r="Z298" s="105">
        <v>10.27</v>
      </c>
      <c r="AA298" s="105">
        <v>25.75</v>
      </c>
      <c r="AB298" s="105">
        <v>2.46</v>
      </c>
      <c r="AC298" s="105">
        <v>36.369999999999997</v>
      </c>
      <c r="AD298" s="105">
        <v>29.47</v>
      </c>
      <c r="AE298" s="105">
        <v>10.1875</v>
      </c>
      <c r="AF298" s="105">
        <v>33.89</v>
      </c>
      <c r="AG298" s="105">
        <v>16.489999999999998</v>
      </c>
      <c r="AH298" s="105">
        <v>50.74</v>
      </c>
      <c r="AI298" s="105">
        <v>18.965</v>
      </c>
      <c r="AJ298" s="105">
        <v>23.21</v>
      </c>
      <c r="AK298" s="105">
        <v>25.26</v>
      </c>
      <c r="AL298" s="105">
        <v>63.72</v>
      </c>
      <c r="AM298" s="105">
        <v>152.28</v>
      </c>
      <c r="AN298" s="105">
        <v>97.35</v>
      </c>
      <c r="AO298" s="105">
        <v>44.23</v>
      </c>
      <c r="AP298" s="105">
        <v>36.115000000000002</v>
      </c>
      <c r="AQ298" s="105">
        <v>56.37</v>
      </c>
      <c r="AR298" s="105">
        <v>18.2060022</v>
      </c>
      <c r="AS298" s="105">
        <v>42.67</v>
      </c>
      <c r="AT298" s="105">
        <v>40.950000000000003</v>
      </c>
      <c r="AU298" s="105">
        <v>137.12</v>
      </c>
      <c r="AV298" s="105">
        <v>62.08</v>
      </c>
      <c r="AW298" s="105">
        <v>39.36</v>
      </c>
      <c r="AX298" s="105">
        <v>31.5</v>
      </c>
      <c r="AY298" s="105">
        <v>31.209133680000001</v>
      </c>
      <c r="AZ298" s="105">
        <v>46.364045519999998</v>
      </c>
      <c r="BA298" s="105">
        <v>27.824682599999999</v>
      </c>
      <c r="BB298" s="105">
        <v>47.66</v>
      </c>
      <c r="BC298" s="105">
        <v>210.68906712</v>
      </c>
      <c r="BD298" s="105">
        <v>81.72</v>
      </c>
    </row>
    <row r="299" spans="3:56" x14ac:dyDescent="0.25">
      <c r="C299" s="38">
        <v>42278</v>
      </c>
      <c r="D299" s="105">
        <v>69.989999999999995</v>
      </c>
      <c r="E299" s="105">
        <v>102.67</v>
      </c>
      <c r="F299" s="105">
        <v>61.914999999999999</v>
      </c>
      <c r="G299" s="105">
        <v>36.24</v>
      </c>
      <c r="H299" s="105">
        <v>64.39</v>
      </c>
      <c r="I299" s="105">
        <v>90.95</v>
      </c>
      <c r="J299" s="105">
        <v>27.395</v>
      </c>
      <c r="K299" s="105">
        <v>520.72</v>
      </c>
      <c r="L299" s="105">
        <v>105.98</v>
      </c>
      <c r="M299" s="105">
        <v>44.61</v>
      </c>
      <c r="N299" s="105">
        <v>642</v>
      </c>
      <c r="O299" s="105">
        <v>92.05</v>
      </c>
      <c r="P299" s="105">
        <v>127.7</v>
      </c>
      <c r="Q299" s="105">
        <v>55.44</v>
      </c>
      <c r="R299" s="105">
        <v>35.01</v>
      </c>
      <c r="S299" s="105">
        <v>32.6</v>
      </c>
      <c r="T299" s="105">
        <v>70.11</v>
      </c>
      <c r="U299" s="105">
        <v>36.979999999999997</v>
      </c>
      <c r="V299" s="105">
        <v>47.99764382</v>
      </c>
      <c r="W299" s="105">
        <v>36.66008652</v>
      </c>
      <c r="X299" s="105">
        <v>38.409999999999997</v>
      </c>
      <c r="Y299" s="105">
        <v>18.423566875999999</v>
      </c>
      <c r="Z299" s="105">
        <v>10.01</v>
      </c>
      <c r="AA299" s="105">
        <v>24.55</v>
      </c>
      <c r="AB299" s="105">
        <v>2.27</v>
      </c>
      <c r="AC299" s="105">
        <v>33.01</v>
      </c>
      <c r="AD299" s="105">
        <v>26.63</v>
      </c>
      <c r="AE299" s="105">
        <v>9.0225000000000009</v>
      </c>
      <c r="AF299" s="105">
        <v>30.14</v>
      </c>
      <c r="AG299" s="105">
        <v>16.079999999999998</v>
      </c>
      <c r="AH299" s="105">
        <v>49.88</v>
      </c>
      <c r="AI299" s="105">
        <v>18.350000000000001</v>
      </c>
      <c r="AJ299" s="105">
        <v>23.01</v>
      </c>
      <c r="AK299" s="105">
        <v>26.23</v>
      </c>
      <c r="AL299" s="105">
        <v>62.18</v>
      </c>
      <c r="AM299" s="105">
        <v>143.59</v>
      </c>
      <c r="AN299" s="105">
        <v>94.91</v>
      </c>
      <c r="AO299" s="105">
        <v>42.96</v>
      </c>
      <c r="AP299" s="105">
        <v>35.4</v>
      </c>
      <c r="AQ299" s="105">
        <v>55.92</v>
      </c>
      <c r="AR299" s="105">
        <v>15.4546128</v>
      </c>
      <c r="AS299" s="105">
        <v>41.41</v>
      </c>
      <c r="AT299" s="105">
        <v>38.61</v>
      </c>
      <c r="AU299" s="105">
        <v>132.19</v>
      </c>
      <c r="AV299" s="105">
        <v>67.44</v>
      </c>
      <c r="AW299" s="105">
        <v>35.979999999999997</v>
      </c>
      <c r="AX299" s="105">
        <v>32.69</v>
      </c>
      <c r="AY299" s="105">
        <v>28.137482640000002</v>
      </c>
      <c r="AZ299" s="105">
        <v>42.709880519999999</v>
      </c>
      <c r="BA299" s="105">
        <v>26.034563160000001</v>
      </c>
      <c r="BB299" s="105">
        <v>45.18</v>
      </c>
      <c r="BC299" s="105">
        <v>215.95976135999999</v>
      </c>
      <c r="BD299" s="105">
        <v>78.489999999999995</v>
      </c>
    </row>
    <row r="300" spans="3:56" x14ac:dyDescent="0.25">
      <c r="C300" s="38">
        <v>42271</v>
      </c>
      <c r="D300" s="105">
        <v>70.239999999999995</v>
      </c>
      <c r="E300" s="105">
        <v>100.62</v>
      </c>
      <c r="F300" s="105">
        <v>57.395000000000003</v>
      </c>
      <c r="G300" s="105">
        <v>36.06</v>
      </c>
      <c r="H300" s="105">
        <v>65.8</v>
      </c>
      <c r="I300" s="105">
        <v>94.41</v>
      </c>
      <c r="J300" s="105">
        <v>28.75</v>
      </c>
      <c r="K300" s="105">
        <v>533.75</v>
      </c>
      <c r="L300" s="105">
        <v>103.76</v>
      </c>
      <c r="M300" s="105">
        <v>43.91</v>
      </c>
      <c r="N300" s="105">
        <v>654.91</v>
      </c>
      <c r="O300" s="105">
        <v>92.09</v>
      </c>
      <c r="P300" s="105">
        <v>127.12</v>
      </c>
      <c r="Q300" s="105">
        <v>56.96</v>
      </c>
      <c r="R300" s="105">
        <v>34.4</v>
      </c>
      <c r="S300" s="105">
        <v>31.58</v>
      </c>
      <c r="T300" s="105">
        <v>68.2</v>
      </c>
      <c r="U300" s="105">
        <v>41.9</v>
      </c>
      <c r="V300" s="105">
        <v>49.265654480000002</v>
      </c>
      <c r="W300" s="105">
        <v>36.117485670000001</v>
      </c>
      <c r="X300" s="105">
        <v>38.17</v>
      </c>
      <c r="Y300" s="105">
        <v>19.575519786000001</v>
      </c>
      <c r="Z300" s="105">
        <v>10.99</v>
      </c>
      <c r="AA300" s="105">
        <v>25.12</v>
      </c>
      <c r="AB300" s="105">
        <v>2.38</v>
      </c>
      <c r="AC300" s="105">
        <v>35.64</v>
      </c>
      <c r="AD300" s="105">
        <v>25.6</v>
      </c>
      <c r="AE300" s="105">
        <v>8.6374999999999993</v>
      </c>
      <c r="AF300" s="105">
        <v>32.450000000000003</v>
      </c>
      <c r="AG300" s="105">
        <v>16.14</v>
      </c>
      <c r="AH300" s="105">
        <v>49.43</v>
      </c>
      <c r="AI300" s="105">
        <v>18.925000000000001</v>
      </c>
      <c r="AJ300" s="105">
        <v>23.57</v>
      </c>
      <c r="AK300" s="105">
        <v>26.39</v>
      </c>
      <c r="AL300" s="105">
        <v>61.81</v>
      </c>
      <c r="AM300" s="105">
        <v>144.41</v>
      </c>
      <c r="AN300" s="105">
        <v>98.22</v>
      </c>
      <c r="AO300" s="105">
        <v>44.09</v>
      </c>
      <c r="AP300" s="105">
        <v>35.615000000000002</v>
      </c>
      <c r="AQ300" s="105">
        <v>57.86</v>
      </c>
      <c r="AR300" s="105">
        <v>16.371742600000001</v>
      </c>
      <c r="AS300" s="105">
        <v>45.56</v>
      </c>
      <c r="AT300" s="105">
        <v>39.71</v>
      </c>
      <c r="AU300" s="105">
        <v>138.84</v>
      </c>
      <c r="AV300" s="105">
        <v>69.25</v>
      </c>
      <c r="AW300" s="105">
        <v>36.03</v>
      </c>
      <c r="AX300" s="105">
        <v>33.6</v>
      </c>
      <c r="AY300" s="105">
        <v>30.716510400000001</v>
      </c>
      <c r="AZ300" s="105">
        <v>43.801257800000002</v>
      </c>
      <c r="BA300" s="105">
        <v>26.618297760000001</v>
      </c>
      <c r="BB300" s="105">
        <v>44.08</v>
      </c>
      <c r="BC300" s="105">
        <v>212.8092336</v>
      </c>
      <c r="BD300" s="105">
        <v>76.98</v>
      </c>
    </row>
    <row r="301" spans="3:56" x14ac:dyDescent="0.25">
      <c r="C301" s="38">
        <v>42264</v>
      </c>
      <c r="D301" s="105">
        <v>70.959999999999994</v>
      </c>
      <c r="E301" s="105">
        <v>104.2</v>
      </c>
      <c r="F301" s="105">
        <v>57.634999999999998</v>
      </c>
      <c r="G301" s="105">
        <v>36.74</v>
      </c>
      <c r="H301" s="105">
        <v>74.06</v>
      </c>
      <c r="I301" s="105">
        <v>94.34</v>
      </c>
      <c r="J301" s="105">
        <v>28.48</v>
      </c>
      <c r="K301" s="105">
        <v>538.87</v>
      </c>
      <c r="L301" s="105">
        <v>104.21</v>
      </c>
      <c r="M301" s="105">
        <v>44.25</v>
      </c>
      <c r="N301" s="105">
        <v>671.67</v>
      </c>
      <c r="O301" s="105">
        <v>93.3</v>
      </c>
      <c r="P301" s="105">
        <v>130.41</v>
      </c>
      <c r="Q301" s="105">
        <v>58.45</v>
      </c>
      <c r="R301" s="105">
        <v>33.840000000000003</v>
      </c>
      <c r="S301" s="105">
        <v>30.8</v>
      </c>
      <c r="T301" s="105">
        <v>72.16</v>
      </c>
      <c r="U301" s="105">
        <v>47.65</v>
      </c>
      <c r="V301" s="105">
        <v>52.076902920000002</v>
      </c>
      <c r="W301" s="105">
        <v>37.715691810000003</v>
      </c>
      <c r="X301" s="105">
        <v>39.49</v>
      </c>
      <c r="Y301" s="105">
        <v>20.458683684</v>
      </c>
      <c r="Z301" s="105">
        <v>10.42</v>
      </c>
      <c r="AA301" s="105">
        <v>25.26</v>
      </c>
      <c r="AB301" s="105">
        <v>2.4900000000000002</v>
      </c>
      <c r="AC301" s="105">
        <v>38.97</v>
      </c>
      <c r="AD301" s="105">
        <v>31.88</v>
      </c>
      <c r="AE301" s="105">
        <v>9.26</v>
      </c>
      <c r="AF301" s="105">
        <v>38.83</v>
      </c>
      <c r="AG301" s="105">
        <v>18.7</v>
      </c>
      <c r="AH301" s="105">
        <v>51.35</v>
      </c>
      <c r="AI301" s="105">
        <v>19.6325</v>
      </c>
      <c r="AJ301" s="105">
        <v>23.73</v>
      </c>
      <c r="AK301" s="105">
        <v>27.02</v>
      </c>
      <c r="AL301" s="105">
        <v>61.1</v>
      </c>
      <c r="AM301" s="105">
        <v>148.13999999999999</v>
      </c>
      <c r="AN301" s="105">
        <v>100.56</v>
      </c>
      <c r="AO301" s="105">
        <v>45.23</v>
      </c>
      <c r="AP301" s="105">
        <v>36.270000000000003</v>
      </c>
      <c r="AQ301" s="105">
        <v>58.65</v>
      </c>
      <c r="AR301" s="105">
        <v>16.820550799999999</v>
      </c>
      <c r="AS301" s="105">
        <v>49.37</v>
      </c>
      <c r="AT301" s="105">
        <v>39.51</v>
      </c>
      <c r="AU301" s="105">
        <v>139.80000000000001</v>
      </c>
      <c r="AV301" s="105">
        <v>67.83</v>
      </c>
      <c r="AW301" s="105">
        <v>37.94</v>
      </c>
      <c r="AX301" s="105">
        <v>37.14</v>
      </c>
      <c r="AY301" s="105">
        <v>31.1028816</v>
      </c>
      <c r="AZ301" s="105">
        <v>45.496790359999999</v>
      </c>
      <c r="BA301" s="105">
        <v>26.735044680000001</v>
      </c>
      <c r="BB301" s="105">
        <v>44.03</v>
      </c>
      <c r="BC301" s="105">
        <v>216.71271768</v>
      </c>
      <c r="BD301" s="105">
        <v>76.650000000000006</v>
      </c>
    </row>
    <row r="302" spans="3:56" x14ac:dyDescent="0.25">
      <c r="C302" s="38">
        <v>42257</v>
      </c>
      <c r="D302" s="105">
        <v>70.23</v>
      </c>
      <c r="E302" s="105">
        <v>102.6</v>
      </c>
      <c r="F302" s="105">
        <v>55.19</v>
      </c>
      <c r="G302" s="105">
        <v>37.61</v>
      </c>
      <c r="H302" s="105">
        <v>72.42</v>
      </c>
      <c r="I302" s="105">
        <v>91.98</v>
      </c>
      <c r="J302" s="105">
        <v>28.142499999999998</v>
      </c>
      <c r="K302" s="105">
        <v>522.24</v>
      </c>
      <c r="L302" s="105">
        <v>99.48</v>
      </c>
      <c r="M302" s="105">
        <v>43.29</v>
      </c>
      <c r="N302" s="105">
        <v>651.08000000000004</v>
      </c>
      <c r="O302" s="105">
        <v>90.71</v>
      </c>
      <c r="P302" s="105">
        <v>127.41</v>
      </c>
      <c r="Q302" s="105">
        <v>55.19</v>
      </c>
      <c r="R302" s="105">
        <v>32.71</v>
      </c>
      <c r="S302" s="105">
        <v>29.52</v>
      </c>
      <c r="T302" s="105">
        <v>72.27</v>
      </c>
      <c r="U302" s="105">
        <v>46.54</v>
      </c>
      <c r="V302" s="105">
        <v>50.346903879999999</v>
      </c>
      <c r="W302" s="105">
        <v>36.817934039999997</v>
      </c>
      <c r="X302" s="105">
        <v>38.36</v>
      </c>
      <c r="Y302" s="105">
        <v>21.149855429999999</v>
      </c>
      <c r="Z302" s="105">
        <v>11.87</v>
      </c>
      <c r="AA302" s="105">
        <v>24.54</v>
      </c>
      <c r="AB302" s="105">
        <v>2.4700000000000002</v>
      </c>
      <c r="AC302" s="105">
        <v>38.380000000000003</v>
      </c>
      <c r="AD302" s="105">
        <v>30.24</v>
      </c>
      <c r="AE302" s="105">
        <v>9.3650000000000002</v>
      </c>
      <c r="AF302" s="105">
        <v>39.450000000000003</v>
      </c>
      <c r="AG302" s="105">
        <v>18.25</v>
      </c>
      <c r="AH302" s="105">
        <v>50.23</v>
      </c>
      <c r="AI302" s="105">
        <v>19.66</v>
      </c>
      <c r="AJ302" s="105">
        <v>23.41</v>
      </c>
      <c r="AK302" s="105">
        <v>25.38</v>
      </c>
      <c r="AL302" s="105">
        <v>57.24</v>
      </c>
      <c r="AM302" s="105">
        <v>146.19999999999999</v>
      </c>
      <c r="AN302" s="105">
        <v>98.3</v>
      </c>
      <c r="AO302" s="105">
        <v>45.46</v>
      </c>
      <c r="AP302" s="105">
        <v>35.744999999999997</v>
      </c>
      <c r="AQ302" s="105">
        <v>60.06</v>
      </c>
      <c r="AR302" s="105">
        <v>15.1814252</v>
      </c>
      <c r="AS302" s="105">
        <v>47.8</v>
      </c>
      <c r="AT302" s="105">
        <v>39.369999999999997</v>
      </c>
      <c r="AU302" s="105">
        <v>135.19999999999999</v>
      </c>
      <c r="AV302" s="105">
        <v>66.06</v>
      </c>
      <c r="AW302" s="105">
        <v>37.75</v>
      </c>
      <c r="AX302" s="105">
        <v>38.11</v>
      </c>
      <c r="AY302" s="105">
        <v>29.093751359999999</v>
      </c>
      <c r="AZ302" s="105">
        <v>47.221556239999998</v>
      </c>
      <c r="BA302" s="105">
        <v>26.559924299999999</v>
      </c>
      <c r="BB302" s="105">
        <v>42.12</v>
      </c>
      <c r="BC302" s="105">
        <v>206.55771468</v>
      </c>
      <c r="BD302" s="105">
        <v>75.459999999999994</v>
      </c>
    </row>
    <row r="303" spans="3:56" x14ac:dyDescent="0.25">
      <c r="C303" s="38">
        <v>42250</v>
      </c>
      <c r="D303" s="105">
        <v>70.400000000000006</v>
      </c>
      <c r="E303" s="105">
        <v>101.99</v>
      </c>
      <c r="F303" s="105">
        <v>55.424999999999997</v>
      </c>
      <c r="G303" s="105">
        <v>36.9</v>
      </c>
      <c r="H303" s="105">
        <v>74.45</v>
      </c>
      <c r="I303" s="105">
        <v>88.15</v>
      </c>
      <c r="J303" s="105">
        <v>27.592500000000001</v>
      </c>
      <c r="K303" s="105">
        <v>504.72</v>
      </c>
      <c r="L303" s="105">
        <v>101.06</v>
      </c>
      <c r="M303" s="105">
        <v>43.5</v>
      </c>
      <c r="N303" s="105">
        <v>637.04999999999995</v>
      </c>
      <c r="O303" s="105">
        <v>90.24</v>
      </c>
      <c r="P303" s="105">
        <v>129</v>
      </c>
      <c r="Q303" s="105">
        <v>55.13</v>
      </c>
      <c r="R303" s="105">
        <v>33.29</v>
      </c>
      <c r="S303" s="105">
        <v>30.26</v>
      </c>
      <c r="T303" s="105">
        <v>71.069999999999993</v>
      </c>
      <c r="U303" s="105">
        <v>47.67</v>
      </c>
      <c r="V303" s="105">
        <v>50.759744560000001</v>
      </c>
      <c r="W303" s="105">
        <v>36.226005839999999</v>
      </c>
      <c r="X303" s="105">
        <v>37.43</v>
      </c>
      <c r="Y303" s="105">
        <v>20.596918033000001</v>
      </c>
      <c r="Z303" s="105">
        <v>12.58</v>
      </c>
      <c r="AA303" s="105">
        <v>24.16</v>
      </c>
      <c r="AB303" s="105">
        <v>2.54</v>
      </c>
      <c r="AC303" s="105">
        <v>36.35</v>
      </c>
      <c r="AD303" s="105">
        <v>34.46</v>
      </c>
      <c r="AE303" s="105">
        <v>9.7449999999999992</v>
      </c>
      <c r="AF303" s="105">
        <v>40.369999999999997</v>
      </c>
      <c r="AG303" s="105">
        <v>16.61</v>
      </c>
      <c r="AH303" s="105">
        <v>50.21</v>
      </c>
      <c r="AI303" s="105">
        <v>18.2775</v>
      </c>
      <c r="AJ303" s="105">
        <v>23.23</v>
      </c>
      <c r="AK303" s="105">
        <v>23.42</v>
      </c>
      <c r="AL303" s="105">
        <v>57.61</v>
      </c>
      <c r="AM303" s="105">
        <v>146.78</v>
      </c>
      <c r="AN303" s="105">
        <v>96.68</v>
      </c>
      <c r="AO303" s="105">
        <v>45.72</v>
      </c>
      <c r="AP303" s="105">
        <v>35.72</v>
      </c>
      <c r="AQ303" s="105">
        <v>59.92</v>
      </c>
      <c r="AR303" s="105">
        <v>15.7960973</v>
      </c>
      <c r="AS303" s="105">
        <v>47.42</v>
      </c>
      <c r="AT303" s="105">
        <v>39.909999999999997</v>
      </c>
      <c r="AU303" s="105">
        <v>136.53</v>
      </c>
      <c r="AV303" s="105">
        <v>67</v>
      </c>
      <c r="AW303" s="105">
        <v>37.590000000000003</v>
      </c>
      <c r="AX303" s="105">
        <v>36.86</v>
      </c>
      <c r="AY303" s="105">
        <v>27.799407840000001</v>
      </c>
      <c r="AZ303" s="105">
        <v>47.319000639999999</v>
      </c>
      <c r="BA303" s="105">
        <v>26.559924299999999</v>
      </c>
      <c r="BB303" s="105">
        <v>42.14</v>
      </c>
      <c r="BC303" s="105">
        <v>201.98053284</v>
      </c>
      <c r="BD303" s="105">
        <v>73.13</v>
      </c>
    </row>
    <row r="304" spans="3:56" x14ac:dyDescent="0.25">
      <c r="C304" s="38">
        <v>42243</v>
      </c>
      <c r="D304" s="105">
        <v>72.400000000000006</v>
      </c>
      <c r="E304" s="105">
        <v>102.17</v>
      </c>
      <c r="F304" s="105">
        <v>56.31</v>
      </c>
      <c r="G304" s="105">
        <v>36.82</v>
      </c>
      <c r="H304" s="105">
        <v>75.66</v>
      </c>
      <c r="I304" s="105">
        <v>89.73</v>
      </c>
      <c r="J304" s="105">
        <v>28.23</v>
      </c>
      <c r="K304" s="105">
        <v>518.37</v>
      </c>
      <c r="L304" s="105">
        <v>117.66</v>
      </c>
      <c r="M304" s="105">
        <v>43.9</v>
      </c>
      <c r="N304" s="105">
        <v>667.96</v>
      </c>
      <c r="O304" s="105">
        <v>90.24</v>
      </c>
      <c r="P304" s="105">
        <v>127.04</v>
      </c>
      <c r="Q304" s="105">
        <v>56.82</v>
      </c>
      <c r="R304" s="105">
        <v>34</v>
      </c>
      <c r="S304" s="105">
        <v>31.75</v>
      </c>
      <c r="T304" s="105">
        <v>71.11</v>
      </c>
      <c r="U304" s="105">
        <v>47.26</v>
      </c>
      <c r="V304" s="105">
        <v>50.435369739999999</v>
      </c>
      <c r="W304" s="105">
        <v>35.3183826</v>
      </c>
      <c r="X304" s="105">
        <v>37.31</v>
      </c>
      <c r="Y304" s="105">
        <v>21.242011663</v>
      </c>
      <c r="Z304" s="105">
        <v>12.69</v>
      </c>
      <c r="AA304" s="105">
        <v>24.64</v>
      </c>
      <c r="AB304" s="105">
        <v>2.42</v>
      </c>
      <c r="AC304" s="105">
        <v>37.85</v>
      </c>
      <c r="AD304" s="105">
        <v>35.67</v>
      </c>
      <c r="AE304" s="105">
        <v>9.7524999999999995</v>
      </c>
      <c r="AF304" s="105">
        <v>40.549999999999997</v>
      </c>
      <c r="AG304" s="105">
        <v>16.62</v>
      </c>
      <c r="AH304" s="105">
        <v>49.6</v>
      </c>
      <c r="AI304" s="105">
        <v>18.452500000000001</v>
      </c>
      <c r="AJ304" s="105">
        <v>22.96</v>
      </c>
      <c r="AK304" s="105">
        <v>22.38</v>
      </c>
      <c r="AL304" s="105">
        <v>59.87</v>
      </c>
      <c r="AM304" s="105">
        <v>148.54</v>
      </c>
      <c r="AN304" s="105">
        <v>101.08</v>
      </c>
      <c r="AO304" s="105">
        <v>46.19</v>
      </c>
      <c r="AP304" s="105">
        <v>35.72</v>
      </c>
      <c r="AQ304" s="105">
        <v>64.239999999999995</v>
      </c>
      <c r="AR304" s="105">
        <v>16.293689000000001</v>
      </c>
      <c r="AS304" s="105">
        <v>51.49</v>
      </c>
      <c r="AT304" s="105">
        <v>40.299999999999997</v>
      </c>
      <c r="AU304" s="105">
        <v>142.94999999999999</v>
      </c>
      <c r="AV304" s="105">
        <v>76.790000000000006</v>
      </c>
      <c r="AW304" s="105">
        <v>38.43</v>
      </c>
      <c r="AX304" s="105">
        <v>39.090000000000003</v>
      </c>
      <c r="AY304" s="105">
        <v>27.123258239999998</v>
      </c>
      <c r="AZ304" s="105">
        <v>47.416445039999999</v>
      </c>
      <c r="BA304" s="105">
        <v>26.452906290000001</v>
      </c>
      <c r="BB304" s="105">
        <v>43.33</v>
      </c>
      <c r="BC304" s="105">
        <v>207.84566627999999</v>
      </c>
      <c r="BD304" s="105">
        <v>75.099999999999994</v>
      </c>
    </row>
    <row r="305" spans="3:56" x14ac:dyDescent="0.25">
      <c r="C305" s="38">
        <v>42236</v>
      </c>
      <c r="D305" s="105">
        <v>73.95</v>
      </c>
      <c r="E305" s="105">
        <v>100.02</v>
      </c>
      <c r="F305" s="105">
        <v>56.15</v>
      </c>
      <c r="G305" s="105">
        <v>38.630000000000003</v>
      </c>
      <c r="H305" s="105">
        <v>76.41</v>
      </c>
      <c r="I305" s="105">
        <v>90.56</v>
      </c>
      <c r="J305" s="105">
        <v>28.162500000000001</v>
      </c>
      <c r="K305" s="105">
        <v>515.78</v>
      </c>
      <c r="L305" s="105">
        <v>112.49</v>
      </c>
      <c r="M305" s="105">
        <v>45.66</v>
      </c>
      <c r="N305" s="105">
        <v>679.48</v>
      </c>
      <c r="O305" s="105">
        <v>91.59</v>
      </c>
      <c r="P305" s="105">
        <v>128.66999999999999</v>
      </c>
      <c r="Q305" s="105">
        <v>58.02</v>
      </c>
      <c r="R305" s="105">
        <v>36.01</v>
      </c>
      <c r="S305" s="105">
        <v>33.369999999999997</v>
      </c>
      <c r="T305" s="105">
        <v>70</v>
      </c>
      <c r="U305" s="105">
        <v>48.9</v>
      </c>
      <c r="V305" s="105">
        <v>53.403890820000001</v>
      </c>
      <c r="W305" s="105">
        <v>31.00717221</v>
      </c>
      <c r="X305" s="105">
        <v>39.06</v>
      </c>
      <c r="Y305" s="105">
        <v>21.495441303</v>
      </c>
      <c r="Z305" s="105">
        <v>13.32</v>
      </c>
      <c r="AA305" s="105">
        <v>25.57</v>
      </c>
      <c r="AB305" s="105">
        <v>2.52</v>
      </c>
      <c r="AC305" s="105">
        <v>35.9</v>
      </c>
      <c r="AD305" s="105">
        <v>37.119999999999997</v>
      </c>
      <c r="AE305" s="105">
        <v>9.9725000000000001</v>
      </c>
      <c r="AF305" s="105">
        <v>41.48</v>
      </c>
      <c r="AG305" s="105">
        <v>19.54</v>
      </c>
      <c r="AH305" s="105">
        <v>51.55</v>
      </c>
      <c r="AI305" s="105">
        <v>18.965</v>
      </c>
      <c r="AJ305" s="105">
        <v>21.1</v>
      </c>
      <c r="AK305" s="105">
        <v>22.97</v>
      </c>
      <c r="AL305" s="105">
        <v>61.74</v>
      </c>
      <c r="AM305" s="105">
        <v>152.66</v>
      </c>
      <c r="AN305" s="105">
        <v>102.52</v>
      </c>
      <c r="AO305" s="105">
        <v>46.88</v>
      </c>
      <c r="AP305" s="105">
        <v>37.164999999999999</v>
      </c>
      <c r="AQ305" s="105">
        <v>64.39</v>
      </c>
      <c r="AR305" s="105">
        <v>18.098678499999998</v>
      </c>
      <c r="AS305" s="105">
        <v>53.03</v>
      </c>
      <c r="AT305" s="105">
        <v>40.549999999999997</v>
      </c>
      <c r="AU305" s="105">
        <v>143.58000000000001</v>
      </c>
      <c r="AV305" s="105">
        <v>80.38</v>
      </c>
      <c r="AW305" s="105">
        <v>38.409999999999997</v>
      </c>
      <c r="AX305" s="105">
        <v>39.799999999999997</v>
      </c>
      <c r="AY305" s="105">
        <v>27.326103119999999</v>
      </c>
      <c r="AZ305" s="105">
        <v>50.339777040000001</v>
      </c>
      <c r="BA305" s="105">
        <v>27.192303450000001</v>
      </c>
      <c r="BB305" s="105">
        <v>44.71</v>
      </c>
      <c r="BC305" s="105">
        <v>217.88178144</v>
      </c>
      <c r="BD305" s="105">
        <v>77.11</v>
      </c>
    </row>
    <row r="306" spans="3:56" x14ac:dyDescent="0.25">
      <c r="C306" s="38">
        <v>42229</v>
      </c>
      <c r="D306" s="105">
        <v>73.930000000000007</v>
      </c>
      <c r="E306" s="105">
        <v>107.52</v>
      </c>
      <c r="F306" s="105">
        <v>56.8</v>
      </c>
      <c r="G306" s="105">
        <v>39.31</v>
      </c>
      <c r="H306" s="105">
        <v>77.760000000000005</v>
      </c>
      <c r="I306" s="105">
        <v>93.43</v>
      </c>
      <c r="J306" s="105">
        <v>28.787500000000001</v>
      </c>
      <c r="K306" s="105">
        <v>529.66</v>
      </c>
      <c r="L306" s="105">
        <v>123.73</v>
      </c>
      <c r="M306" s="105">
        <v>46.73</v>
      </c>
      <c r="N306" s="105">
        <v>686.51</v>
      </c>
      <c r="O306" s="105">
        <v>90.48</v>
      </c>
      <c r="P306" s="105">
        <v>127.53</v>
      </c>
      <c r="Q306" s="105">
        <v>60.2</v>
      </c>
      <c r="R306" s="105">
        <v>35.56</v>
      </c>
      <c r="S306" s="105">
        <v>33.15</v>
      </c>
      <c r="T306" s="105">
        <v>72.3</v>
      </c>
      <c r="U306" s="105">
        <v>53.12</v>
      </c>
      <c r="V306" s="105">
        <v>51.53627822</v>
      </c>
      <c r="W306" s="105">
        <v>31.283405370000001</v>
      </c>
      <c r="X306" s="105">
        <v>38.97</v>
      </c>
      <c r="Y306" s="105">
        <v>23.369284703999998</v>
      </c>
      <c r="Z306" s="105">
        <v>14.45</v>
      </c>
      <c r="AA306" s="105">
        <v>26.53</v>
      </c>
      <c r="AB306" s="105">
        <v>2.7</v>
      </c>
      <c r="AC306" s="105">
        <v>40.049999999999997</v>
      </c>
      <c r="AD306" s="105">
        <v>38.18</v>
      </c>
      <c r="AE306" s="105">
        <v>10.217499999999999</v>
      </c>
      <c r="AF306" s="105">
        <v>43.34</v>
      </c>
      <c r="AG306" s="105">
        <v>19.25</v>
      </c>
      <c r="AH306" s="105">
        <v>50.44</v>
      </c>
      <c r="AI306" s="105">
        <v>19.372499999999999</v>
      </c>
      <c r="AJ306" s="105">
        <v>20.74</v>
      </c>
      <c r="AK306" s="105">
        <v>23.82</v>
      </c>
      <c r="AL306" s="105">
        <v>60.59</v>
      </c>
      <c r="AM306" s="105">
        <v>155.07</v>
      </c>
      <c r="AN306" s="105">
        <v>102.97</v>
      </c>
      <c r="AO306" s="105">
        <v>47.66</v>
      </c>
      <c r="AP306" s="105">
        <v>35.284999999999997</v>
      </c>
      <c r="AQ306" s="105">
        <v>68.97</v>
      </c>
      <c r="AR306" s="105">
        <v>17.064468300000001</v>
      </c>
      <c r="AS306" s="105">
        <v>54.22</v>
      </c>
      <c r="AT306" s="105">
        <v>38.520000000000003</v>
      </c>
      <c r="AU306" s="105">
        <v>147.6</v>
      </c>
      <c r="AV306" s="105">
        <v>77.33</v>
      </c>
      <c r="AW306" s="105">
        <v>37.880000000000003</v>
      </c>
      <c r="AX306" s="105">
        <v>43.01</v>
      </c>
      <c r="AY306" s="105">
        <v>27.673837200000001</v>
      </c>
      <c r="AZ306" s="105">
        <v>52.922053640000001</v>
      </c>
      <c r="BA306" s="105">
        <v>27.610646580000001</v>
      </c>
      <c r="BB306" s="105">
        <v>44.39</v>
      </c>
      <c r="BC306" s="105">
        <v>231.20712684</v>
      </c>
      <c r="BD306" s="105">
        <v>79.56</v>
      </c>
    </row>
    <row r="307" spans="3:56" x14ac:dyDescent="0.25">
      <c r="C307" s="38">
        <v>42222</v>
      </c>
      <c r="D307" s="105">
        <v>73.58</v>
      </c>
      <c r="E307" s="105">
        <v>108.55</v>
      </c>
      <c r="F307" s="105">
        <v>57.56</v>
      </c>
      <c r="G307" s="105">
        <v>39.32</v>
      </c>
      <c r="H307" s="105">
        <v>77.459999999999994</v>
      </c>
      <c r="I307" s="105">
        <v>95.12</v>
      </c>
      <c r="J307" s="105">
        <v>28.782499999999999</v>
      </c>
      <c r="K307" s="105">
        <v>529.46</v>
      </c>
      <c r="L307" s="105">
        <v>126.45</v>
      </c>
      <c r="M307" s="105">
        <v>46.62</v>
      </c>
      <c r="N307" s="105">
        <v>670.15</v>
      </c>
      <c r="O307" s="105">
        <v>92.2</v>
      </c>
      <c r="P307" s="105">
        <v>124.18</v>
      </c>
      <c r="Q307" s="105">
        <v>60.94</v>
      </c>
      <c r="R307" s="105">
        <v>34.83</v>
      </c>
      <c r="S307" s="105">
        <v>32.090000000000003</v>
      </c>
      <c r="T307" s="105">
        <v>70.930000000000007</v>
      </c>
      <c r="U307" s="105">
        <v>56.03</v>
      </c>
      <c r="V307" s="105">
        <v>49.196847699999999</v>
      </c>
      <c r="W307" s="105">
        <v>30.691477169999999</v>
      </c>
      <c r="X307" s="105">
        <v>37.81</v>
      </c>
      <c r="Y307" s="105">
        <v>24.152612683000001</v>
      </c>
      <c r="Z307" s="105">
        <v>16.829999999999998</v>
      </c>
      <c r="AA307" s="105">
        <v>26.65</v>
      </c>
      <c r="AB307" s="105">
        <v>2.4500000000000002</v>
      </c>
      <c r="AC307" s="105">
        <v>44.66</v>
      </c>
      <c r="AD307" s="105">
        <v>42.32</v>
      </c>
      <c r="AE307" s="105">
        <v>9.9450000000000003</v>
      </c>
      <c r="AF307" s="105">
        <v>44.64</v>
      </c>
      <c r="AG307" s="105">
        <v>19.95</v>
      </c>
      <c r="AH307" s="105">
        <v>50</v>
      </c>
      <c r="AI307" s="105">
        <v>19.122499999999999</v>
      </c>
      <c r="AJ307" s="105">
        <v>20.23</v>
      </c>
      <c r="AK307" s="105">
        <v>23.27</v>
      </c>
      <c r="AL307" s="105">
        <v>60.6</v>
      </c>
      <c r="AM307" s="105">
        <v>156.32</v>
      </c>
      <c r="AN307" s="105">
        <v>101.32</v>
      </c>
      <c r="AO307" s="105">
        <v>46.63</v>
      </c>
      <c r="AP307" s="105">
        <v>34.744999999999997</v>
      </c>
      <c r="AQ307" s="105">
        <v>68.31</v>
      </c>
      <c r="AR307" s="105">
        <v>15.961961199999999</v>
      </c>
      <c r="AS307" s="105">
        <v>55.4</v>
      </c>
      <c r="AT307" s="105">
        <v>36.25</v>
      </c>
      <c r="AU307" s="105">
        <v>150.19</v>
      </c>
      <c r="AV307" s="105">
        <v>77.599999999999994</v>
      </c>
      <c r="AW307" s="105">
        <v>36.96</v>
      </c>
      <c r="AX307" s="105">
        <v>43.28</v>
      </c>
      <c r="AY307" s="105">
        <v>26.727227760000002</v>
      </c>
      <c r="AZ307" s="105">
        <v>54.802730560000001</v>
      </c>
      <c r="BA307" s="105">
        <v>26.851791599999999</v>
      </c>
      <c r="BB307" s="105">
        <v>44.23</v>
      </c>
      <c r="BC307" s="105">
        <v>221.88433871999999</v>
      </c>
      <c r="BD307" s="105">
        <v>76.69</v>
      </c>
    </row>
    <row r="308" spans="3:56" x14ac:dyDescent="0.25">
      <c r="C308" s="38">
        <v>42215</v>
      </c>
      <c r="D308" s="105">
        <v>76.38</v>
      </c>
      <c r="E308" s="105">
        <v>120.03</v>
      </c>
      <c r="F308" s="105">
        <v>57.505000000000003</v>
      </c>
      <c r="G308" s="105">
        <v>39.65</v>
      </c>
      <c r="H308" s="105">
        <v>78.349999999999994</v>
      </c>
      <c r="I308" s="105">
        <v>95.21</v>
      </c>
      <c r="J308" s="105">
        <v>30.592500000000001</v>
      </c>
      <c r="K308" s="105">
        <v>536.76</v>
      </c>
      <c r="L308" s="105">
        <v>111.56</v>
      </c>
      <c r="M308" s="105">
        <v>46.88</v>
      </c>
      <c r="N308" s="105">
        <v>664.56</v>
      </c>
      <c r="O308" s="105">
        <v>92.86</v>
      </c>
      <c r="P308" s="105">
        <v>119</v>
      </c>
      <c r="Q308" s="105">
        <v>62.36</v>
      </c>
      <c r="R308" s="105">
        <v>34.21</v>
      </c>
      <c r="S308" s="105">
        <v>31.51</v>
      </c>
      <c r="T308" s="105">
        <v>72.64</v>
      </c>
      <c r="U308" s="105">
        <v>56.01</v>
      </c>
      <c r="V308" s="105">
        <v>51.290539719999998</v>
      </c>
      <c r="W308" s="105">
        <v>31.687889640000002</v>
      </c>
      <c r="X308" s="105">
        <v>36.31</v>
      </c>
      <c r="Y308" s="105">
        <v>26.241487292999999</v>
      </c>
      <c r="Z308" s="105">
        <v>16.54</v>
      </c>
      <c r="AA308" s="105">
        <v>26.83</v>
      </c>
      <c r="AB308" s="105">
        <v>2.4700000000000002</v>
      </c>
      <c r="AC308" s="105">
        <v>47.93</v>
      </c>
      <c r="AD308" s="105">
        <v>43.54</v>
      </c>
      <c r="AE308" s="105">
        <v>11.2675</v>
      </c>
      <c r="AF308" s="105">
        <v>42.83</v>
      </c>
      <c r="AG308" s="105">
        <v>19.600000000000001</v>
      </c>
      <c r="AH308" s="105">
        <v>50.4</v>
      </c>
      <c r="AI308" s="105">
        <v>17.837499999999999</v>
      </c>
      <c r="AJ308" s="105">
        <v>23.57</v>
      </c>
      <c r="AK308" s="105">
        <v>22.86</v>
      </c>
      <c r="AL308" s="105">
        <v>59.53</v>
      </c>
      <c r="AM308" s="105">
        <v>160.96</v>
      </c>
      <c r="AN308" s="105">
        <v>101.84</v>
      </c>
      <c r="AO308" s="105">
        <v>46.67</v>
      </c>
      <c r="AP308" s="105">
        <v>34.81</v>
      </c>
      <c r="AQ308" s="105">
        <v>69.25</v>
      </c>
      <c r="AR308" s="105">
        <v>16.869334299999998</v>
      </c>
      <c r="AS308" s="105">
        <v>56.35</v>
      </c>
      <c r="AT308" s="105">
        <v>36.06</v>
      </c>
      <c r="AU308" s="105">
        <v>152</v>
      </c>
      <c r="AV308" s="105">
        <v>77.59</v>
      </c>
      <c r="AW308" s="105">
        <v>32.22</v>
      </c>
      <c r="AX308" s="105">
        <v>47.76</v>
      </c>
      <c r="AY308" s="105">
        <v>26.949391200000001</v>
      </c>
      <c r="AZ308" s="105">
        <v>53.477486720000002</v>
      </c>
      <c r="BA308" s="105">
        <v>26.38480392</v>
      </c>
      <c r="BB308" s="105">
        <v>44.18</v>
      </c>
      <c r="BC308" s="105">
        <v>210.12434988000001</v>
      </c>
      <c r="BD308" s="105">
        <v>75.150000000000006</v>
      </c>
    </row>
    <row r="309" spans="3:56" x14ac:dyDescent="0.25">
      <c r="C309" s="38">
        <v>42208</v>
      </c>
      <c r="D309" s="105">
        <v>71.75</v>
      </c>
      <c r="E309" s="105">
        <v>118.8</v>
      </c>
      <c r="F309" s="105">
        <v>57</v>
      </c>
      <c r="G309" s="105">
        <v>39</v>
      </c>
      <c r="H309" s="105">
        <v>76.88</v>
      </c>
      <c r="I309" s="105">
        <v>95.44</v>
      </c>
      <c r="J309" s="105">
        <v>31.29</v>
      </c>
      <c r="K309" s="105">
        <v>482.18</v>
      </c>
      <c r="L309" s="105">
        <v>110.1</v>
      </c>
      <c r="M309" s="105">
        <v>46.11</v>
      </c>
      <c r="N309" s="105">
        <v>674.73</v>
      </c>
      <c r="O309" s="105">
        <v>90.65</v>
      </c>
      <c r="P309" s="105">
        <v>117.56</v>
      </c>
      <c r="Q309" s="105">
        <v>65.59</v>
      </c>
      <c r="R309" s="105">
        <v>32.909999999999997</v>
      </c>
      <c r="S309" s="105">
        <v>30.71</v>
      </c>
      <c r="T309" s="105">
        <v>74.62</v>
      </c>
      <c r="U309" s="105">
        <v>55.73</v>
      </c>
      <c r="V309" s="105">
        <v>51.565766840000002</v>
      </c>
      <c r="W309" s="105">
        <v>32.417934420000002</v>
      </c>
      <c r="X309" s="105">
        <v>36.479999999999997</v>
      </c>
      <c r="Y309" s="105">
        <v>24.221729857</v>
      </c>
      <c r="Z309" s="105">
        <v>18.14</v>
      </c>
      <c r="AA309" s="105">
        <v>23.86</v>
      </c>
      <c r="AB309" s="105">
        <v>2.67</v>
      </c>
      <c r="AC309" s="105">
        <v>47.63</v>
      </c>
      <c r="AD309" s="105">
        <v>44.11</v>
      </c>
      <c r="AE309" s="105">
        <v>11.625</v>
      </c>
      <c r="AF309" s="105">
        <v>43.96</v>
      </c>
      <c r="AG309" s="105">
        <v>20.37</v>
      </c>
      <c r="AH309" s="105">
        <v>50.42</v>
      </c>
      <c r="AI309" s="105">
        <v>17.122499999999999</v>
      </c>
      <c r="AJ309" s="105">
        <v>23.15</v>
      </c>
      <c r="AK309" s="105">
        <v>23.22</v>
      </c>
      <c r="AL309" s="105">
        <v>57.75</v>
      </c>
      <c r="AM309" s="105">
        <v>161.72999999999999</v>
      </c>
      <c r="AN309" s="105">
        <v>98.25</v>
      </c>
      <c r="AO309" s="105">
        <v>46.35</v>
      </c>
      <c r="AP309" s="105">
        <v>34.119999999999997</v>
      </c>
      <c r="AQ309" s="105">
        <v>74.819999999999993</v>
      </c>
      <c r="AR309" s="105">
        <v>17.171792</v>
      </c>
      <c r="AS309" s="105">
        <v>66.56</v>
      </c>
      <c r="AT309" s="105">
        <v>36.14</v>
      </c>
      <c r="AU309" s="105">
        <v>148.16999999999999</v>
      </c>
      <c r="AV309" s="105">
        <v>78.239999999999995</v>
      </c>
      <c r="AW309" s="105">
        <v>35.950000000000003</v>
      </c>
      <c r="AX309" s="105">
        <v>48.73</v>
      </c>
      <c r="AY309" s="105">
        <v>27.2391696</v>
      </c>
      <c r="AZ309" s="105">
        <v>51.840420799999997</v>
      </c>
      <c r="BA309" s="105">
        <v>26.258328089999999</v>
      </c>
      <c r="BB309" s="105">
        <v>43.79</v>
      </c>
      <c r="BC309" s="105">
        <v>203.1495966</v>
      </c>
      <c r="BD309" s="105">
        <v>72.7</v>
      </c>
    </row>
    <row r="310" spans="3:56" x14ac:dyDescent="0.25">
      <c r="C310" s="38">
        <v>42201</v>
      </c>
      <c r="D310" s="105">
        <v>70.569999999999993</v>
      </c>
      <c r="E310" s="105">
        <v>119.07</v>
      </c>
      <c r="F310" s="105">
        <v>56.17</v>
      </c>
      <c r="G310" s="105">
        <v>40.96</v>
      </c>
      <c r="H310" s="105">
        <v>83.76</v>
      </c>
      <c r="I310" s="105">
        <v>90.85</v>
      </c>
      <c r="J310" s="105">
        <v>32.127499999999998</v>
      </c>
      <c r="K310" s="105">
        <v>475.48</v>
      </c>
      <c r="L310" s="105">
        <v>115.81</v>
      </c>
      <c r="M310" s="105">
        <v>46.66</v>
      </c>
      <c r="N310" s="105">
        <v>601.78</v>
      </c>
      <c r="O310" s="105">
        <v>92.32</v>
      </c>
      <c r="P310" s="105">
        <v>117.54</v>
      </c>
      <c r="Q310" s="105">
        <v>65.37</v>
      </c>
      <c r="R310" s="105">
        <v>34.119999999999997</v>
      </c>
      <c r="S310" s="105">
        <v>31.42</v>
      </c>
      <c r="T310" s="105">
        <v>78.25</v>
      </c>
      <c r="U310" s="105">
        <v>54.92</v>
      </c>
      <c r="V310" s="105">
        <v>51.978607519999997</v>
      </c>
      <c r="W310" s="105">
        <v>34.430490300000002</v>
      </c>
      <c r="X310" s="105">
        <v>34.57</v>
      </c>
      <c r="Y310" s="105">
        <v>24.336925147999999</v>
      </c>
      <c r="Z310" s="105">
        <v>19.649999999999999</v>
      </c>
      <c r="AA310" s="105">
        <v>24.21</v>
      </c>
      <c r="AB310" s="105">
        <v>2.75</v>
      </c>
      <c r="AC310" s="105">
        <v>48.31</v>
      </c>
      <c r="AD310" s="105">
        <v>46.45</v>
      </c>
      <c r="AE310" s="105">
        <v>11.86</v>
      </c>
      <c r="AF310" s="105">
        <v>45.27</v>
      </c>
      <c r="AG310" s="105">
        <v>21.15</v>
      </c>
      <c r="AH310" s="105">
        <v>52.4</v>
      </c>
      <c r="AI310" s="105">
        <v>17.7925</v>
      </c>
      <c r="AJ310" s="105">
        <v>24.06</v>
      </c>
      <c r="AK310" s="105">
        <v>22.74</v>
      </c>
      <c r="AL310" s="105">
        <v>59.14</v>
      </c>
      <c r="AM310" s="105">
        <v>171</v>
      </c>
      <c r="AN310" s="105">
        <v>98.17</v>
      </c>
      <c r="AO310" s="105">
        <v>47.83</v>
      </c>
      <c r="AP310" s="105">
        <v>34.685000000000002</v>
      </c>
      <c r="AQ310" s="105">
        <v>72.599999999999994</v>
      </c>
      <c r="AR310" s="105">
        <v>20.8598246</v>
      </c>
      <c r="AS310" s="105">
        <v>68.44</v>
      </c>
      <c r="AT310" s="105">
        <v>36.14</v>
      </c>
      <c r="AU310" s="105">
        <v>148</v>
      </c>
      <c r="AV310" s="105">
        <v>82.18</v>
      </c>
      <c r="AW310" s="105">
        <v>35.119999999999997</v>
      </c>
      <c r="AX310" s="105">
        <v>48.28</v>
      </c>
      <c r="AY310" s="105">
        <v>27.78974856</v>
      </c>
      <c r="AZ310" s="105">
        <v>53.535953360000001</v>
      </c>
      <c r="BA310" s="105">
        <v>26.705857949999999</v>
      </c>
      <c r="BB310" s="105">
        <v>44.92</v>
      </c>
      <c r="BC310" s="105">
        <v>199.11731735999999</v>
      </c>
      <c r="BD310" s="105">
        <v>73.540000000000006</v>
      </c>
    </row>
  </sheetData>
  <mergeCells count="1">
    <mergeCell ref="A2:A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Asset Volatility Summary</vt:lpstr>
      <vt:lpstr>Std Dev Calc</vt:lpstr>
      <vt:lpstr>Portfolio DoR</vt:lpstr>
      <vt:lpstr>Portfolio Volatility Theory</vt:lpstr>
      <vt:lpstr>Portfolio Volatility Practice</vt:lpstr>
      <vt:lpstr>Asset Returns</vt:lpstr>
      <vt:lpstr>Asset Prices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Quill</dc:creator>
  <cp:lastModifiedBy>Mark Vyvoda</cp:lastModifiedBy>
  <dcterms:created xsi:type="dcterms:W3CDTF">2020-11-30T10:07:27Z</dcterms:created>
  <dcterms:modified xsi:type="dcterms:W3CDTF">2025-05-07T20:56:50Z</dcterms:modified>
</cp:coreProperties>
</file>